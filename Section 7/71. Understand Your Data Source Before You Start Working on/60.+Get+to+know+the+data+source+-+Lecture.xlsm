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filterPrivacy="1" codeName="ThisWorkbook" defaultThemeVersion="124226"/>
  <xr:revisionPtr revIDLastSave="0" documentId="13_ncr:1_{F8522ADB-C341-4C88-9BAF-1350C09DFD33}" xr6:coauthVersionLast="47" xr6:coauthVersionMax="47" xr10:uidLastSave="{00000000-0000-0000-0000-000000000000}"/>
  <bookViews>
    <workbookView xWindow="28680" yWindow="270" windowWidth="29040" windowHeight="17640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0" l="1"/>
  <c r="D95" i="10"/>
  <c r="E95" i="10"/>
  <c r="C96" i="10"/>
  <c r="D96" i="10"/>
  <c r="E96" i="10"/>
  <c r="C97" i="10"/>
  <c r="D97" i="10"/>
  <c r="E97" i="10"/>
  <c r="C98" i="10"/>
  <c r="D98" i="10"/>
  <c r="E98" i="10"/>
  <c r="C99" i="10"/>
  <c r="D99" i="10"/>
  <c r="E99" i="10"/>
  <c r="C100" i="10"/>
  <c r="D100" i="10"/>
  <c r="E100" i="10"/>
  <c r="C101" i="10"/>
  <c r="D101" i="10"/>
  <c r="E101" i="10"/>
  <c r="C102" i="10"/>
  <c r="D102" i="10"/>
  <c r="E102" i="10"/>
  <c r="C103" i="10"/>
  <c r="D103" i="10"/>
  <c r="E103" i="10"/>
  <c r="C104" i="10"/>
  <c r="D104" i="10"/>
  <c r="E104" i="10"/>
  <c r="C105" i="10"/>
  <c r="D105" i="10"/>
  <c r="E105" i="10"/>
  <c r="C106" i="10"/>
  <c r="D106" i="10"/>
  <c r="E106" i="10"/>
  <c r="C107" i="10"/>
  <c r="D107" i="10"/>
  <c r="E107" i="10"/>
  <c r="E94" i="10"/>
  <c r="D94" i="10"/>
  <c r="C94" i="10"/>
  <c r="C61" i="10"/>
  <c r="D61" i="10"/>
  <c r="E61" i="10"/>
  <c r="C62" i="10"/>
  <c r="D62" i="10"/>
  <c r="E62" i="10"/>
  <c r="C63" i="10"/>
  <c r="D63" i="10"/>
  <c r="E63" i="10"/>
  <c r="C64" i="10"/>
  <c r="D64" i="10"/>
  <c r="E64" i="10"/>
  <c r="C65" i="10"/>
  <c r="D65" i="10"/>
  <c r="E65" i="10"/>
  <c r="C66" i="10"/>
  <c r="D66" i="10"/>
  <c r="E66" i="10"/>
  <c r="C67" i="10"/>
  <c r="D67" i="10"/>
  <c r="E67" i="10"/>
  <c r="C68" i="10"/>
  <c r="D68" i="10"/>
  <c r="E68" i="10"/>
  <c r="C69" i="10"/>
  <c r="D69" i="10"/>
  <c r="E69" i="10"/>
  <c r="C70" i="10"/>
  <c r="D70" i="10"/>
  <c r="E70" i="10"/>
  <c r="C71" i="10"/>
  <c r="D71" i="10"/>
  <c r="E71" i="10"/>
  <c r="C72" i="10"/>
  <c r="D72" i="10"/>
  <c r="E72" i="10"/>
  <c r="C73" i="10"/>
  <c r="D73" i="10"/>
  <c r="E73" i="10"/>
  <c r="C74" i="10"/>
  <c r="D74" i="10"/>
  <c r="E74" i="10"/>
  <c r="C75" i="10"/>
  <c r="D75" i="10"/>
  <c r="E75" i="10"/>
  <c r="C76" i="10"/>
  <c r="D76" i="10"/>
  <c r="E76" i="10"/>
  <c r="C77" i="10"/>
  <c r="D77" i="10"/>
  <c r="E77" i="10"/>
  <c r="C78" i="10"/>
  <c r="D78" i="10"/>
  <c r="E78" i="10"/>
  <c r="C79" i="10"/>
  <c r="D79" i="10"/>
  <c r="E79" i="10"/>
  <c r="C80" i="10"/>
  <c r="D80" i="10"/>
  <c r="E80" i="10"/>
  <c r="C81" i="10"/>
  <c r="D81" i="10"/>
  <c r="E81" i="10"/>
  <c r="C82" i="10"/>
  <c r="D82" i="10"/>
  <c r="E82" i="10"/>
  <c r="C83" i="10"/>
  <c r="D83" i="10"/>
  <c r="E83" i="10"/>
  <c r="C84" i="10"/>
  <c r="D84" i="10"/>
  <c r="E84" i="10"/>
  <c r="C85" i="10"/>
  <c r="D85" i="10"/>
  <c r="E85" i="10"/>
  <c r="C86" i="10"/>
  <c r="D86" i="10"/>
  <c r="E86" i="10"/>
  <c r="C87" i="10"/>
  <c r="D87" i="10"/>
  <c r="E87" i="10"/>
  <c r="C88" i="10"/>
  <c r="D88" i="10"/>
  <c r="E88" i="10"/>
  <c r="C89" i="10"/>
  <c r="D89" i="10"/>
  <c r="E89" i="10"/>
  <c r="C90" i="10"/>
  <c r="D90" i="10"/>
  <c r="E90" i="10"/>
  <c r="C91" i="10"/>
  <c r="D91" i="10"/>
  <c r="E91" i="10"/>
  <c r="C92" i="10"/>
  <c r="D92" i="10"/>
  <c r="E92" i="10"/>
  <c r="C93" i="10"/>
  <c r="D93" i="10"/>
  <c r="E93" i="10"/>
  <c r="E60" i="10"/>
  <c r="D60" i="10"/>
  <c r="C60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3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5" i="3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5" i="2"/>
</calcChain>
</file>

<file path=xl/sharedStrings.xml><?xml version="1.0" encoding="utf-8"?>
<sst xmlns="http://schemas.openxmlformats.org/spreadsheetml/2006/main" count="662" uniqueCount="227">
  <si>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</si>
  <si>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</si>
  <si>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</si>
  <si>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</si>
  <si>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</si>
  <si>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</si>
  <si>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</si>
  <si>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</si>
  <si>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</si>
  <si>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</si>
  <si>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</si>
  <si>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</si>
  <si>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</si>
  <si>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</si>
  <si>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</si>
  <si>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</si>
  <si>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</si>
  <si>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</si>
  <si>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</si>
  <si>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</si>
  <si>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</si>
  <si>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</si>
  <si>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</si>
  <si>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</si>
  <si>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</si>
  <si>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</si>
  <si>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</si>
  <si>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</si>
  <si>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</si>
  <si>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</si>
  <si>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</si>
  <si>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</si>
  <si>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</si>
  <si>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</si>
  <si>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</si>
  <si>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</si>
  <si>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</si>
  <si>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</si>
  <si>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</si>
  <si>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</si>
  <si>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</si>
  <si>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</si>
  <si>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</si>
  <si>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</si>
  <si>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</si>
  <si>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</si>
  <si>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</si>
  <si>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</si>
  <si>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</si>
  <si>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</si>
  <si>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</si>
  <si>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</si>
  <si>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</si>
  <si>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</si>
  <si>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</si>
  <si>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</si>
  <si>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</si>
  <si>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</si>
  <si>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</si>
  <si>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</si>
  <si>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</si>
  <si>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</si>
  <si>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</si>
  <si>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</si>
  <si>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</si>
  <si>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</si>
  <si>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</si>
  <si>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</si>
  <si>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</si>
  <si>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</si>
  <si>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</si>
  <si>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</si>
  <si>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</si>
  <si>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</si>
  <si>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</si>
  <si>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</si>
  <si>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</si>
  <si>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</si>
  <si>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</si>
  <si>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</si>
  <si>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</si>
  <si>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</si>
  <si>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</si>
  <si>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</si>
  <si>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</si>
  <si>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</si>
  <si>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</si>
  <si>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</si>
  <si>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</si>
  <si>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</si>
  <si>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</si>
  <si>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</si>
  <si>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</si>
  <si>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</si>
  <si>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</si>
  <si>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</si>
  <si>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</si>
  <si>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</si>
  <si>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</si>
  <si>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</si>
  <si>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</si>
  <si>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</si>
  <si>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</si>
  <si>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</si>
  <si>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</si>
  <si>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</si>
  <si>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</si>
  <si>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</si>
  <si>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</si>
  <si>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</si>
  <si>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</si>
  <si>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</si>
  <si>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</si>
  <si>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</si>
  <si>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</si>
  <si>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</si>
  <si>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</si>
  <si>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</si>
  <si>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</si>
  <si>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</si>
  <si>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</si>
  <si>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</si>
  <si>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</si>
  <si>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</si>
  <si>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</si>
  <si>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</si>
  <si>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</si>
  <si>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</si>
  <si>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</si>
  <si>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</si>
  <si>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</si>
  <si>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</si>
  <si>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</si>
  <si>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</si>
  <si>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</si>
  <si>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</si>
  <si>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</si>
  <si>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</si>
  <si>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</si>
  <si>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</si>
  <si>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</si>
  <si>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</si>
  <si>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</si>
  <si>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</si>
  <si>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</si>
  <si>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</si>
  <si>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</si>
  <si>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</si>
  <si>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</si>
  <si>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</si>
  <si>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</si>
  <si>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</si>
  <si>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</si>
  <si>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</si>
  <si>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</si>
  <si>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</si>
  <si>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</si>
  <si>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</si>
  <si>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</si>
  <si>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</si>
  <si>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</si>
  <si>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</si>
  <si>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</si>
  <si>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</si>
  <si>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</si>
  <si>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</si>
  <si>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</si>
  <si>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</si>
  <si>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</si>
  <si>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</si>
  <si>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</si>
  <si>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</si>
  <si>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</si>
  <si>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</si>
  <si>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</si>
  <si>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</si>
  <si>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</si>
  <si>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</si>
  <si>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</si>
  <si>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</si>
  <si>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</si>
  <si>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</si>
  <si>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</si>
  <si>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</si>
  <si>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</si>
  <si>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</si>
  <si>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</si>
  <si>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</si>
  <si>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</si>
  <si>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</si>
  <si>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</si>
  <si>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</si>
  <si>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</si>
  <si>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</si>
  <si>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</si>
  <si>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</si>
  <si>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</si>
  <si>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</si>
  <si>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</si>
  <si>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</si>
  <si>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</si>
  <si>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</si>
  <si>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</si>
  <si>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</si>
  <si>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</si>
  <si>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</si>
  <si>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</si>
  <si>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</si>
  <si>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</si>
  <si>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</si>
  <si>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</si>
  <si>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</si>
  <si>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</si>
  <si>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</si>
  <si>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</si>
  <si>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</si>
  <si>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</si>
  <si>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</si>
  <si>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</si>
  <si>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</si>
  <si>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</si>
  <si>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</si>
  <si>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</si>
  <si>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Name of partner compamy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</si>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</sst>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1"/>
      <color rgb="FF002060"/>
      <name val="Arial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2" fillId="2" borderId="0" xfId="0" applyFont="1" applyFill="1" applyAlignment="1">
      <alignment horizontal="left"/>
    </xf>
    <xf numFmtId="0" fontId="17" fillId="2" borderId="2" xfId="0" applyFont="1" applyFill="1" applyBorder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110</v>
      </c>
    </row>
    <row r="2" spans="2:4" x14ac:dyDescent="0.2">
      <c r="B2" s="6" t="s">
        <v>59</v>
      </c>
    </row>
    <row r="4" spans="2:4" ht="12.75" thickBot="1" x14ac:dyDescent="0.25">
      <c r="B4" s="12" t="s">
        <v>60</v>
      </c>
      <c r="C4" s="12" t="s">
        <v>61</v>
      </c>
      <c r="D4" s="12" t="s">
        <v>62</v>
      </c>
    </row>
    <row r="5" spans="2:4" x14ac:dyDescent="0.2">
      <c r="B5" s="7">
        <v>1</v>
      </c>
      <c r="C5" s="14" t="s">
        <v>63</v>
      </c>
    </row>
    <row r="6" spans="2:4" x14ac:dyDescent="0.2">
      <c r="B6" s="10">
        <v>2</v>
      </c>
      <c r="C6" s="11" t="s">
        <v>64</v>
      </c>
      <c r="D6" s="11"/>
    </row>
    <row r="7" spans="2:4" x14ac:dyDescent="0.2">
      <c r="B7" s="7">
        <v>3</v>
      </c>
      <c r="C7" s="20" t="s">
        <v>111</v>
      </c>
    </row>
    <row r="8" spans="2:4" x14ac:dyDescent="0.2">
      <c r="B8" s="7">
        <v>4</v>
      </c>
      <c r="C8" s="20" t="s">
        <v>112</v>
      </c>
    </row>
    <row r="9" spans="2:4" x14ac:dyDescent="0.2">
      <c r="B9" s="7">
        <v>5</v>
      </c>
      <c r="C9" s="20" t="s">
        <v>113</v>
      </c>
    </row>
    <row r="10" spans="2:4" x14ac:dyDescent="0.2">
      <c r="B10" s="10">
        <v>6</v>
      </c>
      <c r="C10" s="11" t="s">
        <v>65</v>
      </c>
      <c r="D10" s="11"/>
    </row>
    <row r="11" spans="2:4" x14ac:dyDescent="0.2">
      <c r="B11" s="7">
        <v>7</v>
      </c>
      <c r="C11" s="14" t="s">
        <v>94</v>
      </c>
    </row>
    <row r="12" spans="2:4" x14ac:dyDescent="0.2">
      <c r="B12" s="7">
        <v>8</v>
      </c>
      <c r="C12" s="14" t="s">
        <v>95</v>
      </c>
    </row>
    <row r="13" spans="2:4" x14ac:dyDescent="0.2">
      <c r="B13" s="8">
        <v>19</v>
      </c>
      <c r="C13" s="11" t="s">
        <v>96</v>
      </c>
      <c r="D13" s="9"/>
    </row>
    <row r="14" spans="2:4" x14ac:dyDescent="0.2">
      <c r="B14" s="7">
        <v>20</v>
      </c>
      <c r="C14" s="14" t="s">
        <v>97</v>
      </c>
    </row>
    <row r="15" spans="2:4" x14ac:dyDescent="0.2">
      <c r="B15" s="7">
        <v>21</v>
      </c>
      <c r="C15" s="14" t="s">
        <v>98</v>
      </c>
    </row>
    <row r="16" spans="2:4" x14ac:dyDescent="0.2">
      <c r="B16" s="7">
        <v>22</v>
      </c>
      <c r="C16" s="14" t="s">
        <v>99</v>
      </c>
    </row>
    <row r="17" spans="2:3" x14ac:dyDescent="0.2">
      <c r="B17" s="7">
        <v>23</v>
      </c>
      <c r="C17" s="14" t="s">
        <v>100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61"/>
  <sheetViews>
    <sheetView workbookViewId="0">
      <selection activeCell="B4" sqref="B4:G4"/>
    </sheetView>
  </sheetViews>
  <sheetFormatPr defaultColWidth="9.140625" defaultRowHeight="15" x14ac:dyDescent="0.25"/>
  <cols>
    <col min="1" max="1" width="2" style="2" customWidth="1"/>
    <col min="2" max="2" width="11" style="2" bestFit="1" customWidth="1"/>
    <col min="3" max="3" width="30" style="5" customWidth="1"/>
    <col min="4" max="4" width="23.85546875" style="5" bestFit="1" customWidth="1"/>
    <col min="5" max="5" width="36.5703125" style="5" bestFit="1" customWidth="1"/>
    <col min="6" max="6" width="11.7109375" style="5" bestFit="1" customWidth="1"/>
    <col min="7" max="7" width="11" style="5" bestFit="1" customWidth="1"/>
    <col min="8" max="16384" width="9.140625" style="2"/>
  </cols>
  <sheetData>
    <row r="1" spans="2:7" ht="15.75" x14ac:dyDescent="0.25">
      <c r="C1" s="21" t="s">
        <v>114</v>
      </c>
    </row>
    <row r="2" spans="2:7" ht="12" x14ac:dyDescent="0.2"/>
    <row r="3" spans="2:7" ht="12" x14ac:dyDescent="0.2"/>
    <row r="4" spans="2:7" ht="12" x14ac:dyDescent="0.2">
      <c r="B4" s="2" t="s">
        <v>117</v>
      </c>
      <c r="C4" s="5" t="s">
        <v>101</v>
      </c>
      <c r="D4" s="5" t="s">
        <v>33</v>
      </c>
      <c r="E4" s="5" t="s">
        <v>102</v>
      </c>
      <c r="F4" s="5" t="s">
        <v>103</v>
      </c>
      <c r="G4" s="5" t="s">
        <v>104</v>
      </c>
    </row>
    <row r="5" spans="2:7" ht="12" x14ac:dyDescent="0.2">
      <c r="B5" s="2" t="s">
        <v>118</v>
      </c>
      <c r="C5" s="5" t="s">
        <v>67</v>
      </c>
      <c r="D5" s="5">
        <v>111111</v>
      </c>
      <c r="E5" s="5" t="s">
        <v>105</v>
      </c>
      <c r="F5" s="15">
        <v>-14500341</v>
      </c>
      <c r="G5" s="5">
        <v>2001110000</v>
      </c>
    </row>
    <row r="6" spans="2:7" ht="12" x14ac:dyDescent="0.2">
      <c r="B6" s="2" t="s">
        <v>119</v>
      </c>
      <c r="C6" s="5" t="s">
        <v>68</v>
      </c>
      <c r="D6" s="5">
        <v>111111</v>
      </c>
      <c r="E6" s="5" t="s">
        <v>105</v>
      </c>
      <c r="F6" s="15">
        <v>-4794856.1919999998</v>
      </c>
      <c r="G6" s="5">
        <v>2001190000</v>
      </c>
    </row>
    <row r="7" spans="2:7" ht="12" x14ac:dyDescent="0.2">
      <c r="B7" s="2" t="s">
        <v>120</v>
      </c>
      <c r="C7" s="5" t="s">
        <v>69</v>
      </c>
      <c r="D7" s="5">
        <v>1009</v>
      </c>
      <c r="E7" s="5" t="s">
        <v>37</v>
      </c>
      <c r="F7" s="15">
        <v>-154890.4</v>
      </c>
      <c r="G7" s="5">
        <v>2020000000</v>
      </c>
    </row>
    <row r="8" spans="2:7" ht="12" x14ac:dyDescent="0.2">
      <c r="B8" s="2" t="s">
        <v>121</v>
      </c>
      <c r="C8" s="5" t="s">
        <v>69</v>
      </c>
      <c r="D8" s="5">
        <v>1007</v>
      </c>
      <c r="E8" s="5" t="s">
        <v>39</v>
      </c>
      <c r="F8" s="15">
        <v>-1180894.0520000001</v>
      </c>
      <c r="G8" s="5">
        <v>2020000000</v>
      </c>
    </row>
    <row r="9" spans="2:7" ht="12" x14ac:dyDescent="0.2">
      <c r="B9" s="2" t="s">
        <v>122</v>
      </c>
      <c r="C9" s="5" t="s">
        <v>69</v>
      </c>
      <c r="D9" s="5">
        <v>1008</v>
      </c>
      <c r="E9" s="5" t="s">
        <v>41</v>
      </c>
      <c r="F9" s="15">
        <v>-793079.51199999999</v>
      </c>
      <c r="G9" s="5">
        <v>2020000000</v>
      </c>
    </row>
    <row r="10" spans="2:7" ht="12" x14ac:dyDescent="0.2">
      <c r="B10" s="2" t="s">
        <v>123</v>
      </c>
      <c r="C10" s="5" t="s">
        <v>69</v>
      </c>
      <c r="D10" s="5">
        <v>111101</v>
      </c>
      <c r="E10" s="5" t="s">
        <v>2</v>
      </c>
      <c r="F10" s="15">
        <v>-2277197.6</v>
      </c>
      <c r="G10" s="5">
        <v>2020000000</v>
      </c>
    </row>
    <row r="11" spans="2:7" ht="12" x14ac:dyDescent="0.2">
      <c r="B11" s="2" t="s">
        <v>124</v>
      </c>
      <c r="C11" s="5" t="s">
        <v>106</v>
      </c>
      <c r="D11" s="5">
        <v>111111</v>
      </c>
      <c r="E11" s="5" t="s">
        <v>105</v>
      </c>
      <c r="F11" s="15">
        <v>4428911.7640000004</v>
      </c>
      <c r="G11" s="5">
        <v>2021900000</v>
      </c>
    </row>
    <row r="12" spans="2:7" ht="12" x14ac:dyDescent="0.2">
      <c r="B12" s="2" t="s">
        <v>125</v>
      </c>
      <c r="C12" s="5" t="s">
        <v>71</v>
      </c>
      <c r="D12" s="5">
        <v>111111</v>
      </c>
      <c r="E12" s="5" t="s">
        <v>105</v>
      </c>
      <c r="F12" s="15">
        <v>16977.628000000001</v>
      </c>
      <c r="G12" s="5">
        <v>2024080000</v>
      </c>
    </row>
    <row r="13" spans="2:7" ht="12" x14ac:dyDescent="0.2">
      <c r="B13" s="2" t="s">
        <v>126</v>
      </c>
      <c r="C13" s="5" t="s">
        <v>70</v>
      </c>
      <c r="D13" s="5">
        <v>88</v>
      </c>
      <c r="E13" s="5" t="s">
        <v>34</v>
      </c>
      <c r="F13" s="15">
        <v>2245437.54</v>
      </c>
      <c r="G13" s="5">
        <v>2024090000</v>
      </c>
    </row>
    <row r="14" spans="2:7" ht="12" x14ac:dyDescent="0.2">
      <c r="B14" s="2" t="s">
        <v>127</v>
      </c>
      <c r="C14" s="5" t="s">
        <v>70</v>
      </c>
      <c r="D14" s="5">
        <v>111111</v>
      </c>
      <c r="E14" s="5" t="s">
        <v>105</v>
      </c>
      <c r="F14" s="15">
        <v>16605.634000000002</v>
      </c>
      <c r="G14" s="5">
        <v>2024090000</v>
      </c>
    </row>
    <row r="15" spans="2:7" ht="12" x14ac:dyDescent="0.2">
      <c r="B15" s="2" t="s">
        <v>128</v>
      </c>
      <c r="C15" s="5" t="s">
        <v>3</v>
      </c>
      <c r="D15" s="5">
        <v>111111</v>
      </c>
      <c r="E15" s="5" t="s">
        <v>105</v>
      </c>
      <c r="F15" s="15">
        <v>4683394.0460000001</v>
      </c>
      <c r="G15" s="5">
        <v>2041000000</v>
      </c>
    </row>
    <row r="16" spans="2:7" ht="12" x14ac:dyDescent="0.2">
      <c r="B16" s="2" t="s">
        <v>129</v>
      </c>
      <c r="C16" s="5" t="s">
        <v>72</v>
      </c>
      <c r="D16" s="5">
        <v>111101</v>
      </c>
      <c r="E16" s="5" t="s">
        <v>2</v>
      </c>
      <c r="F16" s="15">
        <v>1143051.5760000001</v>
      </c>
      <c r="G16" s="5">
        <v>2042000000</v>
      </c>
    </row>
    <row r="17" spans="2:7" ht="12" x14ac:dyDescent="0.2">
      <c r="B17" s="2" t="s">
        <v>130</v>
      </c>
      <c r="C17" s="5" t="s">
        <v>72</v>
      </c>
      <c r="D17" s="5">
        <v>88</v>
      </c>
      <c r="E17" s="5" t="s">
        <v>34</v>
      </c>
      <c r="F17" s="15">
        <v>239379.61800000002</v>
      </c>
      <c r="G17" s="5">
        <v>2042000000</v>
      </c>
    </row>
    <row r="18" spans="2:7" ht="12" x14ac:dyDescent="0.2">
      <c r="B18" s="2" t="s">
        <v>131</v>
      </c>
      <c r="C18" s="5" t="s">
        <v>73</v>
      </c>
      <c r="D18" s="5">
        <v>111101</v>
      </c>
      <c r="E18" s="5" t="s">
        <v>2</v>
      </c>
      <c r="F18" s="15">
        <v>104913.8</v>
      </c>
      <c r="G18" s="5">
        <v>2045000000</v>
      </c>
    </row>
    <row r="19" spans="2:7" ht="12" x14ac:dyDescent="0.2">
      <c r="B19" s="2" t="s">
        <v>132</v>
      </c>
      <c r="C19" s="5" t="s">
        <v>74</v>
      </c>
      <c r="D19" s="5">
        <v>111101</v>
      </c>
      <c r="E19" s="5" t="s">
        <v>2</v>
      </c>
      <c r="F19" s="15">
        <v>2003262.2180000001</v>
      </c>
      <c r="G19" s="5">
        <v>2051210000</v>
      </c>
    </row>
    <row r="20" spans="2:7" ht="12" x14ac:dyDescent="0.2">
      <c r="B20" s="2" t="s">
        <v>133</v>
      </c>
      <c r="C20" s="5" t="s">
        <v>74</v>
      </c>
      <c r="D20" s="5">
        <v>1</v>
      </c>
      <c r="E20" s="5" t="s">
        <v>2</v>
      </c>
      <c r="F20" s="15">
        <v>41981.296000000002</v>
      </c>
      <c r="G20" s="5">
        <v>2051210000</v>
      </c>
    </row>
    <row r="21" spans="2:7" ht="12" x14ac:dyDescent="0.2">
      <c r="B21" s="2" t="s">
        <v>134</v>
      </c>
      <c r="C21" s="5" t="s">
        <v>75</v>
      </c>
      <c r="D21" s="5" t="s">
        <v>5</v>
      </c>
      <c r="E21" s="5" t="s">
        <v>42</v>
      </c>
      <c r="F21" s="15">
        <v>-2156147.4</v>
      </c>
      <c r="G21" s="5">
        <v>2069010000</v>
      </c>
    </row>
    <row r="22" spans="2:7" ht="12" x14ac:dyDescent="0.2">
      <c r="B22" s="2" t="s">
        <v>135</v>
      </c>
      <c r="C22" s="5" t="s">
        <v>75</v>
      </c>
      <c r="D22" s="5">
        <v>14</v>
      </c>
      <c r="E22" s="5" t="s">
        <v>43</v>
      </c>
      <c r="F22" s="15">
        <v>-291428.55199999997</v>
      </c>
      <c r="G22" s="5">
        <v>2069010000</v>
      </c>
    </row>
    <row r="23" spans="2:7" ht="12" x14ac:dyDescent="0.2">
      <c r="B23" s="2" t="s">
        <v>136</v>
      </c>
      <c r="C23" s="5" t="s">
        <v>75</v>
      </c>
      <c r="D23" s="5">
        <v>1037</v>
      </c>
      <c r="E23" s="5" t="s">
        <v>48</v>
      </c>
      <c r="F23" s="15">
        <v>0</v>
      </c>
      <c r="G23" s="5">
        <v>2069010000</v>
      </c>
    </row>
    <row r="24" spans="2:7" ht="12" x14ac:dyDescent="0.2">
      <c r="B24" s="2" t="s">
        <v>137</v>
      </c>
      <c r="C24" s="5" t="s">
        <v>75</v>
      </c>
      <c r="D24" s="5" t="s">
        <v>6</v>
      </c>
      <c r="E24" s="5" t="s">
        <v>47</v>
      </c>
      <c r="F24" s="15">
        <v>-33736.5</v>
      </c>
      <c r="G24" s="5">
        <v>2069010000</v>
      </c>
    </row>
    <row r="25" spans="2:7" ht="12" x14ac:dyDescent="0.2">
      <c r="B25" s="2" t="s">
        <v>138</v>
      </c>
      <c r="C25" s="5" t="s">
        <v>75</v>
      </c>
      <c r="D25" s="5">
        <v>1009</v>
      </c>
      <c r="E25" s="5" t="s">
        <v>37</v>
      </c>
      <c r="F25" s="15">
        <v>0</v>
      </c>
      <c r="G25" s="5">
        <v>2069010000</v>
      </c>
    </row>
    <row r="26" spans="2:7" ht="12" x14ac:dyDescent="0.2">
      <c r="B26" s="2" t="s">
        <v>139</v>
      </c>
      <c r="C26" s="5" t="s">
        <v>75</v>
      </c>
      <c r="D26" s="5">
        <v>1007</v>
      </c>
      <c r="E26" s="5" t="s">
        <v>39</v>
      </c>
      <c r="F26" s="15">
        <v>0</v>
      </c>
      <c r="G26" s="5">
        <v>2069010000</v>
      </c>
    </row>
    <row r="27" spans="2:7" ht="12" x14ac:dyDescent="0.2">
      <c r="B27" s="2" t="s">
        <v>140</v>
      </c>
      <c r="C27" s="5" t="s">
        <v>75</v>
      </c>
      <c r="D27" s="5">
        <v>1008</v>
      </c>
      <c r="E27" s="5" t="s">
        <v>41</v>
      </c>
      <c r="F27" s="15">
        <v>0</v>
      </c>
      <c r="G27" s="5">
        <v>2069010000</v>
      </c>
    </row>
    <row r="28" spans="2:7" ht="12" x14ac:dyDescent="0.2">
      <c r="B28" s="2" t="s">
        <v>141</v>
      </c>
      <c r="C28" s="5" t="s">
        <v>75</v>
      </c>
      <c r="D28" s="5">
        <v>1240</v>
      </c>
      <c r="E28" s="5" t="s">
        <v>46</v>
      </c>
      <c r="F28" s="15">
        <v>-199600.4</v>
      </c>
      <c r="G28" s="5">
        <v>2069010000</v>
      </c>
    </row>
    <row r="29" spans="2:7" ht="12" x14ac:dyDescent="0.2">
      <c r="B29" s="2" t="s">
        <v>142</v>
      </c>
      <c r="C29" s="5" t="s">
        <v>75</v>
      </c>
      <c r="D29" s="5">
        <v>111111</v>
      </c>
      <c r="E29" s="5" t="s">
        <v>105</v>
      </c>
      <c r="F29" s="15">
        <v>-539141.4</v>
      </c>
      <c r="G29" s="5">
        <v>2069010000</v>
      </c>
    </row>
    <row r="30" spans="2:7" ht="12" x14ac:dyDescent="0.2">
      <c r="B30" s="2" t="s">
        <v>143</v>
      </c>
      <c r="C30" s="5" t="s">
        <v>76</v>
      </c>
      <c r="D30" s="5">
        <v>111111</v>
      </c>
      <c r="E30" s="5" t="s">
        <v>105</v>
      </c>
      <c r="F30" s="15">
        <v>-57.221999999999994</v>
      </c>
      <c r="G30" s="5">
        <v>2069980000</v>
      </c>
    </row>
    <row r="31" spans="2:7" ht="12" x14ac:dyDescent="0.2">
      <c r="B31" s="2" t="s">
        <v>144</v>
      </c>
      <c r="C31" s="5" t="s">
        <v>77</v>
      </c>
      <c r="D31" s="5">
        <v>111111</v>
      </c>
      <c r="E31" s="5" t="s">
        <v>105</v>
      </c>
      <c r="F31" s="15">
        <v>22314.879999999997</v>
      </c>
      <c r="G31" s="5">
        <v>2070400000</v>
      </c>
    </row>
    <row r="32" spans="2:7" ht="12" x14ac:dyDescent="0.2">
      <c r="B32" s="2" t="s">
        <v>145</v>
      </c>
      <c r="C32" s="5" t="s">
        <v>78</v>
      </c>
      <c r="D32" s="5">
        <v>88</v>
      </c>
      <c r="E32" s="5" t="s">
        <v>34</v>
      </c>
      <c r="F32" s="15">
        <v>204000</v>
      </c>
      <c r="G32" s="5">
        <v>2070500000</v>
      </c>
    </row>
    <row r="33" spans="2:7" ht="12" x14ac:dyDescent="0.2">
      <c r="B33" s="2" t="s">
        <v>146</v>
      </c>
      <c r="C33" s="5" t="s">
        <v>78</v>
      </c>
      <c r="D33" s="5">
        <v>111111</v>
      </c>
      <c r="E33" s="5" t="s">
        <v>105</v>
      </c>
      <c r="F33" s="15">
        <v>138.41399999999999</v>
      </c>
      <c r="G33" s="5">
        <v>2070500000</v>
      </c>
    </row>
    <row r="34" spans="2:7" ht="12" x14ac:dyDescent="0.2">
      <c r="B34" s="2" t="s">
        <v>147</v>
      </c>
      <c r="C34" s="5" t="s">
        <v>79</v>
      </c>
      <c r="D34" s="5">
        <v>111111</v>
      </c>
      <c r="E34" s="5" t="s">
        <v>105</v>
      </c>
      <c r="F34" s="15">
        <v>1127445.872</v>
      </c>
      <c r="G34" s="5">
        <v>2070600000</v>
      </c>
    </row>
    <row r="35" spans="2:7" ht="12" x14ac:dyDescent="0.2">
      <c r="B35" s="2" t="s">
        <v>148</v>
      </c>
      <c r="C35" s="5" t="s">
        <v>80</v>
      </c>
      <c r="D35" s="5" t="s">
        <v>7</v>
      </c>
      <c r="E35" s="5" t="s">
        <v>44</v>
      </c>
      <c r="F35" s="15">
        <v>133722</v>
      </c>
      <c r="G35" s="5">
        <v>2070900000</v>
      </c>
    </row>
    <row r="36" spans="2:7" ht="12" x14ac:dyDescent="0.2">
      <c r="B36" s="2" t="s">
        <v>149</v>
      </c>
      <c r="C36" s="5" t="s">
        <v>80</v>
      </c>
      <c r="D36" s="5" t="s">
        <v>8</v>
      </c>
      <c r="E36" s="5" t="s">
        <v>45</v>
      </c>
      <c r="F36" s="15">
        <v>328061.886</v>
      </c>
      <c r="G36" s="5">
        <v>2070900000</v>
      </c>
    </row>
    <row r="37" spans="2:7" ht="12" x14ac:dyDescent="0.2">
      <c r="B37" s="2" t="s">
        <v>150</v>
      </c>
      <c r="C37" s="5" t="s">
        <v>80</v>
      </c>
      <c r="D37" s="5">
        <v>111111</v>
      </c>
      <c r="E37" s="5" t="s">
        <v>105</v>
      </c>
      <c r="F37" s="15">
        <v>2081304.3219999997</v>
      </c>
      <c r="G37" s="5">
        <v>2070900000</v>
      </c>
    </row>
    <row r="38" spans="2:7" ht="12" x14ac:dyDescent="0.2">
      <c r="B38" s="2" t="s">
        <v>151</v>
      </c>
      <c r="C38" s="5" t="s">
        <v>9</v>
      </c>
      <c r="D38" s="5">
        <v>111111</v>
      </c>
      <c r="E38" s="5" t="s">
        <v>105</v>
      </c>
      <c r="F38" s="15">
        <v>33410.031999999999</v>
      </c>
      <c r="G38" s="5">
        <v>2071000000</v>
      </c>
    </row>
    <row r="39" spans="2:7" ht="12" x14ac:dyDescent="0.2">
      <c r="B39" s="2" t="s">
        <v>152</v>
      </c>
      <c r="C39" s="5" t="s">
        <v>81</v>
      </c>
      <c r="D39" s="5">
        <v>111111</v>
      </c>
      <c r="E39" s="5" t="s">
        <v>105</v>
      </c>
      <c r="F39" s="15">
        <v>213090.85199999998</v>
      </c>
      <c r="G39" s="5">
        <v>2071100000</v>
      </c>
    </row>
    <row r="40" spans="2:7" ht="12" x14ac:dyDescent="0.2">
      <c r="B40" s="2" t="s">
        <v>153</v>
      </c>
      <c r="C40" s="5" t="s">
        <v>10</v>
      </c>
      <c r="D40" s="5">
        <v>111111</v>
      </c>
      <c r="E40" s="5" t="s">
        <v>105</v>
      </c>
      <c r="F40" s="15">
        <v>1813525.004</v>
      </c>
      <c r="G40" s="5">
        <v>2071209200</v>
      </c>
    </row>
    <row r="41" spans="2:7" ht="12" x14ac:dyDescent="0.2">
      <c r="B41" s="2" t="s">
        <v>154</v>
      </c>
      <c r="C41" s="5" t="s">
        <v>82</v>
      </c>
      <c r="D41" s="5">
        <v>111111</v>
      </c>
      <c r="E41" s="5" t="s">
        <v>105</v>
      </c>
      <c r="F41" s="15">
        <v>5552.2</v>
      </c>
      <c r="G41" s="5">
        <v>2071209400</v>
      </c>
    </row>
    <row r="42" spans="2:7" ht="12" x14ac:dyDescent="0.2">
      <c r="B42" s="2" t="s">
        <v>155</v>
      </c>
      <c r="C42" s="5" t="s">
        <v>83</v>
      </c>
      <c r="D42" s="5">
        <v>111111</v>
      </c>
      <c r="E42" s="5" t="s">
        <v>105</v>
      </c>
      <c r="F42" s="15">
        <v>43868.975999999995</v>
      </c>
      <c r="G42" s="5">
        <v>2071209500</v>
      </c>
    </row>
    <row r="43" spans="2:7" ht="12" x14ac:dyDescent="0.2">
      <c r="B43" s="2" t="s">
        <v>156</v>
      </c>
      <c r="C43" s="5" t="s">
        <v>84</v>
      </c>
      <c r="D43" s="5">
        <v>111101</v>
      </c>
      <c r="E43" s="5" t="s">
        <v>2</v>
      </c>
      <c r="F43" s="15">
        <v>10934.671999999999</v>
      </c>
      <c r="G43" s="5">
        <v>2071980000</v>
      </c>
    </row>
    <row r="44" spans="2:7" ht="12" x14ac:dyDescent="0.2">
      <c r="B44" s="2" t="s">
        <v>157</v>
      </c>
      <c r="C44" s="5" t="s">
        <v>85</v>
      </c>
      <c r="D44" s="5">
        <v>111111</v>
      </c>
      <c r="E44" s="5" t="s">
        <v>105</v>
      </c>
      <c r="F44" s="15">
        <v>20400</v>
      </c>
      <c r="G44" s="5">
        <v>2079022000</v>
      </c>
    </row>
    <row r="45" spans="2:7" ht="12" x14ac:dyDescent="0.2">
      <c r="B45" s="2" t="s">
        <v>158</v>
      </c>
      <c r="C45" s="5" t="s">
        <v>86</v>
      </c>
      <c r="D45" s="5">
        <v>105</v>
      </c>
      <c r="E45" s="5" t="s">
        <v>35</v>
      </c>
      <c r="F45" s="15">
        <v>0</v>
      </c>
      <c r="G45" s="5">
        <v>2079070000</v>
      </c>
    </row>
    <row r="46" spans="2:7" ht="12" x14ac:dyDescent="0.2">
      <c r="B46" s="2" t="s">
        <v>159</v>
      </c>
      <c r="C46" s="5" t="s">
        <v>86</v>
      </c>
      <c r="D46" s="5">
        <v>111111</v>
      </c>
      <c r="E46" s="5" t="s">
        <v>105</v>
      </c>
      <c r="F46" s="15">
        <v>563918.152</v>
      </c>
      <c r="G46" s="5">
        <v>2079070000</v>
      </c>
    </row>
    <row r="47" spans="2:7" ht="12" x14ac:dyDescent="0.2">
      <c r="B47" s="2" t="s">
        <v>160</v>
      </c>
      <c r="C47" s="5" t="s">
        <v>87</v>
      </c>
      <c r="D47" s="5">
        <v>1009</v>
      </c>
      <c r="E47" s="5" t="s">
        <v>37</v>
      </c>
      <c r="F47" s="15">
        <v>0</v>
      </c>
      <c r="G47" s="5">
        <v>2079080000</v>
      </c>
    </row>
    <row r="48" spans="2:7" ht="12" x14ac:dyDescent="0.2">
      <c r="B48" s="2" t="s">
        <v>161</v>
      </c>
      <c r="C48" s="5" t="s">
        <v>87</v>
      </c>
      <c r="D48" s="5">
        <v>1007</v>
      </c>
      <c r="E48" s="5" t="s">
        <v>39</v>
      </c>
      <c r="F48" s="15">
        <v>0</v>
      </c>
      <c r="G48" s="5">
        <v>2079080000</v>
      </c>
    </row>
    <row r="49" spans="2:7" ht="12" x14ac:dyDescent="0.2">
      <c r="B49" s="2" t="s">
        <v>162</v>
      </c>
      <c r="C49" s="5" t="s">
        <v>87</v>
      </c>
      <c r="D49" s="5">
        <v>1008</v>
      </c>
      <c r="E49" s="5" t="s">
        <v>41</v>
      </c>
      <c r="F49" s="15">
        <v>0</v>
      </c>
      <c r="G49" s="5">
        <v>2079080000</v>
      </c>
    </row>
    <row r="50" spans="2:7" ht="12" x14ac:dyDescent="0.2">
      <c r="B50" s="2" t="s">
        <v>163</v>
      </c>
      <c r="C50" s="5" t="s">
        <v>88</v>
      </c>
      <c r="D50" s="5">
        <v>1009</v>
      </c>
      <c r="E50" s="5" t="s">
        <v>37</v>
      </c>
      <c r="F50" s="15">
        <v>0</v>
      </c>
      <c r="G50" s="5">
        <v>2082280000</v>
      </c>
    </row>
    <row r="51" spans="2:7" ht="12" x14ac:dyDescent="0.2">
      <c r="B51" s="2" t="s">
        <v>164</v>
      </c>
      <c r="C51" s="5" t="s">
        <v>88</v>
      </c>
      <c r="D51" s="5">
        <v>1007</v>
      </c>
      <c r="E51" s="5" t="s">
        <v>39</v>
      </c>
      <c r="F51" s="15">
        <v>0</v>
      </c>
      <c r="G51" s="5">
        <v>2082280000</v>
      </c>
    </row>
    <row r="52" spans="2:7" ht="12" x14ac:dyDescent="0.2">
      <c r="B52" s="2" t="s">
        <v>165</v>
      </c>
      <c r="C52" s="5" t="s">
        <v>88</v>
      </c>
      <c r="D52" s="5">
        <v>1008</v>
      </c>
      <c r="E52" s="5" t="s">
        <v>41</v>
      </c>
      <c r="F52" s="15">
        <v>0</v>
      </c>
      <c r="G52" s="5">
        <v>2082280000</v>
      </c>
    </row>
    <row r="53" spans="2:7" ht="12" x14ac:dyDescent="0.2">
      <c r="B53" s="2" t="s">
        <v>166</v>
      </c>
      <c r="C53" s="5" t="s">
        <v>88</v>
      </c>
      <c r="D53" s="5">
        <v>1240</v>
      </c>
      <c r="E53" s="5" t="s">
        <v>46</v>
      </c>
      <c r="F53" s="15">
        <v>-35810.228000000003</v>
      </c>
      <c r="G53" s="5">
        <v>2082280000</v>
      </c>
    </row>
    <row r="54" spans="2:7" ht="12" x14ac:dyDescent="0.2">
      <c r="B54" s="2" t="s">
        <v>167</v>
      </c>
      <c r="C54" s="5" t="s">
        <v>88</v>
      </c>
      <c r="D54" s="5">
        <v>111111</v>
      </c>
      <c r="E54" s="5" t="s">
        <v>105</v>
      </c>
      <c r="F54" s="15">
        <v>-51927.417999999998</v>
      </c>
      <c r="G54" s="5">
        <v>2082280000</v>
      </c>
    </row>
    <row r="55" spans="2:7" ht="12" x14ac:dyDescent="0.2">
      <c r="B55" s="2" t="s">
        <v>168</v>
      </c>
      <c r="C55" s="5" t="s">
        <v>11</v>
      </c>
      <c r="D55" s="5">
        <v>111101</v>
      </c>
      <c r="E55" s="5" t="s">
        <v>2</v>
      </c>
      <c r="F55" s="15">
        <v>-862270.63399999996</v>
      </c>
      <c r="G55" s="5">
        <v>2082202000</v>
      </c>
    </row>
    <row r="56" spans="2:7" ht="12" x14ac:dyDescent="0.2">
      <c r="B56" s="2" t="s">
        <v>169</v>
      </c>
      <c r="C56" s="5" t="s">
        <v>89</v>
      </c>
      <c r="D56" s="5">
        <v>111101</v>
      </c>
      <c r="E56" s="5" t="s">
        <v>2</v>
      </c>
      <c r="F56" s="15">
        <v>22763</v>
      </c>
      <c r="G56" s="5">
        <v>2082208200</v>
      </c>
    </row>
    <row r="57" spans="2:7" ht="12" x14ac:dyDescent="0.2">
      <c r="B57" s="2" t="s">
        <v>170</v>
      </c>
      <c r="C57" s="5" t="s">
        <v>90</v>
      </c>
      <c r="D57" s="5">
        <v>88</v>
      </c>
      <c r="E57" s="5" t="s">
        <v>34</v>
      </c>
      <c r="F57" s="15">
        <v>2930430.0120000001</v>
      </c>
      <c r="G57" s="5">
        <v>2082214000</v>
      </c>
    </row>
    <row r="58" spans="2:7" ht="12" x14ac:dyDescent="0.2">
      <c r="B58" s="2" t="s">
        <v>171</v>
      </c>
      <c r="C58" s="5" t="s">
        <v>91</v>
      </c>
      <c r="D58" s="5">
        <v>111101</v>
      </c>
      <c r="E58" s="5" t="s">
        <v>2</v>
      </c>
      <c r="F58" s="15">
        <v>-49378.641999999993</v>
      </c>
      <c r="G58" s="5">
        <v>2091200000</v>
      </c>
    </row>
    <row r="59" spans="2:7" ht="12" x14ac:dyDescent="0.2">
      <c r="B59" s="2" t="s">
        <v>172</v>
      </c>
      <c r="C59" s="5" t="s">
        <v>92</v>
      </c>
      <c r="D59" s="5">
        <v>111101</v>
      </c>
      <c r="E59" s="5" t="s">
        <v>2</v>
      </c>
      <c r="F59" s="15">
        <v>516250.67</v>
      </c>
      <c r="G59" s="5">
        <v>2091200001</v>
      </c>
    </row>
    <row r="60" spans="2:7" ht="12" x14ac:dyDescent="0.2">
      <c r="B60" s="2" t="s">
        <v>173</v>
      </c>
      <c r="C60" s="5" t="s">
        <v>93</v>
      </c>
      <c r="D60" s="5">
        <v>111101</v>
      </c>
      <c r="E60" s="5" t="s">
        <v>2</v>
      </c>
      <c r="F60" s="15">
        <v>21593.093999999997</v>
      </c>
      <c r="G60" s="5">
        <v>2092200000</v>
      </c>
    </row>
    <row r="61" spans="2:7" ht="12" x14ac:dyDescent="0.2">
      <c r="B61" s="2" t="s">
        <v>174</v>
      </c>
      <c r="C61" s="16" t="s">
        <v>66</v>
      </c>
      <c r="D61" s="16">
        <v>111101</v>
      </c>
      <c r="E61" s="16" t="s">
        <v>2</v>
      </c>
      <c r="F61" s="17">
        <v>-2904117.9939999986</v>
      </c>
      <c r="G61" s="16">
        <v>2999999999</v>
      </c>
    </row>
  </sheetData>
  <autoFilter ref="C4:G61" xr:uid="{00000000-0001-0000-03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9"/>
  <sheetViews>
    <sheetView workbookViewId="0">
      <selection activeCell="B4" sqref="B4:G4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8" max="16384" width="9.140625" style="2"/>
  </cols>
  <sheetData>
    <row r="1" spans="2:7" ht="15.75" x14ac:dyDescent="0.25">
      <c r="C1" s="3" t="s">
        <v>115</v>
      </c>
    </row>
    <row r="2" spans="2:7" ht="12" x14ac:dyDescent="0.2"/>
    <row r="3" spans="2:7" ht="12" x14ac:dyDescent="0.2"/>
    <row r="4" spans="2:7" ht="12" x14ac:dyDescent="0.2">
      <c r="B4" s="2" t="s">
        <v>117</v>
      </c>
      <c r="C4" s="5" t="s">
        <v>101</v>
      </c>
      <c r="D4" s="5" t="s">
        <v>33</v>
      </c>
      <c r="E4" s="5" t="s">
        <v>102</v>
      </c>
      <c r="F4" s="5" t="s">
        <v>103</v>
      </c>
      <c r="G4" s="5" t="s">
        <v>104</v>
      </c>
    </row>
    <row r="5" spans="2:7" ht="12" x14ac:dyDescent="0.2">
      <c r="B5" s="2" t="str">
        <f>G5&amp;D5</f>
        <v>2001110000105</v>
      </c>
      <c r="C5" s="5" t="s">
        <v>67</v>
      </c>
      <c r="D5" s="5">
        <v>105</v>
      </c>
      <c r="E5" s="5" t="s">
        <v>35</v>
      </c>
      <c r="F5" s="15">
        <v>-355396.61499999999</v>
      </c>
      <c r="G5" s="5">
        <v>2001110000</v>
      </c>
    </row>
    <row r="6" spans="2:7" ht="12" x14ac:dyDescent="0.2">
      <c r="B6" s="2" t="str">
        <f>G6&amp;D6</f>
        <v>2001110000111111</v>
      </c>
      <c r="C6" s="5" t="s">
        <v>67</v>
      </c>
      <c r="D6" s="5">
        <v>111111</v>
      </c>
      <c r="E6" s="5" t="s">
        <v>105</v>
      </c>
      <c r="F6" s="15">
        <v>-15792898.75</v>
      </c>
      <c r="G6" s="5">
        <v>2001110000</v>
      </c>
    </row>
    <row r="7" spans="2:7" ht="12" x14ac:dyDescent="0.2">
      <c r="B7" s="2" t="str">
        <f>G7&amp;D7</f>
        <v>2001190000111111</v>
      </c>
      <c r="C7" s="5" t="s">
        <v>68</v>
      </c>
      <c r="D7" s="5">
        <v>111111</v>
      </c>
      <c r="E7" s="5" t="s">
        <v>105</v>
      </c>
      <c r="F7" s="15">
        <v>-6960217.6449999996</v>
      </c>
      <c r="G7" s="5">
        <v>2001190000</v>
      </c>
    </row>
    <row r="8" spans="2:7" ht="12" x14ac:dyDescent="0.2">
      <c r="B8" s="2" t="str">
        <f>G8&amp;D8</f>
        <v>20200000001086</v>
      </c>
      <c r="C8" s="5" t="s">
        <v>69</v>
      </c>
      <c r="D8" s="5" t="s">
        <v>12</v>
      </c>
      <c r="E8" s="5" t="s">
        <v>49</v>
      </c>
      <c r="F8" s="15">
        <v>-420017.14999999997</v>
      </c>
      <c r="G8" s="5">
        <v>2020000000</v>
      </c>
    </row>
    <row r="9" spans="2:7" ht="12" x14ac:dyDescent="0.2">
      <c r="B9" s="2" t="str">
        <f>G9&amp;D9</f>
        <v>20200000001007</v>
      </c>
      <c r="C9" s="5" t="s">
        <v>69</v>
      </c>
      <c r="D9" s="5">
        <v>1007</v>
      </c>
      <c r="E9" s="5" t="s">
        <v>39</v>
      </c>
      <c r="F9" s="15">
        <v>-89234.880000000005</v>
      </c>
      <c r="G9" s="5">
        <v>2020000000</v>
      </c>
    </row>
    <row r="10" spans="2:7" ht="12" x14ac:dyDescent="0.2">
      <c r="B10" s="2" t="str">
        <f>G10&amp;D10</f>
        <v>20200000001008</v>
      </c>
      <c r="C10" s="5" t="s">
        <v>69</v>
      </c>
      <c r="D10" s="5">
        <v>1008</v>
      </c>
      <c r="E10" s="5" t="s">
        <v>41</v>
      </c>
      <c r="F10" s="15">
        <v>-26173</v>
      </c>
      <c r="G10" s="5">
        <v>2020000000</v>
      </c>
    </row>
    <row r="11" spans="2:7" ht="12" x14ac:dyDescent="0.2">
      <c r="B11" s="2" t="str">
        <f>G11&amp;D11</f>
        <v>2020000000111101</v>
      </c>
      <c r="C11" s="5" t="s">
        <v>69</v>
      </c>
      <c r="D11" s="5">
        <v>111101</v>
      </c>
      <c r="E11" s="5" t="s">
        <v>2</v>
      </c>
      <c r="F11" s="15">
        <v>-209401.92</v>
      </c>
      <c r="G11" s="5">
        <v>2020000000</v>
      </c>
    </row>
    <row r="12" spans="2:7" ht="12" x14ac:dyDescent="0.2">
      <c r="B12" s="2" t="str">
        <f>G12&amp;D12</f>
        <v>2021210000111111</v>
      </c>
      <c r="C12" s="5" t="s">
        <v>107</v>
      </c>
      <c r="D12" s="5">
        <v>111111</v>
      </c>
      <c r="E12" s="5" t="s">
        <v>105</v>
      </c>
      <c r="F12" s="15">
        <v>14589.33</v>
      </c>
      <c r="G12" s="5">
        <v>2021210000</v>
      </c>
    </row>
    <row r="13" spans="2:7" ht="12" x14ac:dyDescent="0.2">
      <c r="B13" s="2" t="str">
        <f>G13&amp;D13</f>
        <v>2021900000111111</v>
      </c>
      <c r="C13" s="5" t="s">
        <v>106</v>
      </c>
      <c r="D13" s="5">
        <v>111111</v>
      </c>
      <c r="E13" s="5" t="s">
        <v>105</v>
      </c>
      <c r="F13" s="15">
        <v>5463188.8250000002</v>
      </c>
      <c r="G13" s="5">
        <v>2021900000</v>
      </c>
    </row>
    <row r="14" spans="2:7" ht="12" x14ac:dyDescent="0.2">
      <c r="B14" s="2" t="str">
        <f>G14&amp;D14</f>
        <v>2024080000111111</v>
      </c>
      <c r="C14" s="5" t="s">
        <v>71</v>
      </c>
      <c r="D14" s="5">
        <v>111111</v>
      </c>
      <c r="E14" s="5" t="s">
        <v>105</v>
      </c>
      <c r="F14" s="15">
        <v>343675</v>
      </c>
      <c r="G14" s="5">
        <v>2024080000</v>
      </c>
    </row>
    <row r="15" spans="2:7" ht="12" x14ac:dyDescent="0.2">
      <c r="B15" s="2" t="str">
        <f>G15&amp;D15</f>
        <v>202409000019</v>
      </c>
      <c r="C15" s="5" t="s">
        <v>70</v>
      </c>
      <c r="D15" s="5">
        <v>19</v>
      </c>
      <c r="E15" s="5" t="s">
        <v>43</v>
      </c>
      <c r="F15" s="15">
        <v>38521</v>
      </c>
      <c r="G15" s="5">
        <v>2024090000</v>
      </c>
    </row>
    <row r="16" spans="2:7" ht="12" x14ac:dyDescent="0.2">
      <c r="B16" s="2" t="str">
        <f>G16&amp;D16</f>
        <v>202409000088</v>
      </c>
      <c r="C16" s="5" t="s">
        <v>70</v>
      </c>
      <c r="D16" s="5">
        <v>88</v>
      </c>
      <c r="E16" s="5" t="s">
        <v>34</v>
      </c>
      <c r="F16" s="15">
        <v>1980162.23</v>
      </c>
      <c r="G16" s="5">
        <v>2024090000</v>
      </c>
    </row>
    <row r="17" spans="2:7" ht="12" x14ac:dyDescent="0.2">
      <c r="B17" s="2" t="str">
        <f>G17&amp;D17</f>
        <v>20240900001283</v>
      </c>
      <c r="C17" s="5" t="s">
        <v>70</v>
      </c>
      <c r="D17" s="5" t="s">
        <v>13</v>
      </c>
      <c r="E17" s="5" t="s">
        <v>36</v>
      </c>
      <c r="F17" s="15">
        <v>1820</v>
      </c>
      <c r="G17" s="5">
        <v>2024090000</v>
      </c>
    </row>
    <row r="18" spans="2:7" ht="12" x14ac:dyDescent="0.2">
      <c r="B18" s="2" t="str">
        <f>G18&amp;D18</f>
        <v>20240900001924</v>
      </c>
      <c r="C18" s="5" t="s">
        <v>70</v>
      </c>
      <c r="D18" s="5" t="s">
        <v>14</v>
      </c>
      <c r="E18" s="5" t="s">
        <v>38</v>
      </c>
      <c r="F18" s="15">
        <v>10448.129999999999</v>
      </c>
      <c r="G18" s="5">
        <v>2024090000</v>
      </c>
    </row>
    <row r="19" spans="2:7" ht="12" x14ac:dyDescent="0.2">
      <c r="B19" s="2" t="str">
        <f>G19&amp;D19</f>
        <v>20240900002486</v>
      </c>
      <c r="C19" s="5" t="s">
        <v>70</v>
      </c>
      <c r="D19" s="5" t="s">
        <v>15</v>
      </c>
      <c r="E19" s="5" t="s">
        <v>51</v>
      </c>
      <c r="F19" s="15">
        <v>10412.5</v>
      </c>
      <c r="G19" s="5">
        <v>2024090000</v>
      </c>
    </row>
    <row r="20" spans="2:7" ht="12" x14ac:dyDescent="0.2">
      <c r="B20" s="2" t="str">
        <f>G20&amp;D20</f>
        <v>2024090000111111</v>
      </c>
      <c r="C20" s="5" t="s">
        <v>70</v>
      </c>
      <c r="D20" s="5">
        <v>111111</v>
      </c>
      <c r="E20" s="5" t="s">
        <v>105</v>
      </c>
      <c r="F20" s="15">
        <v>27148.625</v>
      </c>
      <c r="G20" s="5">
        <v>2024090000</v>
      </c>
    </row>
    <row r="21" spans="2:7" ht="12" x14ac:dyDescent="0.2">
      <c r="B21" s="2" t="str">
        <f>G21&amp;D21</f>
        <v>2041000000111111</v>
      </c>
      <c r="C21" s="5" t="s">
        <v>3</v>
      </c>
      <c r="D21" s="5">
        <v>111111</v>
      </c>
      <c r="E21" s="5" t="s">
        <v>105</v>
      </c>
      <c r="F21" s="15">
        <v>5507141.0549999997</v>
      </c>
      <c r="G21" s="5">
        <v>2041000000</v>
      </c>
    </row>
    <row r="22" spans="2:7" ht="12" x14ac:dyDescent="0.2">
      <c r="B22" s="2" t="str">
        <f>G22&amp;D22</f>
        <v>2042000000111101</v>
      </c>
      <c r="C22" s="5" t="s">
        <v>4</v>
      </c>
      <c r="D22" s="5">
        <v>111101</v>
      </c>
      <c r="E22" s="5" t="s">
        <v>2</v>
      </c>
      <c r="F22" s="15">
        <v>1752994.18</v>
      </c>
      <c r="G22" s="5">
        <v>2042000000</v>
      </c>
    </row>
    <row r="23" spans="2:7" ht="12" x14ac:dyDescent="0.2">
      <c r="B23" s="2" t="str">
        <f>G23&amp;D23</f>
        <v>2042000000111101</v>
      </c>
      <c r="C23" s="5" t="s">
        <v>72</v>
      </c>
      <c r="D23" s="5">
        <v>111101</v>
      </c>
      <c r="E23" s="5" t="s">
        <v>2</v>
      </c>
      <c r="F23" s="15">
        <v>304303.86000000004</v>
      </c>
      <c r="G23" s="5">
        <v>2042000000</v>
      </c>
    </row>
    <row r="24" spans="2:7" ht="12" x14ac:dyDescent="0.2">
      <c r="B24" s="2" t="str">
        <f>G24&amp;D24</f>
        <v>2045000000111101</v>
      </c>
      <c r="C24" s="5" t="s">
        <v>73</v>
      </c>
      <c r="D24" s="5">
        <v>111101</v>
      </c>
      <c r="E24" s="5" t="s">
        <v>2</v>
      </c>
      <c r="F24" s="15">
        <v>500500</v>
      </c>
      <c r="G24" s="5">
        <v>2045000000</v>
      </c>
    </row>
    <row r="25" spans="2:7" ht="12" x14ac:dyDescent="0.2">
      <c r="B25" s="2" t="str">
        <f>G25&amp;D25</f>
        <v>2049000000111101</v>
      </c>
      <c r="C25" s="5" t="s">
        <v>16</v>
      </c>
      <c r="D25" s="5">
        <v>111101</v>
      </c>
      <c r="E25" s="5" t="s">
        <v>2</v>
      </c>
      <c r="F25" s="15">
        <v>6919.8499999999995</v>
      </c>
      <c r="G25" s="5">
        <v>2049000000</v>
      </c>
    </row>
    <row r="26" spans="2:7" ht="12" x14ac:dyDescent="0.2">
      <c r="B26" s="2" t="str">
        <f>G26&amp;D26</f>
        <v>2051210000111101</v>
      </c>
      <c r="C26" s="5" t="s">
        <v>74</v>
      </c>
      <c r="D26" s="5">
        <v>111101</v>
      </c>
      <c r="E26" s="5" t="s">
        <v>2</v>
      </c>
      <c r="F26" s="15">
        <v>1897676.87</v>
      </c>
      <c r="G26" s="5">
        <v>2051210000</v>
      </c>
    </row>
    <row r="27" spans="2:7" ht="12" x14ac:dyDescent="0.2">
      <c r="B27" s="2" t="str">
        <f>G27&amp;D27</f>
        <v>2051260000111101</v>
      </c>
      <c r="C27" s="5" t="s">
        <v>74</v>
      </c>
      <c r="D27" s="5">
        <v>111101</v>
      </c>
      <c r="E27" s="5" t="s">
        <v>2</v>
      </c>
      <c r="F27" s="15">
        <v>146328.94499999998</v>
      </c>
      <c r="G27" s="5">
        <v>2051260000</v>
      </c>
    </row>
    <row r="28" spans="2:7" ht="12" x14ac:dyDescent="0.2">
      <c r="B28" s="2" t="str">
        <f>G28&amp;D28</f>
        <v>2060220000111111</v>
      </c>
      <c r="C28" s="5" t="s">
        <v>17</v>
      </c>
      <c r="D28" s="5">
        <v>111111</v>
      </c>
      <c r="E28" s="5" t="s">
        <v>105</v>
      </c>
      <c r="F28" s="15">
        <v>-121553.07499999998</v>
      </c>
      <c r="G28" s="5">
        <v>2060220000</v>
      </c>
    </row>
    <row r="29" spans="2:7" ht="12" x14ac:dyDescent="0.2">
      <c r="B29" s="2" t="str">
        <f>G29&amp;D29</f>
        <v>20690100001</v>
      </c>
      <c r="C29" s="5" t="s">
        <v>75</v>
      </c>
      <c r="D29" s="5" t="s">
        <v>5</v>
      </c>
      <c r="E29" s="5" t="s">
        <v>42</v>
      </c>
      <c r="F29" s="15">
        <v>-1643711.145</v>
      </c>
      <c r="G29" s="5">
        <v>2069010000</v>
      </c>
    </row>
    <row r="30" spans="2:7" ht="12" x14ac:dyDescent="0.2">
      <c r="B30" s="2" t="str">
        <f>G30&amp;D30</f>
        <v>206901000019</v>
      </c>
      <c r="C30" s="5" t="s">
        <v>75</v>
      </c>
      <c r="D30" s="5">
        <v>19</v>
      </c>
      <c r="E30" s="5" t="s">
        <v>43</v>
      </c>
      <c r="F30" s="15">
        <v>-416278.66</v>
      </c>
      <c r="G30" s="5">
        <v>2069010000</v>
      </c>
    </row>
    <row r="31" spans="2:7" ht="12" x14ac:dyDescent="0.2">
      <c r="B31" s="2" t="str">
        <f>G31&amp;D31</f>
        <v>20690100001076</v>
      </c>
      <c r="C31" s="5" t="s">
        <v>75</v>
      </c>
      <c r="D31" s="5" t="s">
        <v>18</v>
      </c>
      <c r="E31" s="5" t="s">
        <v>53</v>
      </c>
      <c r="F31" s="15">
        <v>-364243.84499999997</v>
      </c>
      <c r="G31" s="5">
        <v>2069010000</v>
      </c>
    </row>
    <row r="32" spans="2:7" ht="12" x14ac:dyDescent="0.2">
      <c r="B32" s="2" t="str">
        <f>G32&amp;D32</f>
        <v>20690100001086</v>
      </c>
      <c r="C32" s="5" t="s">
        <v>75</v>
      </c>
      <c r="D32" s="5" t="s">
        <v>12</v>
      </c>
      <c r="E32" s="5" t="s">
        <v>49</v>
      </c>
      <c r="F32" s="15">
        <v>0</v>
      </c>
      <c r="G32" s="5">
        <v>2069010000</v>
      </c>
    </row>
    <row r="33" spans="2:7" ht="12" x14ac:dyDescent="0.2">
      <c r="B33" s="2" t="str">
        <f>G33&amp;D33</f>
        <v>20690100001009</v>
      </c>
      <c r="C33" s="5" t="s">
        <v>75</v>
      </c>
      <c r="D33" s="5">
        <v>1009</v>
      </c>
      <c r="E33" s="5" t="s">
        <v>37</v>
      </c>
      <c r="F33" s="15">
        <v>0</v>
      </c>
      <c r="G33" s="5">
        <v>2069010000</v>
      </c>
    </row>
    <row r="34" spans="2:7" ht="12" x14ac:dyDescent="0.2">
      <c r="B34" s="2" t="str">
        <f>G34&amp;D34</f>
        <v>20690100001007</v>
      </c>
      <c r="C34" s="5" t="s">
        <v>75</v>
      </c>
      <c r="D34" s="5">
        <v>1007</v>
      </c>
      <c r="E34" s="5" t="s">
        <v>39</v>
      </c>
      <c r="F34" s="15">
        <v>0</v>
      </c>
      <c r="G34" s="5">
        <v>2069010000</v>
      </c>
    </row>
    <row r="35" spans="2:7" ht="12" x14ac:dyDescent="0.2">
      <c r="B35" s="2" t="str">
        <f>G35&amp;D35</f>
        <v>20690100001008</v>
      </c>
      <c r="C35" s="5" t="s">
        <v>75</v>
      </c>
      <c r="D35" s="5">
        <v>1008</v>
      </c>
      <c r="E35" s="5" t="s">
        <v>41</v>
      </c>
      <c r="F35" s="15">
        <v>0</v>
      </c>
      <c r="G35" s="5">
        <v>2069010000</v>
      </c>
    </row>
    <row r="36" spans="2:7" ht="12" x14ac:dyDescent="0.2">
      <c r="B36" s="2" t="str">
        <f>G36&amp;D36</f>
        <v>20690100001240</v>
      </c>
      <c r="C36" s="5" t="s">
        <v>75</v>
      </c>
      <c r="D36" s="5">
        <v>1240</v>
      </c>
      <c r="E36" s="5" t="s">
        <v>46</v>
      </c>
      <c r="F36" s="15">
        <v>-10461.36</v>
      </c>
      <c r="G36" s="5">
        <v>2069010000</v>
      </c>
    </row>
    <row r="37" spans="2:7" ht="12" x14ac:dyDescent="0.2">
      <c r="B37" s="2" t="str">
        <f>G37&amp;D37</f>
        <v>20690100001007</v>
      </c>
      <c r="C37" s="5" t="s">
        <v>75</v>
      </c>
      <c r="D37" s="5">
        <v>1007</v>
      </c>
      <c r="E37" s="5" t="s">
        <v>40</v>
      </c>
      <c r="F37" s="15">
        <v>0</v>
      </c>
      <c r="G37" s="5">
        <v>2069010000</v>
      </c>
    </row>
    <row r="38" spans="2:7" ht="12" x14ac:dyDescent="0.2">
      <c r="B38" s="2" t="str">
        <f>G38&amp;D38</f>
        <v>206901000047037</v>
      </c>
      <c r="C38" s="5" t="s">
        <v>75</v>
      </c>
      <c r="D38" s="5" t="s">
        <v>19</v>
      </c>
      <c r="E38" s="5" t="s">
        <v>54</v>
      </c>
      <c r="F38" s="15">
        <v>-482611.04499999998</v>
      </c>
      <c r="G38" s="5">
        <v>2069010000</v>
      </c>
    </row>
    <row r="39" spans="2:7" ht="12" x14ac:dyDescent="0.2">
      <c r="B39" s="2" t="str">
        <f>G39&amp;D39</f>
        <v>2069010000111111</v>
      </c>
      <c r="C39" s="5" t="s">
        <v>75</v>
      </c>
      <c r="D39" s="5">
        <v>111111</v>
      </c>
      <c r="E39" s="5" t="s">
        <v>105</v>
      </c>
      <c r="F39" s="15">
        <v>-6785.94</v>
      </c>
      <c r="G39" s="5">
        <v>2069010000</v>
      </c>
    </row>
    <row r="40" spans="2:7" ht="12" x14ac:dyDescent="0.2">
      <c r="B40" s="2" t="str">
        <f>G40&amp;D40</f>
        <v>206998000088</v>
      </c>
      <c r="C40" s="5" t="s">
        <v>76</v>
      </c>
      <c r="D40" s="5">
        <v>88</v>
      </c>
      <c r="E40" s="5" t="s">
        <v>34</v>
      </c>
      <c r="F40" s="15">
        <v>-2436.35</v>
      </c>
      <c r="G40" s="5">
        <v>2069980000</v>
      </c>
    </row>
    <row r="41" spans="2:7" ht="12" x14ac:dyDescent="0.2">
      <c r="B41" s="2" t="str">
        <f>G41&amp;D41</f>
        <v>2069980000111111</v>
      </c>
      <c r="C41" s="5" t="s">
        <v>76</v>
      </c>
      <c r="D41" s="5">
        <v>111111</v>
      </c>
      <c r="E41" s="5" t="s">
        <v>105</v>
      </c>
      <c r="F41" s="15">
        <v>9793.84</v>
      </c>
      <c r="G41" s="5">
        <v>2069980000</v>
      </c>
    </row>
    <row r="42" spans="2:7" ht="12" x14ac:dyDescent="0.2">
      <c r="B42" s="2" t="str">
        <f>G42&amp;D42</f>
        <v>2070290000111101</v>
      </c>
      <c r="C42" s="5" t="s">
        <v>20</v>
      </c>
      <c r="D42" s="5">
        <v>111101</v>
      </c>
      <c r="E42" s="5" t="s">
        <v>2</v>
      </c>
      <c r="F42" s="15">
        <v>81.339999999999989</v>
      </c>
      <c r="G42" s="5">
        <v>2070290000</v>
      </c>
    </row>
    <row r="43" spans="2:7" ht="12" x14ac:dyDescent="0.2">
      <c r="B43" s="2" t="str">
        <f>G43&amp;D43</f>
        <v>2070400000111111</v>
      </c>
      <c r="C43" s="5" t="s">
        <v>77</v>
      </c>
      <c r="D43" s="5">
        <v>111111</v>
      </c>
      <c r="E43" s="5" t="s">
        <v>105</v>
      </c>
      <c r="F43" s="15">
        <v>65947.7</v>
      </c>
      <c r="G43" s="5">
        <v>2070400000</v>
      </c>
    </row>
    <row r="44" spans="2:7" ht="12" x14ac:dyDescent="0.2">
      <c r="B44" s="2" t="str">
        <f>G44&amp;D44</f>
        <v>2070500000111111</v>
      </c>
      <c r="C44" s="5" t="s">
        <v>78</v>
      </c>
      <c r="D44" s="5">
        <v>111111</v>
      </c>
      <c r="E44" s="5" t="s">
        <v>105</v>
      </c>
      <c r="F44" s="15">
        <v>5138.91</v>
      </c>
      <c r="G44" s="5">
        <v>2070500000</v>
      </c>
    </row>
    <row r="45" spans="2:7" ht="12" x14ac:dyDescent="0.2">
      <c r="B45" s="2" t="str">
        <f>G45&amp;D45</f>
        <v>2070600000111111</v>
      </c>
      <c r="C45" s="5" t="s">
        <v>79</v>
      </c>
      <c r="D45" s="5">
        <v>111111</v>
      </c>
      <c r="E45" s="5" t="s">
        <v>105</v>
      </c>
      <c r="F45" s="15">
        <v>1055381.4750000001</v>
      </c>
      <c r="G45" s="5">
        <v>2070600000</v>
      </c>
    </row>
    <row r="46" spans="2:7" ht="12" x14ac:dyDescent="0.2">
      <c r="B46" s="2" t="str">
        <f>G46&amp;D46</f>
        <v>20709000002240</v>
      </c>
      <c r="C46" s="5" t="s">
        <v>80</v>
      </c>
      <c r="D46" s="5" t="s">
        <v>8</v>
      </c>
      <c r="E46" s="5" t="s">
        <v>45</v>
      </c>
      <c r="F46" s="15">
        <v>430845.34499999997</v>
      </c>
      <c r="G46" s="5">
        <v>2070900000</v>
      </c>
    </row>
    <row r="47" spans="2:7" ht="12" x14ac:dyDescent="0.2">
      <c r="B47" s="2" t="str">
        <f>G47&amp;D47</f>
        <v>2070900000105</v>
      </c>
      <c r="C47" s="5" t="s">
        <v>80</v>
      </c>
      <c r="D47" s="5">
        <v>105</v>
      </c>
      <c r="E47" s="5" t="s">
        <v>35</v>
      </c>
      <c r="F47" s="15">
        <v>276920</v>
      </c>
      <c r="G47" s="5">
        <v>2070900000</v>
      </c>
    </row>
    <row r="48" spans="2:7" ht="12" x14ac:dyDescent="0.2">
      <c r="B48" s="2" t="str">
        <f>G48&amp;D48</f>
        <v>2070900000111111</v>
      </c>
      <c r="C48" s="5" t="s">
        <v>80</v>
      </c>
      <c r="D48" s="5">
        <v>111111</v>
      </c>
      <c r="E48" s="5" t="s">
        <v>105</v>
      </c>
      <c r="F48" s="15">
        <v>1130021</v>
      </c>
      <c r="G48" s="5">
        <v>2070900000</v>
      </c>
    </row>
    <row r="49" spans="2:7" ht="12" x14ac:dyDescent="0.2">
      <c r="B49" s="2" t="str">
        <f>G49&amp;D49</f>
        <v>2071000000111111</v>
      </c>
      <c r="C49" s="5" t="s">
        <v>9</v>
      </c>
      <c r="D49" s="5">
        <v>111111</v>
      </c>
      <c r="E49" s="5" t="s">
        <v>105</v>
      </c>
      <c r="F49" s="15">
        <v>7293.5450000000001</v>
      </c>
      <c r="G49" s="5">
        <v>2071000000</v>
      </c>
    </row>
    <row r="50" spans="2:7" ht="12" x14ac:dyDescent="0.2">
      <c r="B50" s="2" t="str">
        <f>G50&amp;D50</f>
        <v>20711000001900</v>
      </c>
      <c r="C50" s="5" t="s">
        <v>81</v>
      </c>
      <c r="D50" s="5">
        <v>1900</v>
      </c>
      <c r="E50" s="5" t="s">
        <v>55</v>
      </c>
      <c r="F50" s="15">
        <v>0</v>
      </c>
      <c r="G50" s="5">
        <v>2071100000</v>
      </c>
    </row>
    <row r="51" spans="2:7" ht="12" x14ac:dyDescent="0.2">
      <c r="B51" s="2" t="str">
        <f>G51&amp;D51</f>
        <v>2071100000111111</v>
      </c>
      <c r="C51" s="5" t="s">
        <v>81</v>
      </c>
      <c r="D51" s="5">
        <v>111111</v>
      </c>
      <c r="E51" s="5" t="s">
        <v>105</v>
      </c>
      <c r="F51" s="15">
        <v>48468.665000000001</v>
      </c>
      <c r="G51" s="5">
        <v>2071100000</v>
      </c>
    </row>
    <row r="52" spans="2:7" ht="12" x14ac:dyDescent="0.2">
      <c r="B52" s="2" t="str">
        <f>G52&amp;D52</f>
        <v>20712092001118</v>
      </c>
      <c r="C52" s="5" t="s">
        <v>10</v>
      </c>
      <c r="D52" s="5" t="s">
        <v>21</v>
      </c>
      <c r="E52" s="5" t="s">
        <v>57</v>
      </c>
      <c r="F52" s="15">
        <v>23928.799999999999</v>
      </c>
      <c r="G52" s="5">
        <v>2071209200</v>
      </c>
    </row>
    <row r="53" spans="2:7" ht="12" x14ac:dyDescent="0.2">
      <c r="B53" s="2" t="str">
        <f>G53&amp;D53</f>
        <v>2071209200111111</v>
      </c>
      <c r="C53" s="5" t="s">
        <v>10</v>
      </c>
      <c r="D53" s="5">
        <v>111111</v>
      </c>
      <c r="E53" s="5" t="s">
        <v>105</v>
      </c>
      <c r="F53" s="15">
        <v>2393259.19</v>
      </c>
      <c r="G53" s="5">
        <v>2071209200</v>
      </c>
    </row>
    <row r="54" spans="2:7" ht="12" x14ac:dyDescent="0.2">
      <c r="B54" s="2" t="str">
        <f>G54&amp;D54</f>
        <v>2071209400111111</v>
      </c>
      <c r="C54" s="5" t="s">
        <v>82</v>
      </c>
      <c r="D54" s="5">
        <v>111111</v>
      </c>
      <c r="E54" s="5" t="s">
        <v>105</v>
      </c>
      <c r="F54" s="15">
        <v>23069.654999999999</v>
      </c>
      <c r="G54" s="5">
        <v>2071209400</v>
      </c>
    </row>
    <row r="55" spans="2:7" ht="12" x14ac:dyDescent="0.2">
      <c r="B55" s="2" t="str">
        <f>G55&amp;D55</f>
        <v>2071209500111111</v>
      </c>
      <c r="C55" s="5" t="s">
        <v>83</v>
      </c>
      <c r="D55" s="5">
        <v>111111</v>
      </c>
      <c r="E55" s="5" t="s">
        <v>105</v>
      </c>
      <c r="F55" s="15">
        <v>208366.935</v>
      </c>
      <c r="G55" s="5">
        <v>2071209500</v>
      </c>
    </row>
    <row r="56" spans="2:7" ht="12" x14ac:dyDescent="0.2">
      <c r="B56" s="2" t="str">
        <f>G56&amp;D56</f>
        <v>2071220000111111</v>
      </c>
      <c r="C56" s="5" t="s">
        <v>22</v>
      </c>
      <c r="D56" s="5">
        <v>111111</v>
      </c>
      <c r="E56" s="5" t="s">
        <v>105</v>
      </c>
      <c r="F56" s="15">
        <v>308232</v>
      </c>
      <c r="G56" s="5">
        <v>2071220000</v>
      </c>
    </row>
    <row r="57" spans="2:7" ht="12" x14ac:dyDescent="0.2">
      <c r="B57" s="2" t="str">
        <f>G57&amp;D57</f>
        <v>207151100019</v>
      </c>
      <c r="C57" s="5" t="s">
        <v>23</v>
      </c>
      <c r="D57" s="5">
        <v>19</v>
      </c>
      <c r="E57" s="5" t="s">
        <v>43</v>
      </c>
      <c r="F57" s="15">
        <v>13422.779999999999</v>
      </c>
      <c r="G57" s="5">
        <v>2071511000</v>
      </c>
    </row>
    <row r="58" spans="2:7" ht="12" x14ac:dyDescent="0.2">
      <c r="B58" s="2" t="str">
        <f>G58&amp;D58</f>
        <v>2071511000111111</v>
      </c>
      <c r="C58" s="5" t="s">
        <v>23</v>
      </c>
      <c r="D58" s="5">
        <v>111111</v>
      </c>
      <c r="E58" s="5" t="s">
        <v>105</v>
      </c>
      <c r="F58" s="15">
        <v>4045.6150000000002</v>
      </c>
      <c r="G58" s="5">
        <v>2071511000</v>
      </c>
    </row>
    <row r="59" spans="2:7" ht="12" x14ac:dyDescent="0.2">
      <c r="B59" s="2" t="str">
        <f>G59&amp;D59</f>
        <v>2071910000111111</v>
      </c>
      <c r="C59" s="5" t="s">
        <v>24</v>
      </c>
      <c r="D59" s="5">
        <v>111111</v>
      </c>
      <c r="E59" s="5" t="s">
        <v>105</v>
      </c>
      <c r="F59" s="15">
        <v>49621.144999999997</v>
      </c>
      <c r="G59" s="5">
        <v>2071910000</v>
      </c>
    </row>
    <row r="60" spans="2:7" ht="12" x14ac:dyDescent="0.2">
      <c r="B60" s="2" t="str">
        <f>G60&amp;D60</f>
        <v>2071980000111101</v>
      </c>
      <c r="C60" s="5" t="s">
        <v>84</v>
      </c>
      <c r="D60" s="5">
        <v>111101</v>
      </c>
      <c r="E60" s="5" t="s">
        <v>2</v>
      </c>
      <c r="F60" s="15">
        <v>20323.309999999998</v>
      </c>
      <c r="G60" s="5">
        <v>2071980000</v>
      </c>
    </row>
    <row r="61" spans="2:7" ht="12" x14ac:dyDescent="0.2">
      <c r="B61" s="2" t="str">
        <f>G61&amp;D61</f>
        <v>2079022000111111</v>
      </c>
      <c r="C61" s="5" t="s">
        <v>85</v>
      </c>
      <c r="D61" s="5">
        <v>111111</v>
      </c>
      <c r="E61" s="5" t="s">
        <v>105</v>
      </c>
      <c r="F61" s="15">
        <v>169489</v>
      </c>
      <c r="G61" s="5">
        <v>2079022000</v>
      </c>
    </row>
    <row r="62" spans="2:7" ht="12" x14ac:dyDescent="0.2">
      <c r="B62" s="2" t="str">
        <f>G62&amp;D62</f>
        <v>207907000019</v>
      </c>
      <c r="C62" s="5" t="s">
        <v>86</v>
      </c>
      <c r="D62" s="5">
        <v>19</v>
      </c>
      <c r="E62" s="5" t="s">
        <v>43</v>
      </c>
      <c r="F62" s="15">
        <v>85462.684999999998</v>
      </c>
      <c r="G62" s="5">
        <v>2079070000</v>
      </c>
    </row>
    <row r="63" spans="2:7" ht="12" x14ac:dyDescent="0.2">
      <c r="B63" s="2" t="str">
        <f>G63&amp;D63</f>
        <v>207907000043</v>
      </c>
      <c r="C63" s="5" t="s">
        <v>86</v>
      </c>
      <c r="D63" s="5" t="s">
        <v>7</v>
      </c>
      <c r="E63" s="5" t="s">
        <v>44</v>
      </c>
      <c r="F63" s="15">
        <v>11422.144999999999</v>
      </c>
      <c r="G63" s="5">
        <v>2079070000</v>
      </c>
    </row>
    <row r="64" spans="2:7" ht="12" x14ac:dyDescent="0.2">
      <c r="B64" s="2" t="str">
        <f>G64&amp;D64</f>
        <v>20790700001924</v>
      </c>
      <c r="C64" s="5" t="s">
        <v>86</v>
      </c>
      <c r="D64" s="5" t="s">
        <v>14</v>
      </c>
      <c r="E64" s="5" t="s">
        <v>38</v>
      </c>
      <c r="F64" s="15">
        <v>84438.864999999991</v>
      </c>
      <c r="G64" s="5">
        <v>2079070000</v>
      </c>
    </row>
    <row r="65" spans="2:7" ht="12" x14ac:dyDescent="0.2">
      <c r="B65" s="2" t="str">
        <f>G65&amp;D65</f>
        <v>2079070000111111</v>
      </c>
      <c r="C65" s="5" t="s">
        <v>86</v>
      </c>
      <c r="D65" s="5">
        <v>111111</v>
      </c>
      <c r="E65" s="5" t="s">
        <v>105</v>
      </c>
      <c r="F65" s="15">
        <v>638869.13</v>
      </c>
      <c r="G65" s="5">
        <v>2079070000</v>
      </c>
    </row>
    <row r="66" spans="2:7" ht="12" x14ac:dyDescent="0.2">
      <c r="B66" s="2" t="str">
        <f>G66&amp;D66</f>
        <v>20790800001086</v>
      </c>
      <c r="C66" s="5" t="s">
        <v>87</v>
      </c>
      <c r="D66" s="5" t="s">
        <v>12</v>
      </c>
      <c r="E66" s="5" t="s">
        <v>49</v>
      </c>
      <c r="F66" s="15">
        <v>0</v>
      </c>
      <c r="G66" s="5">
        <v>2079080000</v>
      </c>
    </row>
    <row r="67" spans="2:7" ht="12" x14ac:dyDescent="0.2">
      <c r="B67" s="2" t="str">
        <f>G67&amp;D67</f>
        <v>20790800001007</v>
      </c>
      <c r="C67" s="5" t="s">
        <v>87</v>
      </c>
      <c r="D67" s="5">
        <v>1007</v>
      </c>
      <c r="E67" s="5" t="s">
        <v>39</v>
      </c>
      <c r="F67" s="15">
        <v>0</v>
      </c>
      <c r="G67" s="5">
        <v>2079080000</v>
      </c>
    </row>
    <row r="68" spans="2:7" ht="12" x14ac:dyDescent="0.2">
      <c r="B68" s="2" t="str">
        <f>G68&amp;D68</f>
        <v>20790800001008</v>
      </c>
      <c r="C68" s="5" t="s">
        <v>87</v>
      </c>
      <c r="D68" s="5">
        <v>1008</v>
      </c>
      <c r="E68" s="5" t="s">
        <v>41</v>
      </c>
      <c r="F68" s="15">
        <v>0</v>
      </c>
      <c r="G68" s="5">
        <v>2079080000</v>
      </c>
    </row>
    <row r="69" spans="2:7" ht="12" x14ac:dyDescent="0.2">
      <c r="B69" s="2" t="str">
        <f>G69&amp;D69</f>
        <v>20822800001086</v>
      </c>
      <c r="C69" s="5" t="s">
        <v>88</v>
      </c>
      <c r="D69" s="5" t="s">
        <v>12</v>
      </c>
      <c r="E69" s="5" t="s">
        <v>49</v>
      </c>
      <c r="F69" s="15">
        <v>0</v>
      </c>
      <c r="G69" s="5">
        <v>2082280000</v>
      </c>
    </row>
    <row r="70" spans="2:7" ht="12" x14ac:dyDescent="0.2">
      <c r="B70" s="2" t="str">
        <f>G70&amp;D70</f>
        <v>20822800001009</v>
      </c>
      <c r="C70" s="5" t="s">
        <v>88</v>
      </c>
      <c r="D70" s="5">
        <v>1009</v>
      </c>
      <c r="E70" s="5" t="s">
        <v>37</v>
      </c>
      <c r="F70" s="15">
        <v>0</v>
      </c>
      <c r="G70" s="5">
        <v>2082280000</v>
      </c>
    </row>
    <row r="71" spans="2:7" ht="12" x14ac:dyDescent="0.2">
      <c r="B71" s="2" t="str">
        <f>G71&amp;D71</f>
        <v>20822800001007</v>
      </c>
      <c r="C71" s="5" t="s">
        <v>88</v>
      </c>
      <c r="D71" s="5">
        <v>1007</v>
      </c>
      <c r="E71" s="5" t="s">
        <v>39</v>
      </c>
      <c r="F71" s="15">
        <v>0</v>
      </c>
      <c r="G71" s="5">
        <v>2082280000</v>
      </c>
    </row>
    <row r="72" spans="2:7" ht="12" x14ac:dyDescent="0.2">
      <c r="B72" s="2" t="str">
        <f>G72&amp;D72</f>
        <v>20822800001008</v>
      </c>
      <c r="C72" s="5" t="s">
        <v>88</v>
      </c>
      <c r="D72" s="5">
        <v>1008</v>
      </c>
      <c r="E72" s="5" t="s">
        <v>41</v>
      </c>
      <c r="F72" s="15">
        <v>0</v>
      </c>
      <c r="G72" s="5">
        <v>2082280000</v>
      </c>
    </row>
    <row r="73" spans="2:7" ht="12" x14ac:dyDescent="0.2">
      <c r="B73" s="2" t="str">
        <f>G73&amp;D73</f>
        <v>20822800001240</v>
      </c>
      <c r="C73" s="5" t="s">
        <v>88</v>
      </c>
      <c r="D73" s="5">
        <v>1240</v>
      </c>
      <c r="E73" s="5" t="s">
        <v>46</v>
      </c>
      <c r="F73" s="15">
        <v>-34224.959999999999</v>
      </c>
      <c r="G73" s="5">
        <v>2082280000</v>
      </c>
    </row>
    <row r="74" spans="2:7" ht="12" x14ac:dyDescent="0.2">
      <c r="B74" s="2" t="str">
        <f>G74&amp;D74</f>
        <v>20822800001006</v>
      </c>
      <c r="C74" s="5" t="s">
        <v>88</v>
      </c>
      <c r="D74" s="5">
        <v>1006</v>
      </c>
      <c r="E74" s="5" t="s">
        <v>56</v>
      </c>
      <c r="F74" s="15">
        <v>-6778.415</v>
      </c>
      <c r="G74" s="5">
        <v>2082280000</v>
      </c>
    </row>
    <row r="75" spans="2:7" ht="12" x14ac:dyDescent="0.2">
      <c r="B75" s="2" t="str">
        <f>G75&amp;D75</f>
        <v>20822800001007</v>
      </c>
      <c r="C75" s="5" t="s">
        <v>88</v>
      </c>
      <c r="D75" s="5">
        <v>1007</v>
      </c>
      <c r="E75" s="5" t="s">
        <v>40</v>
      </c>
      <c r="F75" s="15">
        <v>0</v>
      </c>
      <c r="G75" s="5">
        <v>2082280000</v>
      </c>
    </row>
    <row r="76" spans="2:7" ht="12" x14ac:dyDescent="0.2">
      <c r="B76" s="2" t="str">
        <f>G76&amp;D76</f>
        <v>2082280000111111</v>
      </c>
      <c r="C76" s="5" t="s">
        <v>88</v>
      </c>
      <c r="D76" s="5">
        <v>111111</v>
      </c>
      <c r="E76" s="5" t="s">
        <v>105</v>
      </c>
      <c r="F76" s="15">
        <v>-2204.7199999999998</v>
      </c>
      <c r="G76" s="5">
        <v>2082280000</v>
      </c>
    </row>
    <row r="77" spans="2:7" ht="12" x14ac:dyDescent="0.2">
      <c r="B77" s="2" t="str">
        <f>G77&amp;D77</f>
        <v>2082208200111101</v>
      </c>
      <c r="C77" s="5" t="s">
        <v>89</v>
      </c>
      <c r="D77" s="5">
        <v>111101</v>
      </c>
      <c r="E77" s="5" t="s">
        <v>2</v>
      </c>
      <c r="F77" s="15">
        <v>80617.179999999993</v>
      </c>
      <c r="G77" s="5">
        <v>2082208200</v>
      </c>
    </row>
    <row r="78" spans="2:7" ht="12" x14ac:dyDescent="0.2">
      <c r="B78" s="2" t="str">
        <f>G78&amp;D78</f>
        <v>208221400088</v>
      </c>
      <c r="C78" s="5" t="s">
        <v>90</v>
      </c>
      <c r="D78" s="5">
        <v>88</v>
      </c>
      <c r="E78" s="5" t="s">
        <v>34</v>
      </c>
      <c r="F78" s="15">
        <v>2752704.22</v>
      </c>
      <c r="G78" s="5">
        <v>2082214000</v>
      </c>
    </row>
    <row r="79" spans="2:7" ht="12" x14ac:dyDescent="0.2">
      <c r="B79" s="2" t="str">
        <f>G79&amp;D79</f>
        <v>20822140001007</v>
      </c>
      <c r="C79" s="5" t="s">
        <v>90</v>
      </c>
      <c r="D79" s="5">
        <v>1007</v>
      </c>
      <c r="E79" s="5" t="s">
        <v>40</v>
      </c>
      <c r="F79" s="15">
        <v>0</v>
      </c>
      <c r="G79" s="5">
        <v>2082214000</v>
      </c>
    </row>
    <row r="80" spans="2:7" ht="12" x14ac:dyDescent="0.2">
      <c r="B80" s="2" t="str">
        <f>G80&amp;D80</f>
        <v>2082214000111111</v>
      </c>
      <c r="C80" s="5" t="s">
        <v>90</v>
      </c>
      <c r="D80" s="5">
        <v>111111</v>
      </c>
      <c r="E80" s="5" t="s">
        <v>105</v>
      </c>
      <c r="F80" s="15">
        <v>1250.7950000000001</v>
      </c>
      <c r="G80" s="5">
        <v>2082214000</v>
      </c>
    </row>
    <row r="81" spans="2:7" ht="12" x14ac:dyDescent="0.2">
      <c r="B81" s="2" t="str">
        <f>G81&amp;D81</f>
        <v>20821100001240</v>
      </c>
      <c r="C81" s="5" t="s">
        <v>108</v>
      </c>
      <c r="D81" s="5">
        <v>1240</v>
      </c>
      <c r="E81" s="5" t="s">
        <v>46</v>
      </c>
      <c r="F81" s="15">
        <v>4130000</v>
      </c>
      <c r="G81" s="5">
        <v>2082110000</v>
      </c>
    </row>
    <row r="82" spans="2:7" ht="12" x14ac:dyDescent="0.2">
      <c r="B82" s="2" t="str">
        <f>G82&amp;D82</f>
        <v>2091200000111101</v>
      </c>
      <c r="C82" s="5" t="s">
        <v>91</v>
      </c>
      <c r="D82" s="5">
        <v>111101</v>
      </c>
      <c r="E82" s="5" t="s">
        <v>2</v>
      </c>
      <c r="F82" s="15">
        <v>496748.70000000007</v>
      </c>
      <c r="G82" s="5">
        <v>2091200000</v>
      </c>
    </row>
    <row r="83" spans="2:7" ht="12" x14ac:dyDescent="0.2">
      <c r="B83" s="2" t="str">
        <f>G83&amp;D83</f>
        <v>2091200001111101</v>
      </c>
      <c r="C83" s="5" t="s">
        <v>92</v>
      </c>
      <c r="D83" s="5">
        <v>111101</v>
      </c>
      <c r="E83" s="5" t="s">
        <v>2</v>
      </c>
      <c r="F83" s="15">
        <v>480872.96000000002</v>
      </c>
      <c r="G83" s="5">
        <v>2091200001</v>
      </c>
    </row>
    <row r="84" spans="2:7" ht="12" x14ac:dyDescent="0.2">
      <c r="B84" s="2" t="str">
        <f>G84&amp;D84</f>
        <v>2091900000111101</v>
      </c>
      <c r="C84" s="5" t="s">
        <v>25</v>
      </c>
      <c r="D84" s="5">
        <v>111101</v>
      </c>
      <c r="E84" s="5" t="s">
        <v>2</v>
      </c>
      <c r="F84" s="15">
        <v>0</v>
      </c>
      <c r="G84" s="5">
        <v>2091900000</v>
      </c>
    </row>
    <row r="85" spans="2:7" ht="12" x14ac:dyDescent="0.2">
      <c r="B85" s="2" t="str">
        <f>G85&amp;D85</f>
        <v>2092200000111101</v>
      </c>
      <c r="C85" s="5" t="s">
        <v>93</v>
      </c>
      <c r="D85" s="5">
        <v>111101</v>
      </c>
      <c r="E85" s="5" t="s">
        <v>2</v>
      </c>
      <c r="F85" s="15">
        <v>6570.3050000000003</v>
      </c>
      <c r="G85" s="5">
        <v>2092200000</v>
      </c>
    </row>
    <row r="86" spans="2:7" ht="12" x14ac:dyDescent="0.2">
      <c r="B86" s="2" t="str">
        <f>G86&amp;D86</f>
        <v>2111111999111101</v>
      </c>
      <c r="C86" s="16" t="s">
        <v>66</v>
      </c>
      <c r="D86" s="16">
        <v>111101</v>
      </c>
      <c r="E86" s="16" t="s">
        <v>2</v>
      </c>
      <c r="F86" s="17">
        <v>6073808.1600000001</v>
      </c>
      <c r="G86" s="16">
        <v>2111111999</v>
      </c>
    </row>
    <row r="87" spans="2:7" ht="12" x14ac:dyDescent="0.2">
      <c r="D87" s="5"/>
    </row>
    <row r="88" spans="2:7" ht="12" x14ac:dyDescent="0.2">
      <c r="D88" s="5"/>
    </row>
    <row r="89" spans="2:7" ht="12" x14ac:dyDescent="0.2">
      <c r="D89" s="5"/>
    </row>
    <row r="90" spans="2:7" ht="12" x14ac:dyDescent="0.2">
      <c r="D90" s="5"/>
    </row>
    <row r="91" spans="2:7" ht="12" x14ac:dyDescent="0.2">
      <c r="D91" s="5"/>
    </row>
    <row r="92" spans="2:7" ht="12" x14ac:dyDescent="0.2">
      <c r="D92" s="5"/>
    </row>
    <row r="93" spans="2:7" ht="12" x14ac:dyDescent="0.2">
      <c r="D93" s="5"/>
    </row>
    <row r="94" spans="2:7" ht="12" x14ac:dyDescent="0.2">
      <c r="D94" s="5"/>
    </row>
    <row r="95" spans="2:7" ht="12" x14ac:dyDescent="0.2">
      <c r="D95" s="5"/>
    </row>
    <row r="96" spans="2:7" ht="12" x14ac:dyDescent="0.2">
      <c r="D96" s="5"/>
    </row>
    <row r="97" spans="4:4" ht="12" x14ac:dyDescent="0.2">
      <c r="D97" s="5"/>
    </row>
    <row r="98" spans="4:4" ht="12" x14ac:dyDescent="0.2">
      <c r="D98" s="5"/>
    </row>
    <row r="99" spans="4:4" ht="12" x14ac:dyDescent="0.2">
      <c r="D99" s="5"/>
    </row>
    <row r="100" spans="4:4" ht="12" x14ac:dyDescent="0.2">
      <c r="D100" s="5"/>
    </row>
    <row r="101" spans="4:4" ht="12" x14ac:dyDescent="0.2">
      <c r="D101" s="5"/>
    </row>
    <row r="102" spans="4:4" ht="12" x14ac:dyDescent="0.2">
      <c r="D102" s="5"/>
    </row>
    <row r="103" spans="4:4" ht="12" x14ac:dyDescent="0.2">
      <c r="D103" s="5"/>
    </row>
    <row r="104" spans="4:4" ht="12" x14ac:dyDescent="0.2">
      <c r="D104" s="5"/>
    </row>
    <row r="105" spans="4:4" ht="12" x14ac:dyDescent="0.2">
      <c r="D105" s="5"/>
    </row>
    <row r="106" spans="4:4" ht="12" x14ac:dyDescent="0.2">
      <c r="D106" s="5"/>
    </row>
    <row r="107" spans="4:4" ht="12" x14ac:dyDescent="0.2">
      <c r="D107" s="5"/>
    </row>
    <row r="108" spans="4:4" ht="12" x14ac:dyDescent="0.2">
      <c r="D108" s="5"/>
    </row>
    <row r="109" spans="4:4" ht="12" x14ac:dyDescent="0.2">
      <c r="D109" s="5"/>
    </row>
    <row r="110" spans="4:4" ht="12" x14ac:dyDescent="0.2">
      <c r="D110" s="5"/>
    </row>
    <row r="111" spans="4:4" ht="12" x14ac:dyDescent="0.2">
      <c r="D111" s="5"/>
    </row>
    <row r="112" spans="4:4" ht="12" x14ac:dyDescent="0.2">
      <c r="D112" s="5"/>
    </row>
    <row r="113" spans="4:4" ht="12" x14ac:dyDescent="0.2">
      <c r="D113" s="5"/>
    </row>
    <row r="114" spans="4:4" ht="12" x14ac:dyDescent="0.2">
      <c r="D114" s="5"/>
    </row>
    <row r="115" spans="4:4" ht="12" x14ac:dyDescent="0.2">
      <c r="D115" s="5"/>
    </row>
    <row r="116" spans="4:4" ht="12" x14ac:dyDescent="0.2">
      <c r="D116" s="5"/>
    </row>
    <row r="117" spans="4:4" ht="12" x14ac:dyDescent="0.2">
      <c r="D117" s="5"/>
    </row>
    <row r="118" spans="4:4" ht="12" x14ac:dyDescent="0.2">
      <c r="D118" s="5"/>
    </row>
    <row r="119" spans="4:4" ht="12" x14ac:dyDescent="0.2">
      <c r="D119" s="5"/>
    </row>
    <row r="120" spans="4:4" ht="12" x14ac:dyDescent="0.2">
      <c r="D120" s="5"/>
    </row>
    <row r="121" spans="4:4" ht="12" x14ac:dyDescent="0.2">
      <c r="D121" s="5"/>
    </row>
    <row r="122" spans="4:4" ht="12" x14ac:dyDescent="0.2">
      <c r="D122" s="5"/>
    </row>
    <row r="123" spans="4:4" ht="12" x14ac:dyDescent="0.2">
      <c r="D123" s="5"/>
    </row>
    <row r="124" spans="4:4" ht="12" x14ac:dyDescent="0.2">
      <c r="D124" s="5"/>
    </row>
    <row r="125" spans="4:4" ht="12" x14ac:dyDescent="0.2">
      <c r="D125" s="5"/>
    </row>
    <row r="126" spans="4:4" ht="12" x14ac:dyDescent="0.2">
      <c r="D126" s="5"/>
    </row>
    <row r="127" spans="4:4" ht="12" x14ac:dyDescent="0.2">
      <c r="D127" s="5"/>
    </row>
    <row r="128" spans="4:4" ht="12" x14ac:dyDescent="0.2">
      <c r="D128" s="5"/>
    </row>
    <row r="129" spans="4:4" ht="12" x14ac:dyDescent="0.2">
      <c r="D129" s="5"/>
    </row>
  </sheetData>
  <autoFilter ref="C4:G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117"/>
  <sheetViews>
    <sheetView topLeftCell="A25" workbookViewId="0">
      <selection activeCell="B1" sqref="B1:B1048576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8" max="16384" width="9.140625" style="2"/>
  </cols>
  <sheetData>
    <row r="1" spans="2:7" ht="15.75" x14ac:dyDescent="0.25">
      <c r="C1" s="3" t="s">
        <v>116</v>
      </c>
    </row>
    <row r="2" spans="2:7" ht="12" x14ac:dyDescent="0.2"/>
    <row r="3" spans="2:7" ht="12" x14ac:dyDescent="0.2"/>
    <row r="4" spans="2:7" ht="12" x14ac:dyDescent="0.2">
      <c r="D4" s="2" t="s">
        <v>1</v>
      </c>
      <c r="G4" s="2" t="s">
        <v>0</v>
      </c>
    </row>
    <row r="5" spans="2:7" ht="12" x14ac:dyDescent="0.2">
      <c r="B5" s="2" t="str">
        <f>G5&amp;D5</f>
        <v>2001110000105</v>
      </c>
      <c r="C5" s="5" t="s">
        <v>67</v>
      </c>
      <c r="D5" s="5">
        <v>105</v>
      </c>
      <c r="E5" s="5" t="s">
        <v>35</v>
      </c>
      <c r="F5" s="18">
        <v>-616462.01899999997</v>
      </c>
      <c r="G5" s="5">
        <v>2001110000</v>
      </c>
    </row>
    <row r="6" spans="2:7" ht="12" x14ac:dyDescent="0.2">
      <c r="B6" s="2" t="str">
        <f>G6&amp;D6</f>
        <v>2001110000111111</v>
      </c>
      <c r="C6" s="2" t="s">
        <v>67</v>
      </c>
      <c r="D6" s="5">
        <v>111111</v>
      </c>
      <c r="E6" s="2" t="s">
        <v>105</v>
      </c>
      <c r="F6" s="19">
        <v>-14431341</v>
      </c>
      <c r="G6" s="5">
        <v>2001110000</v>
      </c>
    </row>
    <row r="7" spans="2:7" ht="12" x14ac:dyDescent="0.2">
      <c r="B7" s="2" t="str">
        <f>G7&amp;D7</f>
        <v>2001190000111111</v>
      </c>
      <c r="C7" s="5" t="s">
        <v>68</v>
      </c>
      <c r="D7" s="5">
        <v>111111</v>
      </c>
      <c r="E7" s="5" t="s">
        <v>105</v>
      </c>
      <c r="F7" s="15">
        <v>-6373617.5140000004</v>
      </c>
      <c r="G7" s="5">
        <v>2001190000</v>
      </c>
    </row>
    <row r="8" spans="2:7" ht="12" x14ac:dyDescent="0.2">
      <c r="B8" s="2" t="str">
        <f>G8&amp;D8</f>
        <v>2021210000111111</v>
      </c>
      <c r="C8" s="5" t="s">
        <v>109</v>
      </c>
      <c r="D8" s="5">
        <v>111111</v>
      </c>
      <c r="E8" s="5" t="s">
        <v>105</v>
      </c>
      <c r="F8" s="15">
        <v>20504.509999999998</v>
      </c>
      <c r="G8" s="5">
        <v>2021210000</v>
      </c>
    </row>
    <row r="9" spans="2:7" ht="12" x14ac:dyDescent="0.2">
      <c r="B9" s="2" t="str">
        <f>G9&amp;D9</f>
        <v>2021900000111111</v>
      </c>
      <c r="C9" s="5" t="s">
        <v>106</v>
      </c>
      <c r="D9" s="5">
        <v>111111</v>
      </c>
      <c r="E9" s="5" t="s">
        <v>105</v>
      </c>
      <c r="F9" s="15">
        <v>5674152.0669999998</v>
      </c>
      <c r="G9" s="5">
        <v>2021900000</v>
      </c>
    </row>
    <row r="10" spans="2:7" ht="12" x14ac:dyDescent="0.2">
      <c r="B10" s="2" t="str">
        <f>G10&amp;D10</f>
        <v>2024020000111111</v>
      </c>
      <c r="C10" s="5" t="s">
        <v>26</v>
      </c>
      <c r="D10" s="5">
        <v>111111</v>
      </c>
      <c r="E10" s="5" t="s">
        <v>105</v>
      </c>
      <c r="F10" s="15">
        <v>13691.949999999999</v>
      </c>
      <c r="G10" s="5">
        <v>2024020000</v>
      </c>
    </row>
    <row r="11" spans="2:7" ht="12" x14ac:dyDescent="0.2">
      <c r="B11" s="2" t="str">
        <f>G11&amp;D11</f>
        <v>2024080000111111</v>
      </c>
      <c r="C11" s="5" t="s">
        <v>71</v>
      </c>
      <c r="D11" s="5">
        <v>111111</v>
      </c>
      <c r="E11" s="5" t="s">
        <v>105</v>
      </c>
      <c r="F11" s="15">
        <v>350370.99399999995</v>
      </c>
      <c r="G11" s="5">
        <v>2024080000</v>
      </c>
    </row>
    <row r="12" spans="2:7" ht="12" x14ac:dyDescent="0.2">
      <c r="B12" s="2" t="str">
        <f>G12&amp;D12</f>
        <v>202409000088</v>
      </c>
      <c r="C12" s="5" t="s">
        <v>70</v>
      </c>
      <c r="D12" s="5">
        <v>88</v>
      </c>
      <c r="E12" s="5" t="s">
        <v>34</v>
      </c>
      <c r="F12" s="15">
        <v>3116017.1540000001</v>
      </c>
      <c r="G12" s="5">
        <v>2024090000</v>
      </c>
    </row>
    <row r="13" spans="2:7" ht="12" x14ac:dyDescent="0.2">
      <c r="B13" s="2" t="str">
        <f>G13&amp;D13</f>
        <v>20240900001283</v>
      </c>
      <c r="C13" s="5" t="s">
        <v>70</v>
      </c>
      <c r="D13" s="5" t="s">
        <v>13</v>
      </c>
      <c r="E13" s="5" t="s">
        <v>36</v>
      </c>
      <c r="F13" s="15">
        <v>0</v>
      </c>
      <c r="G13" s="5">
        <v>2024090000</v>
      </c>
    </row>
    <row r="14" spans="2:7" ht="12" x14ac:dyDescent="0.2">
      <c r="B14" s="2" t="str">
        <f>G14&amp;D14</f>
        <v>20240900001924</v>
      </c>
      <c r="C14" s="5" t="s">
        <v>70</v>
      </c>
      <c r="D14" s="5" t="s">
        <v>14</v>
      </c>
      <c r="E14" s="5" t="s">
        <v>38</v>
      </c>
      <c r="F14" s="15">
        <v>673.34299999999985</v>
      </c>
      <c r="G14" s="5">
        <v>2024090000</v>
      </c>
    </row>
    <row r="15" spans="2:7" ht="12" x14ac:dyDescent="0.2">
      <c r="B15" s="2" t="str">
        <f>G15&amp;D15</f>
        <v>20240900002185</v>
      </c>
      <c r="C15" s="5" t="s">
        <v>70</v>
      </c>
      <c r="D15" s="5" t="s">
        <v>27</v>
      </c>
      <c r="E15" s="5" t="s">
        <v>50</v>
      </c>
      <c r="F15" s="15">
        <v>192017.14499999996</v>
      </c>
      <c r="G15" s="5">
        <v>2024090000</v>
      </c>
    </row>
    <row r="16" spans="2:7" ht="12" x14ac:dyDescent="0.2">
      <c r="B16" s="2" t="str">
        <f>G16&amp;D16</f>
        <v>20240900002240</v>
      </c>
      <c r="C16" s="5" t="s">
        <v>70</v>
      </c>
      <c r="D16" s="5" t="s">
        <v>8</v>
      </c>
      <c r="E16" s="5" t="s">
        <v>45</v>
      </c>
      <c r="F16" s="15">
        <v>375290.46599999996</v>
      </c>
      <c r="G16" s="5">
        <v>2024090000</v>
      </c>
    </row>
    <row r="17" spans="2:7" ht="12" x14ac:dyDescent="0.2">
      <c r="B17" s="2" t="str">
        <f>G17&amp;D17</f>
        <v>202409000017000</v>
      </c>
      <c r="C17" s="5" t="s">
        <v>70</v>
      </c>
      <c r="D17" s="5">
        <v>17000</v>
      </c>
      <c r="E17" s="5" t="s">
        <v>52</v>
      </c>
      <c r="F17" s="15">
        <v>4920</v>
      </c>
      <c r="G17" s="5">
        <v>2024090000</v>
      </c>
    </row>
    <row r="18" spans="2:7" ht="12" x14ac:dyDescent="0.2">
      <c r="B18" s="2" t="str">
        <f>G18&amp;D18</f>
        <v>2024090000111111</v>
      </c>
      <c r="C18" s="5" t="s">
        <v>70</v>
      </c>
      <c r="D18" s="5">
        <v>111111</v>
      </c>
      <c r="E18" s="5" t="s">
        <v>105</v>
      </c>
      <c r="F18" s="15">
        <v>9783.7069999999985</v>
      </c>
      <c r="G18" s="5">
        <v>2024090000</v>
      </c>
    </row>
    <row r="19" spans="2:7" ht="12" x14ac:dyDescent="0.2">
      <c r="B19" s="2" t="str">
        <f>G19&amp;D19</f>
        <v>2041000000111111</v>
      </c>
      <c r="C19" s="5" t="s">
        <v>3</v>
      </c>
      <c r="D19" s="5">
        <v>111111</v>
      </c>
      <c r="E19" s="5" t="s">
        <v>105</v>
      </c>
      <c r="F19" s="15">
        <v>3982699.5329999998</v>
      </c>
      <c r="G19" s="5">
        <v>2041000000</v>
      </c>
    </row>
    <row r="20" spans="2:7" ht="12" x14ac:dyDescent="0.2">
      <c r="B20" s="2" t="str">
        <f>G20&amp;D20</f>
        <v>2042000000111101</v>
      </c>
      <c r="C20" s="5" t="s">
        <v>4</v>
      </c>
      <c r="D20" s="5">
        <v>111101</v>
      </c>
      <c r="E20" s="5" t="s">
        <v>2</v>
      </c>
      <c r="F20" s="15">
        <v>1420796.8209999998</v>
      </c>
      <c r="G20" s="5">
        <v>2042000000</v>
      </c>
    </row>
    <row r="21" spans="2:7" ht="12" x14ac:dyDescent="0.2">
      <c r="B21" s="2" t="str">
        <f>G21&amp;D21</f>
        <v>2042000000111101</v>
      </c>
      <c r="C21" s="5" t="s">
        <v>72</v>
      </c>
      <c r="D21" s="5">
        <v>111101</v>
      </c>
      <c r="E21" s="5" t="s">
        <v>2</v>
      </c>
      <c r="F21" s="15">
        <v>288891.82199999999</v>
      </c>
      <c r="G21" s="5">
        <v>2042000000</v>
      </c>
    </row>
    <row r="22" spans="2:7" ht="12" x14ac:dyDescent="0.2">
      <c r="B22" s="2" t="str">
        <f>G22&amp;D22</f>
        <v>2045000000111101</v>
      </c>
      <c r="C22" s="5" t="s">
        <v>73</v>
      </c>
      <c r="D22" s="5">
        <v>111101</v>
      </c>
      <c r="E22" s="5" t="s">
        <v>2</v>
      </c>
      <c r="F22" s="15">
        <v>143500</v>
      </c>
      <c r="G22" s="5">
        <v>2045000000</v>
      </c>
    </row>
    <row r="23" spans="2:7" ht="12" x14ac:dyDescent="0.2">
      <c r="B23" s="2" t="str">
        <f>G23&amp;D23</f>
        <v>2051210000111101</v>
      </c>
      <c r="C23" s="5" t="s">
        <v>74</v>
      </c>
      <c r="D23" s="5">
        <v>111101</v>
      </c>
      <c r="E23" s="5" t="s">
        <v>2</v>
      </c>
      <c r="F23" s="15">
        <v>1875768.159</v>
      </c>
      <c r="G23" s="5">
        <v>2051210000</v>
      </c>
    </row>
    <row r="24" spans="2:7" ht="12" x14ac:dyDescent="0.2">
      <c r="B24" s="2" t="str">
        <f>G24&amp;D24</f>
        <v>2051260000111101</v>
      </c>
      <c r="C24" s="5" t="s">
        <v>74</v>
      </c>
      <c r="D24" s="5">
        <v>111101</v>
      </c>
      <c r="E24" s="5" t="s">
        <v>2</v>
      </c>
      <c r="F24" s="15">
        <v>12593.355</v>
      </c>
      <c r="G24" s="5">
        <v>2051260000</v>
      </c>
    </row>
    <row r="25" spans="2:7" ht="12" x14ac:dyDescent="0.2">
      <c r="B25" s="2" t="str">
        <f>G25&amp;D25</f>
        <v>20604410001118</v>
      </c>
      <c r="C25" s="5" t="s">
        <v>23</v>
      </c>
      <c r="D25" s="5" t="s">
        <v>21</v>
      </c>
      <c r="E25" s="5" t="s">
        <v>57</v>
      </c>
      <c r="F25" s="15">
        <v>0</v>
      </c>
      <c r="G25" s="5">
        <v>2060441000</v>
      </c>
    </row>
    <row r="26" spans="2:7" ht="12" x14ac:dyDescent="0.2">
      <c r="B26" s="2" t="str">
        <f>G26&amp;D26</f>
        <v>2060441000111111</v>
      </c>
      <c r="C26" s="5" t="s">
        <v>23</v>
      </c>
      <c r="D26" s="5">
        <v>111111</v>
      </c>
      <c r="E26" s="5" t="s">
        <v>105</v>
      </c>
      <c r="F26" s="15">
        <v>-1252.8369999999998</v>
      </c>
      <c r="G26" s="5">
        <v>2060441000</v>
      </c>
    </row>
    <row r="27" spans="2:7" ht="12" x14ac:dyDescent="0.2">
      <c r="B27" s="2" t="str">
        <f>G27&amp;D27</f>
        <v>20690100001</v>
      </c>
      <c r="C27" s="5" t="s">
        <v>75</v>
      </c>
      <c r="D27" s="5" t="s">
        <v>5</v>
      </c>
      <c r="E27" s="5" t="s">
        <v>42</v>
      </c>
      <c r="F27" s="15">
        <v>-1418521.358</v>
      </c>
      <c r="G27" s="5">
        <v>2069010000</v>
      </c>
    </row>
    <row r="28" spans="2:7" ht="12" x14ac:dyDescent="0.2">
      <c r="B28" s="2" t="str">
        <f>G28&amp;D28</f>
        <v>206901000019</v>
      </c>
      <c r="C28" s="5" t="s">
        <v>75</v>
      </c>
      <c r="D28" s="5">
        <v>19</v>
      </c>
      <c r="E28" s="5" t="s">
        <v>43</v>
      </c>
      <c r="F28" s="15">
        <v>-622966.38600000006</v>
      </c>
      <c r="G28" s="5">
        <v>2069010000</v>
      </c>
    </row>
    <row r="29" spans="2:7" ht="12" x14ac:dyDescent="0.2">
      <c r="B29" s="2" t="str">
        <f>G29&amp;D29</f>
        <v>20690100001076</v>
      </c>
      <c r="C29" s="5" t="s">
        <v>75</v>
      </c>
      <c r="D29" s="5" t="s">
        <v>18</v>
      </c>
      <c r="E29" s="5" t="s">
        <v>53</v>
      </c>
      <c r="F29" s="15">
        <v>0</v>
      </c>
      <c r="G29" s="5">
        <v>2069010000</v>
      </c>
    </row>
    <row r="30" spans="2:7" ht="12" x14ac:dyDescent="0.2">
      <c r="B30" s="2" t="str">
        <f>G30&amp;D30</f>
        <v>20690100001086</v>
      </c>
      <c r="C30" s="5" t="s">
        <v>75</v>
      </c>
      <c r="D30" s="5" t="s">
        <v>12</v>
      </c>
      <c r="E30" s="5" t="s">
        <v>49</v>
      </c>
      <c r="F30" s="15">
        <v>0</v>
      </c>
      <c r="G30" s="5">
        <v>2069010000</v>
      </c>
    </row>
    <row r="31" spans="2:7" ht="12" x14ac:dyDescent="0.2">
      <c r="B31" s="2" t="str">
        <f>G31&amp;D31</f>
        <v>20690100001009</v>
      </c>
      <c r="C31" s="5" t="s">
        <v>75</v>
      </c>
      <c r="D31" s="5">
        <v>1009</v>
      </c>
      <c r="E31" s="5" t="s">
        <v>37</v>
      </c>
      <c r="F31" s="15">
        <v>0</v>
      </c>
      <c r="G31" s="5">
        <v>2069010000</v>
      </c>
    </row>
    <row r="32" spans="2:7" ht="12" x14ac:dyDescent="0.2">
      <c r="B32" s="2" t="str">
        <f>G32&amp;D32</f>
        <v>20690100001007</v>
      </c>
      <c r="C32" s="5" t="s">
        <v>75</v>
      </c>
      <c r="D32" s="5">
        <v>1007</v>
      </c>
      <c r="E32" s="5" t="s">
        <v>39</v>
      </c>
      <c r="F32" s="15">
        <v>0</v>
      </c>
      <c r="G32" s="5">
        <v>2069010000</v>
      </c>
    </row>
    <row r="33" spans="2:7" ht="12" x14ac:dyDescent="0.2">
      <c r="B33" s="2" t="str">
        <f>G33&amp;D33</f>
        <v>20690100001008</v>
      </c>
      <c r="C33" s="5" t="s">
        <v>75</v>
      </c>
      <c r="D33" s="5">
        <v>1008</v>
      </c>
      <c r="E33" s="5" t="s">
        <v>41</v>
      </c>
      <c r="F33" s="15">
        <v>0</v>
      </c>
      <c r="G33" s="5">
        <v>2069010000</v>
      </c>
    </row>
    <row r="34" spans="2:7" ht="12" x14ac:dyDescent="0.2">
      <c r="B34" s="2" t="str">
        <f>G34&amp;D34</f>
        <v>20690100001240</v>
      </c>
      <c r="C34" s="5" t="s">
        <v>75</v>
      </c>
      <c r="D34" s="5">
        <v>1240</v>
      </c>
      <c r="E34" s="5" t="s">
        <v>46</v>
      </c>
      <c r="F34" s="15">
        <v>0</v>
      </c>
      <c r="G34" s="5">
        <v>2069010000</v>
      </c>
    </row>
    <row r="35" spans="2:7" ht="12" x14ac:dyDescent="0.2">
      <c r="B35" s="2" t="str">
        <f>G35&amp;D35</f>
        <v>20690100001006</v>
      </c>
      <c r="C35" s="5" t="s">
        <v>75</v>
      </c>
      <c r="D35" s="5">
        <v>1006</v>
      </c>
      <c r="E35" s="5" t="s">
        <v>56</v>
      </c>
      <c r="F35" s="15">
        <v>0</v>
      </c>
      <c r="G35" s="5">
        <v>2069010000</v>
      </c>
    </row>
    <row r="36" spans="2:7" ht="12" x14ac:dyDescent="0.2">
      <c r="B36" s="2" t="str">
        <f>G36&amp;D36</f>
        <v>20690100001007</v>
      </c>
      <c r="C36" s="5" t="s">
        <v>75</v>
      </c>
      <c r="D36" s="5">
        <v>1007</v>
      </c>
      <c r="E36" s="5" t="s">
        <v>40</v>
      </c>
      <c r="F36" s="15">
        <v>0</v>
      </c>
      <c r="G36" s="5">
        <v>2069010000</v>
      </c>
    </row>
    <row r="37" spans="2:7" ht="12" x14ac:dyDescent="0.2">
      <c r="B37" s="2" t="str">
        <f>G37&amp;D37</f>
        <v>206901000047037</v>
      </c>
      <c r="C37" s="5" t="s">
        <v>75</v>
      </c>
      <c r="D37" s="5" t="s">
        <v>19</v>
      </c>
      <c r="E37" s="5" t="s">
        <v>54</v>
      </c>
      <c r="F37" s="15">
        <v>-1948832.1429999999</v>
      </c>
      <c r="G37" s="5">
        <v>2069010000</v>
      </c>
    </row>
    <row r="38" spans="2:7" ht="12" x14ac:dyDescent="0.2">
      <c r="B38" s="2" t="str">
        <f>G38&amp;D38</f>
        <v>2069010000111111</v>
      </c>
      <c r="C38" s="5" t="s">
        <v>75</v>
      </c>
      <c r="D38" s="5">
        <v>111111</v>
      </c>
      <c r="E38" s="5" t="s">
        <v>105</v>
      </c>
      <c r="F38" s="15">
        <v>-902857.84299999999</v>
      </c>
      <c r="G38" s="5">
        <v>2069010000</v>
      </c>
    </row>
    <row r="39" spans="2:7" ht="12" x14ac:dyDescent="0.2">
      <c r="B39" s="2" t="str">
        <f>G39&amp;D39</f>
        <v>2069020000111111</v>
      </c>
      <c r="C39" s="5" t="s">
        <v>28</v>
      </c>
      <c r="D39" s="5">
        <v>111111</v>
      </c>
      <c r="E39" s="5" t="s">
        <v>105</v>
      </c>
      <c r="F39" s="15">
        <v>-61499.999999999993</v>
      </c>
      <c r="G39" s="5">
        <v>2069020000</v>
      </c>
    </row>
    <row r="40" spans="2:7" ht="12" x14ac:dyDescent="0.2">
      <c r="B40" s="2" t="str">
        <f>G40&amp;D40</f>
        <v>2069980000105</v>
      </c>
      <c r="C40" s="5" t="s">
        <v>76</v>
      </c>
      <c r="D40" s="5">
        <v>105</v>
      </c>
      <c r="E40" s="5" t="s">
        <v>35</v>
      </c>
      <c r="F40" s="15">
        <v>-30913.425999999996</v>
      </c>
      <c r="G40" s="5">
        <v>2069980000</v>
      </c>
    </row>
    <row r="41" spans="2:7" ht="12" x14ac:dyDescent="0.2">
      <c r="B41" s="2" t="str">
        <f>G41&amp;D41</f>
        <v>2069980000111111</v>
      </c>
      <c r="C41" s="5" t="s">
        <v>76</v>
      </c>
      <c r="D41" s="5">
        <v>111111</v>
      </c>
      <c r="E41" s="5" t="s">
        <v>105</v>
      </c>
      <c r="F41" s="15">
        <v>-15872.001999999999</v>
      </c>
      <c r="G41" s="5">
        <v>2069980000</v>
      </c>
    </row>
    <row r="42" spans="2:7" ht="12" x14ac:dyDescent="0.2">
      <c r="B42" s="2" t="str">
        <f>G42&amp;D42</f>
        <v>2070400000111111</v>
      </c>
      <c r="C42" s="5" t="s">
        <v>77</v>
      </c>
      <c r="D42" s="5">
        <v>111111</v>
      </c>
      <c r="E42" s="5" t="s">
        <v>105</v>
      </c>
      <c r="F42" s="15">
        <v>57.317999999999998</v>
      </c>
      <c r="G42" s="5">
        <v>2070400000</v>
      </c>
    </row>
    <row r="43" spans="2:7" ht="12" x14ac:dyDescent="0.2">
      <c r="B43" s="2" t="str">
        <f>G43&amp;D43</f>
        <v>2070500000111111</v>
      </c>
      <c r="C43" s="5" t="s">
        <v>78</v>
      </c>
      <c r="D43" s="5">
        <v>111111</v>
      </c>
      <c r="E43" s="5" t="s">
        <v>105</v>
      </c>
      <c r="F43" s="15">
        <v>19198.66</v>
      </c>
      <c r="G43" s="5">
        <v>2070500000</v>
      </c>
    </row>
    <row r="44" spans="2:7" ht="12" x14ac:dyDescent="0.2">
      <c r="B44" s="2" t="str">
        <f>G44&amp;D44</f>
        <v>2070600000105</v>
      </c>
      <c r="C44" s="5" t="s">
        <v>79</v>
      </c>
      <c r="D44" s="5">
        <v>105</v>
      </c>
      <c r="E44" s="5" t="s">
        <v>35</v>
      </c>
      <c r="F44" s="15">
        <v>-1423120</v>
      </c>
      <c r="G44" s="5">
        <v>2070600000</v>
      </c>
    </row>
    <row r="45" spans="2:7" ht="12" x14ac:dyDescent="0.2">
      <c r="B45" s="2" t="str">
        <f>G45&amp;D45</f>
        <v>2070600000111111</v>
      </c>
      <c r="C45" s="5" t="s">
        <v>79</v>
      </c>
      <c r="D45" s="5">
        <v>111111</v>
      </c>
      <c r="E45" s="5" t="s">
        <v>105</v>
      </c>
      <c r="F45" s="15">
        <v>-172933.44899999999</v>
      </c>
      <c r="G45" s="5">
        <v>2070600000</v>
      </c>
    </row>
    <row r="46" spans="2:7" ht="12" x14ac:dyDescent="0.2">
      <c r="B46" s="2" t="str">
        <f>G46&amp;D46</f>
        <v>2070900000105</v>
      </c>
      <c r="C46" s="5" t="s">
        <v>80</v>
      </c>
      <c r="D46" s="5">
        <v>105</v>
      </c>
      <c r="E46" s="5" t="s">
        <v>35</v>
      </c>
      <c r="F46" s="15">
        <v>473575.46100000001</v>
      </c>
      <c r="G46" s="5">
        <v>2070900000</v>
      </c>
    </row>
    <row r="47" spans="2:7" ht="12" x14ac:dyDescent="0.2">
      <c r="B47" s="2" t="str">
        <f>G47&amp;D47</f>
        <v>2070900000111111</v>
      </c>
      <c r="C47" s="5" t="s">
        <v>80</v>
      </c>
      <c r="D47" s="5">
        <v>111111</v>
      </c>
      <c r="E47" s="5" t="s">
        <v>105</v>
      </c>
      <c r="F47" s="15">
        <v>1481408.47</v>
      </c>
      <c r="G47" s="5">
        <v>2070900000</v>
      </c>
    </row>
    <row r="48" spans="2:7" ht="12" x14ac:dyDescent="0.2">
      <c r="B48" s="2" t="str">
        <f>G48&amp;D48</f>
        <v>2071000000111111</v>
      </c>
      <c r="C48" s="5" t="s">
        <v>9</v>
      </c>
      <c r="D48" s="5">
        <v>111111</v>
      </c>
      <c r="E48" s="5" t="s">
        <v>105</v>
      </c>
      <c r="F48" s="15">
        <v>40048.799999999996</v>
      </c>
      <c r="G48" s="5">
        <v>2071000000</v>
      </c>
    </row>
    <row r="49" spans="2:7" ht="12" x14ac:dyDescent="0.2">
      <c r="B49" s="2" t="str">
        <f>G49&amp;D49</f>
        <v>207110000088</v>
      </c>
      <c r="C49" s="5" t="s">
        <v>81</v>
      </c>
      <c r="D49" s="5">
        <v>88</v>
      </c>
      <c r="E49" s="5" t="s">
        <v>34</v>
      </c>
      <c r="F49" s="15">
        <v>584.66</v>
      </c>
      <c r="G49" s="5">
        <v>2071100000</v>
      </c>
    </row>
    <row r="50" spans="2:7" ht="12" x14ac:dyDescent="0.2">
      <c r="B50" s="2" t="str">
        <f>G50&amp;D50</f>
        <v>2071100000111111</v>
      </c>
      <c r="C50" s="5" t="s">
        <v>81</v>
      </c>
      <c r="D50" s="5">
        <v>111111</v>
      </c>
      <c r="E50" s="5" t="s">
        <v>105</v>
      </c>
      <c r="F50" s="15">
        <v>64039.82699999999</v>
      </c>
      <c r="G50" s="5">
        <v>2071100000</v>
      </c>
    </row>
    <row r="51" spans="2:7" ht="12" x14ac:dyDescent="0.2">
      <c r="B51" s="2" t="str">
        <f>G51&amp;D51</f>
        <v>2071209100111111</v>
      </c>
      <c r="C51" s="5" t="s">
        <v>29</v>
      </c>
      <c r="D51" s="5">
        <v>111111</v>
      </c>
      <c r="E51" s="5" t="s">
        <v>105</v>
      </c>
      <c r="F51" s="15">
        <v>1352.9999999999998</v>
      </c>
      <c r="G51" s="5">
        <v>2071209100</v>
      </c>
    </row>
    <row r="52" spans="2:7" ht="12" x14ac:dyDescent="0.2">
      <c r="B52" s="2" t="str">
        <f>G52&amp;D52</f>
        <v>2071209200111111</v>
      </c>
      <c r="C52" s="5" t="s">
        <v>10</v>
      </c>
      <c r="D52" s="5">
        <v>111111</v>
      </c>
      <c r="E52" s="5" t="s">
        <v>105</v>
      </c>
      <c r="F52" s="15">
        <v>2514431.8869999996</v>
      </c>
      <c r="G52" s="5">
        <v>2071209200</v>
      </c>
    </row>
    <row r="53" spans="2:7" ht="12" x14ac:dyDescent="0.2">
      <c r="B53" s="2" t="str">
        <f>G53&amp;D53</f>
        <v>2071209400111111</v>
      </c>
      <c r="C53" s="5" t="s">
        <v>82</v>
      </c>
      <c r="D53" s="5">
        <v>111111</v>
      </c>
      <c r="E53" s="5" t="s">
        <v>105</v>
      </c>
      <c r="F53" s="15">
        <v>4194.2999999999993</v>
      </c>
      <c r="G53" s="5">
        <v>2071209400</v>
      </c>
    </row>
    <row r="54" spans="2:7" ht="12" x14ac:dyDescent="0.2">
      <c r="B54" s="2" t="str">
        <f>G54&amp;D54</f>
        <v>2071209500111111</v>
      </c>
      <c r="C54" s="5" t="s">
        <v>83</v>
      </c>
      <c r="D54" s="5">
        <v>111111</v>
      </c>
      <c r="E54" s="5" t="s">
        <v>105</v>
      </c>
      <c r="F54" s="15">
        <v>106525.708</v>
      </c>
      <c r="G54" s="5">
        <v>2071209500</v>
      </c>
    </row>
    <row r="55" spans="2:7" ht="12" x14ac:dyDescent="0.2">
      <c r="B55" s="2" t="str">
        <f>G55&amp;D55</f>
        <v>2071980000111101</v>
      </c>
      <c r="C55" s="5" t="s">
        <v>84</v>
      </c>
      <c r="D55" s="5">
        <v>111101</v>
      </c>
      <c r="E55" s="5" t="s">
        <v>2</v>
      </c>
      <c r="F55" s="15">
        <v>109811.284</v>
      </c>
      <c r="G55" s="5">
        <v>2071980000</v>
      </c>
    </row>
    <row r="56" spans="2:7" ht="12" x14ac:dyDescent="0.2">
      <c r="B56" s="2" t="str">
        <f>G56&amp;D56</f>
        <v>2079022000111111</v>
      </c>
      <c r="C56" s="5" t="s">
        <v>85</v>
      </c>
      <c r="D56" s="5">
        <v>111111</v>
      </c>
      <c r="E56" s="5" t="s">
        <v>105</v>
      </c>
      <c r="F56" s="15">
        <v>61111.483999999997</v>
      </c>
      <c r="G56" s="5">
        <v>2079022000</v>
      </c>
    </row>
    <row r="57" spans="2:7" ht="12" x14ac:dyDescent="0.2">
      <c r="B57" s="2" t="str">
        <f>G57&amp;D57</f>
        <v>20790700001924</v>
      </c>
      <c r="C57" s="5" t="s">
        <v>86</v>
      </c>
      <c r="D57" s="5" t="s">
        <v>14</v>
      </c>
      <c r="E57" s="5" t="s">
        <v>38</v>
      </c>
      <c r="F57" s="15">
        <v>0</v>
      </c>
      <c r="G57" s="5">
        <v>2079070000</v>
      </c>
    </row>
    <row r="58" spans="2:7" ht="12" x14ac:dyDescent="0.2">
      <c r="B58" s="2" t="str">
        <f>G58&amp;D58</f>
        <v>2079070000105</v>
      </c>
      <c r="C58" s="5" t="s">
        <v>86</v>
      </c>
      <c r="D58" s="5">
        <v>105</v>
      </c>
      <c r="E58" s="5" t="s">
        <v>35</v>
      </c>
      <c r="F58" s="15">
        <v>1684415.2999999998</v>
      </c>
      <c r="G58" s="5">
        <v>2079070000</v>
      </c>
    </row>
    <row r="59" spans="2:7" ht="12" x14ac:dyDescent="0.2">
      <c r="B59" s="2" t="str">
        <f>G59&amp;D59</f>
        <v>2079070000111111</v>
      </c>
      <c r="C59" s="5" t="s">
        <v>86</v>
      </c>
      <c r="D59" s="5">
        <v>111111</v>
      </c>
      <c r="E59" s="5" t="s">
        <v>105</v>
      </c>
      <c r="F59" s="15">
        <v>575626.2649999999</v>
      </c>
      <c r="G59" s="5">
        <v>2079070000</v>
      </c>
    </row>
    <row r="60" spans="2:7" ht="12" x14ac:dyDescent="0.2">
      <c r="B60" s="2" t="str">
        <f>G60&amp;D60</f>
        <v>20790800001086</v>
      </c>
      <c r="C60" s="5" t="s">
        <v>87</v>
      </c>
      <c r="D60" s="5" t="s">
        <v>12</v>
      </c>
      <c r="E60" s="5" t="s">
        <v>49</v>
      </c>
      <c r="F60" s="15">
        <v>0</v>
      </c>
      <c r="G60" s="5">
        <v>2079080000</v>
      </c>
    </row>
    <row r="61" spans="2:7" ht="12" x14ac:dyDescent="0.2">
      <c r="B61" s="2" t="str">
        <f>G61&amp;D61</f>
        <v>20790800001007</v>
      </c>
      <c r="C61" s="5" t="s">
        <v>87</v>
      </c>
      <c r="D61" s="5">
        <v>1007</v>
      </c>
      <c r="E61" s="5" t="s">
        <v>40</v>
      </c>
      <c r="F61" s="15">
        <v>0</v>
      </c>
      <c r="G61" s="5">
        <v>2079080000</v>
      </c>
    </row>
    <row r="62" spans="2:7" ht="12" x14ac:dyDescent="0.2">
      <c r="B62" s="2" t="str">
        <f>G62&amp;D62</f>
        <v>20822800001086</v>
      </c>
      <c r="C62" s="5" t="s">
        <v>88</v>
      </c>
      <c r="D62" s="5" t="s">
        <v>12</v>
      </c>
      <c r="E62" s="5" t="s">
        <v>49</v>
      </c>
      <c r="F62" s="15">
        <v>0</v>
      </c>
      <c r="G62" s="5">
        <v>2082280000</v>
      </c>
    </row>
    <row r="63" spans="2:7" ht="12" x14ac:dyDescent="0.2">
      <c r="B63" s="2" t="str">
        <f>G63&amp;D63</f>
        <v>20822800001009</v>
      </c>
      <c r="C63" s="5" t="s">
        <v>88</v>
      </c>
      <c r="D63" s="5">
        <v>1009</v>
      </c>
      <c r="E63" s="5" t="s">
        <v>37</v>
      </c>
      <c r="F63" s="15">
        <v>0</v>
      </c>
      <c r="G63" s="5">
        <v>2082280000</v>
      </c>
    </row>
    <row r="64" spans="2:7" ht="12" x14ac:dyDescent="0.2">
      <c r="B64" s="2" t="str">
        <f>G64&amp;D64</f>
        <v>20822800001007</v>
      </c>
      <c r="C64" s="5" t="s">
        <v>88</v>
      </c>
      <c r="D64" s="5">
        <v>1007</v>
      </c>
      <c r="E64" s="5" t="s">
        <v>39</v>
      </c>
      <c r="F64" s="15">
        <v>0</v>
      </c>
      <c r="G64" s="5">
        <v>2082280000</v>
      </c>
    </row>
    <row r="65" spans="2:7" ht="12" x14ac:dyDescent="0.2">
      <c r="B65" s="2" t="str">
        <f>G65&amp;D65</f>
        <v>20822800001008</v>
      </c>
      <c r="C65" s="5" t="s">
        <v>88</v>
      </c>
      <c r="D65" s="5">
        <v>1008</v>
      </c>
      <c r="E65" s="5" t="s">
        <v>41</v>
      </c>
      <c r="F65" s="15">
        <v>0</v>
      </c>
      <c r="G65" s="5">
        <v>2082280000</v>
      </c>
    </row>
    <row r="66" spans="2:7" ht="12" x14ac:dyDescent="0.2">
      <c r="B66" s="2" t="str">
        <f>G66&amp;D66</f>
        <v>20822800001240</v>
      </c>
      <c r="C66" s="5" t="s">
        <v>88</v>
      </c>
      <c r="D66" s="5">
        <v>1240</v>
      </c>
      <c r="E66" s="5" t="s">
        <v>46</v>
      </c>
      <c r="F66" s="15">
        <v>0</v>
      </c>
      <c r="G66" s="5">
        <v>2082280000</v>
      </c>
    </row>
    <row r="67" spans="2:7" ht="12" x14ac:dyDescent="0.2">
      <c r="B67" s="2" t="str">
        <f>G67&amp;D67</f>
        <v>20822800001006</v>
      </c>
      <c r="C67" s="5" t="s">
        <v>88</v>
      </c>
      <c r="D67" s="5">
        <v>1006</v>
      </c>
      <c r="E67" s="5" t="s">
        <v>56</v>
      </c>
      <c r="F67" s="15">
        <v>0</v>
      </c>
      <c r="G67" s="5">
        <v>2082280000</v>
      </c>
    </row>
    <row r="68" spans="2:7" ht="12" x14ac:dyDescent="0.2">
      <c r="B68" s="2" t="str">
        <f>G68&amp;D68</f>
        <v>2082280000111111</v>
      </c>
      <c r="C68" s="5" t="s">
        <v>88</v>
      </c>
      <c r="D68" s="5">
        <v>111111</v>
      </c>
      <c r="E68" s="5" t="s">
        <v>105</v>
      </c>
      <c r="F68" s="15">
        <v>-73809.511999999988</v>
      </c>
      <c r="G68" s="5">
        <v>2082280000</v>
      </c>
    </row>
    <row r="69" spans="2:7" ht="12" x14ac:dyDescent="0.2">
      <c r="B69" s="2" t="str">
        <f>G69&amp;D69</f>
        <v>2082208200111101</v>
      </c>
      <c r="C69" s="5" t="s">
        <v>89</v>
      </c>
      <c r="D69" s="5">
        <v>111101</v>
      </c>
      <c r="E69" s="5" t="s">
        <v>2</v>
      </c>
      <c r="F69" s="15">
        <v>7173.195999999999</v>
      </c>
      <c r="G69" s="5">
        <v>2082208200</v>
      </c>
    </row>
    <row r="70" spans="2:7" ht="12" x14ac:dyDescent="0.2">
      <c r="B70" s="2" t="str">
        <f>G70&amp;D70</f>
        <v>208221400088</v>
      </c>
      <c r="C70" s="5" t="s">
        <v>90</v>
      </c>
      <c r="D70" s="5">
        <v>88</v>
      </c>
      <c r="E70" s="5" t="s">
        <v>34</v>
      </c>
      <c r="F70" s="15">
        <v>2324465.8859999999</v>
      </c>
      <c r="G70" s="5">
        <v>2082214000</v>
      </c>
    </row>
    <row r="71" spans="2:7" ht="12" x14ac:dyDescent="0.2">
      <c r="B71" s="2" t="str">
        <f>G71&amp;D71</f>
        <v>20822140001007</v>
      </c>
      <c r="C71" s="5" t="s">
        <v>90</v>
      </c>
      <c r="D71" s="5">
        <v>1007</v>
      </c>
      <c r="E71" s="5" t="s">
        <v>40</v>
      </c>
      <c r="F71" s="15">
        <v>0</v>
      </c>
      <c r="G71" s="5">
        <v>2082214000</v>
      </c>
    </row>
    <row r="72" spans="2:7" ht="12" x14ac:dyDescent="0.2">
      <c r="B72" s="2" t="str">
        <f>G72&amp;D72</f>
        <v>2082214000111111</v>
      </c>
      <c r="C72" s="5" t="s">
        <v>90</v>
      </c>
      <c r="D72" s="5">
        <v>111111</v>
      </c>
      <c r="E72" s="5" t="s">
        <v>105</v>
      </c>
      <c r="F72" s="15">
        <v>51.454999999999998</v>
      </c>
      <c r="G72" s="5">
        <v>2082214000</v>
      </c>
    </row>
    <row r="73" spans="2:7" ht="12" x14ac:dyDescent="0.2">
      <c r="B73" s="2" t="str">
        <f>G73&amp;D73</f>
        <v>2082110000111101</v>
      </c>
      <c r="C73" s="5" t="s">
        <v>108</v>
      </c>
      <c r="D73" s="5">
        <v>111101</v>
      </c>
      <c r="E73" s="5" t="s">
        <v>2</v>
      </c>
      <c r="F73" s="15">
        <v>0</v>
      </c>
      <c r="G73" s="5">
        <v>2082110000</v>
      </c>
    </row>
    <row r="74" spans="2:7" ht="12" x14ac:dyDescent="0.2">
      <c r="B74" s="2" t="str">
        <f>G74&amp;D74</f>
        <v>2091200000111101</v>
      </c>
      <c r="C74" s="5" t="s">
        <v>91</v>
      </c>
      <c r="D74" s="5">
        <v>111101</v>
      </c>
      <c r="E74" s="5" t="s">
        <v>2</v>
      </c>
      <c r="F74" s="15">
        <v>2558.1950000000002</v>
      </c>
      <c r="G74" s="5">
        <v>2091200000</v>
      </c>
    </row>
    <row r="75" spans="2:7" ht="12" x14ac:dyDescent="0.2">
      <c r="B75" s="2" t="str">
        <f>G75&amp;D75</f>
        <v>2091200001111101</v>
      </c>
      <c r="C75" s="5" t="s">
        <v>92</v>
      </c>
      <c r="D75" s="5">
        <v>111101</v>
      </c>
      <c r="E75" s="5" t="s">
        <v>2</v>
      </c>
      <c r="F75" s="15">
        <v>522710.353</v>
      </c>
      <c r="G75" s="5">
        <v>2091200001</v>
      </c>
    </row>
    <row r="76" spans="2:7" ht="12" x14ac:dyDescent="0.2">
      <c r="B76" s="2" t="str">
        <f>G76&amp;D76</f>
        <v>2092200000111101</v>
      </c>
      <c r="C76" s="5" t="s">
        <v>93</v>
      </c>
      <c r="D76" s="5">
        <v>111101</v>
      </c>
      <c r="E76" s="5" t="s">
        <v>2</v>
      </c>
      <c r="F76" s="15">
        <v>-160303.52199999997</v>
      </c>
      <c r="G76" s="5">
        <v>2092200000</v>
      </c>
    </row>
    <row r="77" spans="2:7" ht="12" x14ac:dyDescent="0.2">
      <c r="B77" s="2" t="str">
        <f>G77&amp;D77</f>
        <v>2111111997111101</v>
      </c>
      <c r="C77" s="5" t="s">
        <v>30</v>
      </c>
      <c r="D77" s="5">
        <v>111101</v>
      </c>
      <c r="E77" s="5" t="s">
        <v>2</v>
      </c>
      <c r="F77" s="15">
        <v>0</v>
      </c>
      <c r="G77" s="5">
        <v>2111111997</v>
      </c>
    </row>
    <row r="78" spans="2:7" ht="12" x14ac:dyDescent="0.2">
      <c r="B78" s="2" t="str">
        <f>G78&amp;D78</f>
        <v>2111111999111101</v>
      </c>
      <c r="C78" s="16" t="s">
        <v>66</v>
      </c>
      <c r="D78" s="16">
        <v>111101</v>
      </c>
      <c r="E78" s="16" t="s">
        <v>2</v>
      </c>
      <c r="F78" s="17">
        <v>-779290.47600000002</v>
      </c>
      <c r="G78" s="16">
        <v>2111111999</v>
      </c>
    </row>
    <row r="79" spans="2:7" ht="12" x14ac:dyDescent="0.2">
      <c r="D79" s="5"/>
    </row>
    <row r="80" spans="2:7" ht="12" x14ac:dyDescent="0.2">
      <c r="D80" s="5"/>
    </row>
    <row r="81" spans="4:4" ht="12" x14ac:dyDescent="0.2">
      <c r="D81" s="5"/>
    </row>
    <row r="82" spans="4:4" ht="12" x14ac:dyDescent="0.2">
      <c r="D82" s="5"/>
    </row>
    <row r="83" spans="4:4" ht="12" x14ac:dyDescent="0.2">
      <c r="D83" s="5"/>
    </row>
    <row r="84" spans="4:4" ht="12" x14ac:dyDescent="0.2">
      <c r="D84" s="5"/>
    </row>
    <row r="85" spans="4:4" ht="12" x14ac:dyDescent="0.2">
      <c r="D85" s="5"/>
    </row>
    <row r="86" spans="4:4" ht="12" x14ac:dyDescent="0.2">
      <c r="D86" s="5"/>
    </row>
    <row r="87" spans="4:4" ht="12" x14ac:dyDescent="0.2">
      <c r="D87" s="5"/>
    </row>
    <row r="88" spans="4:4" ht="12" x14ac:dyDescent="0.2">
      <c r="D88" s="5"/>
    </row>
    <row r="89" spans="4:4" ht="12" x14ac:dyDescent="0.2">
      <c r="D89" s="5"/>
    </row>
    <row r="90" spans="4:4" ht="12" x14ac:dyDescent="0.2">
      <c r="D90" s="5"/>
    </row>
    <row r="91" spans="4:4" ht="12" x14ac:dyDescent="0.2">
      <c r="D91" s="5"/>
    </row>
    <row r="92" spans="4:4" ht="12" x14ac:dyDescent="0.2">
      <c r="D92" s="5"/>
    </row>
    <row r="93" spans="4:4" ht="12" x14ac:dyDescent="0.2">
      <c r="D93" s="5"/>
    </row>
    <row r="94" spans="4:4" ht="12" x14ac:dyDescent="0.2">
      <c r="D94" s="5"/>
    </row>
    <row r="95" spans="4:4" ht="12" x14ac:dyDescent="0.2">
      <c r="D95" s="5"/>
    </row>
    <row r="96" spans="4:4" ht="12" x14ac:dyDescent="0.2">
      <c r="D96" s="5"/>
    </row>
    <row r="97" spans="4:4" ht="12" x14ac:dyDescent="0.2">
      <c r="D97" s="5"/>
    </row>
    <row r="98" spans="4:4" ht="12" x14ac:dyDescent="0.2">
      <c r="D98" s="5"/>
    </row>
    <row r="99" spans="4:4" ht="12" x14ac:dyDescent="0.2">
      <c r="D99" s="5"/>
    </row>
    <row r="100" spans="4:4" ht="12" x14ac:dyDescent="0.2">
      <c r="D100" s="5"/>
    </row>
    <row r="101" spans="4:4" ht="12" x14ac:dyDescent="0.2">
      <c r="D101" s="5"/>
    </row>
    <row r="102" spans="4:4" ht="12" x14ac:dyDescent="0.2">
      <c r="D102" s="5"/>
    </row>
    <row r="103" spans="4:4" ht="12" x14ac:dyDescent="0.2">
      <c r="D103" s="5"/>
    </row>
    <row r="104" spans="4:4" ht="12" x14ac:dyDescent="0.2">
      <c r="D104" s="5"/>
    </row>
    <row r="105" spans="4:4" ht="12" x14ac:dyDescent="0.2">
      <c r="D105" s="5"/>
    </row>
    <row r="106" spans="4:4" ht="12" x14ac:dyDescent="0.2">
      <c r="D106" s="5"/>
    </row>
    <row r="107" spans="4:4" ht="12" x14ac:dyDescent="0.2">
      <c r="D107" s="5"/>
    </row>
    <row r="108" spans="4:4" ht="12" x14ac:dyDescent="0.2">
      <c r="D108" s="5"/>
    </row>
    <row r="109" spans="4:4" ht="12" x14ac:dyDescent="0.2">
      <c r="D109" s="5"/>
    </row>
    <row r="110" spans="4:4" ht="12" x14ac:dyDescent="0.2">
      <c r="D110" s="5"/>
    </row>
    <row r="111" spans="4:4" ht="12" x14ac:dyDescent="0.2">
      <c r="D111" s="5"/>
    </row>
    <row r="112" spans="4:4" ht="12" x14ac:dyDescent="0.2">
      <c r="D112" s="5"/>
    </row>
    <row r="113" spans="4:4" ht="12" x14ac:dyDescent="0.2">
      <c r="D113" s="5"/>
    </row>
    <row r="114" spans="4:4" ht="12" x14ac:dyDescent="0.2">
      <c r="D114" s="5"/>
    </row>
    <row r="115" spans="4:4" ht="12" x14ac:dyDescent="0.2">
      <c r="D115" s="5"/>
    </row>
    <row r="116" spans="4:4" ht="12" x14ac:dyDescent="0.2">
      <c r="D116" s="5"/>
    </row>
    <row r="117" spans="4:4" ht="12" x14ac:dyDescent="0.2">
      <c r="D117" s="5"/>
    </row>
  </sheetData>
  <autoFilter ref="C4:G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G215"/>
  <sheetViews>
    <sheetView tabSelected="1" topLeftCell="A72" workbookViewId="0">
      <selection activeCell="D115" sqref="D115"/>
    </sheetView>
  </sheetViews>
  <sheetFormatPr defaultColWidth="9.140625" defaultRowHeight="12" x14ac:dyDescent="0.2"/>
  <cols>
    <col min="1" max="1" width="2" style="2" customWidth="1"/>
    <col min="2" max="2" width="26.140625" style="2" bestFit="1" customWidth="1"/>
    <col min="3" max="3" width="14" style="2" bestFit="1" customWidth="1"/>
    <col min="4" max="4" width="27.7109375" style="2" bestFit="1" customWidth="1"/>
    <col min="5" max="5" width="20" style="2" bestFit="1" customWidth="1"/>
    <col min="6" max="6" width="9.140625" style="2"/>
    <col min="7" max="7" width="6" style="2" bestFit="1" customWidth="1"/>
    <col min="8" max="16384" width="9.140625" style="2"/>
  </cols>
  <sheetData>
    <row r="1" spans="2:7" ht="15.75" x14ac:dyDescent="0.25">
      <c r="B1" s="3" t="s">
        <v>58</v>
      </c>
    </row>
    <row r="2" spans="2:7" ht="15" x14ac:dyDescent="0.25">
      <c r="B2" s="22" t="s">
        <v>117</v>
      </c>
      <c r="C2" s="22" t="s">
        <v>101</v>
      </c>
      <c r="D2" s="22" t="s">
        <v>223</v>
      </c>
      <c r="E2" s="22" t="s">
        <v>224</v>
      </c>
      <c r="F2" s="22" t="s">
        <v>225</v>
      </c>
      <c r="G2" s="22" t="s">
        <v>226</v>
      </c>
    </row>
    <row r="3" spans="2:7" x14ac:dyDescent="0.2">
      <c r="B3" s="2" t="s">
        <v>118</v>
      </c>
      <c r="C3" s="2" t="str">
        <f>VLOOKUP(B3,'1.1 FY2016'!$B$5:$E$61,2,FALSE)</f>
        <v>Core business revenues</v>
      </c>
      <c r="D3" s="2">
        <f>VLOOKUP(B3,'1.1 FY2016'!$B$5:$E$61,3,FALSE)</f>
        <v>111111</v>
      </c>
      <c r="E3" s="2" t="str">
        <f>VLOOKUP(B3,'1.1 FY2016'!$B$5:$E$61,4,FALSE)</f>
        <v>External</v>
      </c>
    </row>
    <row r="4" spans="2:7" x14ac:dyDescent="0.2">
      <c r="B4" s="2" t="s">
        <v>119</v>
      </c>
      <c r="C4" s="2" t="str">
        <f>VLOOKUP(B4,'1.1 FY2016'!$B$5:$E$61,2,FALSE)</f>
        <v>Other revenues</v>
      </c>
      <c r="D4" s="2">
        <f>VLOOKUP(B4,'1.1 FY2016'!$B$5:$E$61,3,FALSE)</f>
        <v>111111</v>
      </c>
      <c r="E4" s="2" t="str">
        <f>VLOOKUP(B4,'1.1 FY2016'!$B$5:$E$61,4,FALSE)</f>
        <v>External</v>
      </c>
    </row>
    <row r="5" spans="2:7" x14ac:dyDescent="0.2">
      <c r="B5" s="2" t="s">
        <v>120</v>
      </c>
      <c r="C5" s="2" t="str">
        <f>VLOOKUP(B5,'1.1 FY2016'!$B$5:$E$61,2,FALSE)</f>
        <v>Capitalized costs</v>
      </c>
      <c r="D5" s="2">
        <f>VLOOKUP(B5,'1.1 FY2016'!$B$5:$E$61,3,FALSE)</f>
        <v>1009</v>
      </c>
      <c r="E5" s="2" t="str">
        <f>VLOOKUP(B5,'1.1 FY2016'!$B$5:$E$61,4,FALSE)</f>
        <v>Green Ventures Ltd</v>
      </c>
    </row>
    <row r="6" spans="2:7" x14ac:dyDescent="0.2">
      <c r="B6" s="2" t="s">
        <v>121</v>
      </c>
      <c r="C6" s="2" t="str">
        <f>VLOOKUP(B6,'1.1 FY2016'!$B$5:$E$61,2,FALSE)</f>
        <v>Capitalized costs</v>
      </c>
      <c r="D6" s="2">
        <f>VLOOKUP(B6,'1.1 FY2016'!$B$5:$E$61,3,FALSE)</f>
        <v>1007</v>
      </c>
      <c r="E6" s="2" t="str">
        <f>VLOOKUP(B6,'1.1 FY2016'!$B$5:$E$61,4,FALSE)</f>
        <v>Generco Sunshine JSC</v>
      </c>
    </row>
    <row r="7" spans="2:7" x14ac:dyDescent="0.2">
      <c r="B7" s="2" t="s">
        <v>122</v>
      </c>
      <c r="C7" s="2" t="str">
        <f>VLOOKUP(B7,'1.1 FY2016'!$B$5:$E$61,2,FALSE)</f>
        <v>Capitalized costs</v>
      </c>
      <c r="D7" s="2">
        <f>VLOOKUP(B7,'1.1 FY2016'!$B$5:$E$61,3,FALSE)</f>
        <v>1008</v>
      </c>
      <c r="E7" s="2" t="str">
        <f>VLOOKUP(B7,'1.1 FY2016'!$B$5:$E$61,4,FALSE)</f>
        <v>Greenco Ltd</v>
      </c>
    </row>
    <row r="8" spans="2:7" x14ac:dyDescent="0.2">
      <c r="B8" s="2" t="s">
        <v>123</v>
      </c>
      <c r="C8" s="2" t="str">
        <f>VLOOKUP(B8,'1.1 FY2016'!$B$5:$E$61,2,FALSE)</f>
        <v>Capitalized costs</v>
      </c>
      <c r="D8" s="2">
        <f>VLOOKUP(B8,'1.1 FY2016'!$B$5:$E$61,3,FALSE)</f>
        <v>111101</v>
      </c>
      <c r="E8" s="2" t="str">
        <f>VLOOKUP(B8,'1.1 FY2016'!$B$5:$E$61,4,FALSE)</f>
        <v>Not assigned</v>
      </c>
    </row>
    <row r="9" spans="2:7" x14ac:dyDescent="0.2">
      <c r="B9" s="2" t="s">
        <v>124</v>
      </c>
      <c r="C9" s="2" t="str">
        <f>VLOOKUP(B9,'1.1 FY2016'!$B$5:$E$61,2,FALSE)</f>
        <v>Direct costs</v>
      </c>
      <c r="D9" s="2">
        <f>VLOOKUP(B9,'1.1 FY2016'!$B$5:$E$61,3,FALSE)</f>
        <v>111111</v>
      </c>
      <c r="E9" s="2" t="str">
        <f>VLOOKUP(B9,'1.1 FY2016'!$B$5:$E$61,4,FALSE)</f>
        <v>External</v>
      </c>
    </row>
    <row r="10" spans="2:7" x14ac:dyDescent="0.2">
      <c r="B10" s="2" t="s">
        <v>125</v>
      </c>
      <c r="C10" s="2" t="str">
        <f>VLOOKUP(B10,'1.1 FY2016'!$B$5:$E$61,2,FALSE)</f>
        <v>Freight outbound expenses</v>
      </c>
      <c r="D10" s="2">
        <f>VLOOKUP(B10,'1.1 FY2016'!$B$5:$E$61,3,FALSE)</f>
        <v>111111</v>
      </c>
      <c r="E10" s="2" t="str">
        <f>VLOOKUP(B10,'1.1 FY2016'!$B$5:$E$61,4,FALSE)</f>
        <v>External</v>
      </c>
    </row>
    <row r="11" spans="2:7" x14ac:dyDescent="0.2">
      <c r="B11" s="2" t="s">
        <v>126</v>
      </c>
      <c r="C11" s="2" t="str">
        <f>VLOOKUP(B11,'1.1 FY2016'!$B$5:$E$61,2,FALSE)</f>
        <v>R&amp;D expenses</v>
      </c>
      <c r="D11" s="2">
        <f>VLOOKUP(B11,'1.1 FY2016'!$B$5:$E$61,3,FALSE)</f>
        <v>88</v>
      </c>
      <c r="E11" s="2" t="str">
        <f>VLOOKUP(B11,'1.1 FY2016'!$B$5:$E$61,4,FALSE)</f>
        <v>Generco Ltd</v>
      </c>
    </row>
    <row r="12" spans="2:7" x14ac:dyDescent="0.2">
      <c r="B12" s="2" t="s">
        <v>127</v>
      </c>
      <c r="C12" s="2" t="str">
        <f>VLOOKUP(B12,'1.1 FY2016'!$B$5:$E$61,2,FALSE)</f>
        <v>R&amp;D expenses</v>
      </c>
      <c r="D12" s="2">
        <f>VLOOKUP(B12,'1.1 FY2016'!$B$5:$E$61,3,FALSE)</f>
        <v>111111</v>
      </c>
      <c r="E12" s="2" t="str">
        <f>VLOOKUP(B12,'1.1 FY2016'!$B$5:$E$61,4,FALSE)</f>
        <v>External</v>
      </c>
    </row>
    <row r="13" spans="2:7" x14ac:dyDescent="0.2">
      <c r="B13" s="2" t="s">
        <v>128</v>
      </c>
      <c r="C13" s="2" t="str">
        <f>VLOOKUP(B13,'1.1 FY2016'!$B$5:$E$61,2,FALSE)</f>
        <v>Wages and salaries</v>
      </c>
      <c r="D13" s="2">
        <f>VLOOKUP(B13,'1.1 FY2016'!$B$5:$E$61,3,FALSE)</f>
        <v>111111</v>
      </c>
      <c r="E13" s="2" t="str">
        <f>VLOOKUP(B13,'1.1 FY2016'!$B$5:$E$61,4,FALSE)</f>
        <v>External</v>
      </c>
    </row>
    <row r="14" spans="2:7" x14ac:dyDescent="0.2">
      <c r="B14" s="2" t="s">
        <v>129</v>
      </c>
      <c r="C14" s="2" t="str">
        <f>VLOOKUP(B14,'1.1 FY2016'!$B$5:$E$61,2,FALSE)</f>
        <v>Pension contributions</v>
      </c>
      <c r="D14" s="2">
        <f>VLOOKUP(B14,'1.1 FY2016'!$B$5:$E$61,3,FALSE)</f>
        <v>111101</v>
      </c>
      <c r="E14" s="2" t="str">
        <f>VLOOKUP(B14,'1.1 FY2016'!$B$5:$E$61,4,FALSE)</f>
        <v>Not assigned</v>
      </c>
    </row>
    <row r="15" spans="2:7" x14ac:dyDescent="0.2">
      <c r="B15" s="2" t="s">
        <v>130</v>
      </c>
      <c r="C15" s="2" t="str">
        <f>VLOOKUP(B15,'1.1 FY2016'!$B$5:$E$61,2,FALSE)</f>
        <v>Pension contributions</v>
      </c>
      <c r="D15" s="2">
        <f>VLOOKUP(B15,'1.1 FY2016'!$B$5:$E$61,3,FALSE)</f>
        <v>88</v>
      </c>
      <c r="E15" s="2" t="str">
        <f>VLOOKUP(B15,'1.1 FY2016'!$B$5:$E$61,4,FALSE)</f>
        <v>Generco Ltd</v>
      </c>
    </row>
    <row r="16" spans="2:7" x14ac:dyDescent="0.2">
      <c r="B16" s="2" t="s">
        <v>131</v>
      </c>
      <c r="C16" s="2" t="str">
        <f>VLOOKUP(B16,'1.1 FY2016'!$B$5:$E$61,2,FALSE)</f>
        <v>Severance indemnity contribution</v>
      </c>
      <c r="D16" s="2">
        <f>VLOOKUP(B16,'1.1 FY2016'!$B$5:$E$61,3,FALSE)</f>
        <v>111101</v>
      </c>
      <c r="E16" s="2" t="str">
        <f>VLOOKUP(B16,'1.1 FY2016'!$B$5:$E$61,4,FALSE)</f>
        <v>Not assigned</v>
      </c>
    </row>
    <row r="17" spans="2:5" x14ac:dyDescent="0.2">
      <c r="B17" s="2" t="s">
        <v>132</v>
      </c>
      <c r="C17" s="2" t="str">
        <f>VLOOKUP(B17,'1.1 FY2016'!$B$5:$E$61,2,FALSE)</f>
        <v>D&amp;A</v>
      </c>
      <c r="D17" s="2">
        <f>VLOOKUP(B17,'1.1 FY2016'!$B$5:$E$61,3,FALSE)</f>
        <v>111101</v>
      </c>
      <c r="E17" s="2" t="str">
        <f>VLOOKUP(B17,'1.1 FY2016'!$B$5:$E$61,4,FALSE)</f>
        <v>Not assigned</v>
      </c>
    </row>
    <row r="18" spans="2:5" x14ac:dyDescent="0.2">
      <c r="B18" s="2" t="s">
        <v>133</v>
      </c>
      <c r="C18" s="2" t="str">
        <f>VLOOKUP(B18,'1.1 FY2016'!$B$5:$E$61,2,FALSE)</f>
        <v>D&amp;A</v>
      </c>
      <c r="D18" s="2">
        <f>VLOOKUP(B18,'1.1 FY2016'!$B$5:$E$61,3,FALSE)</f>
        <v>1</v>
      </c>
      <c r="E18" s="2" t="str">
        <f>VLOOKUP(B18,'1.1 FY2016'!$B$5:$E$61,4,FALSE)</f>
        <v>Not assigned</v>
      </c>
    </row>
    <row r="19" spans="2:5" x14ac:dyDescent="0.2">
      <c r="B19" s="2" t="s">
        <v>134</v>
      </c>
      <c r="C19" s="2" t="str">
        <f>VLOOKUP(B19,'1.1 FY2016'!$B$5:$E$61,2,FALSE)</f>
        <v>Corporate recharges</v>
      </c>
      <c r="D19" s="2" t="str">
        <f>VLOOKUP(B19,'1.1 FY2016'!$B$5:$E$61,3,FALSE)</f>
        <v>1</v>
      </c>
      <c r="E19" s="2" t="str">
        <f>VLOOKUP(B19,'1.1 FY2016'!$B$5:$E$61,4,FALSE)</f>
        <v>Greeny Ltd</v>
      </c>
    </row>
    <row r="20" spans="2:5" x14ac:dyDescent="0.2">
      <c r="B20" s="2" t="s">
        <v>135</v>
      </c>
      <c r="C20" s="2" t="str">
        <f>VLOOKUP(B20,'1.1 FY2016'!$B$5:$E$61,2,FALSE)</f>
        <v>Corporate recharges</v>
      </c>
      <c r="D20" s="2">
        <f>VLOOKUP(B20,'1.1 FY2016'!$B$5:$E$61,3,FALSE)</f>
        <v>14</v>
      </c>
      <c r="E20" s="2" t="str">
        <f>VLOOKUP(B20,'1.1 FY2016'!$B$5:$E$61,4,FALSE)</f>
        <v>Generco Cosmetics Ltd</v>
      </c>
    </row>
    <row r="21" spans="2:5" x14ac:dyDescent="0.2">
      <c r="B21" s="2" t="s">
        <v>136</v>
      </c>
      <c r="C21" s="2" t="str">
        <f>VLOOKUP(B21,'1.1 FY2016'!$B$5:$E$61,2,FALSE)</f>
        <v>Corporate recharges</v>
      </c>
      <c r="D21" s="2">
        <f>VLOOKUP(B21,'1.1 FY2016'!$B$5:$E$61,3,FALSE)</f>
        <v>1037</v>
      </c>
      <c r="E21" s="2" t="str">
        <f>VLOOKUP(B21,'1.1 FY2016'!$B$5:$E$61,4,FALSE)</f>
        <v>Generco Canada JSC</v>
      </c>
    </row>
    <row r="22" spans="2:5" x14ac:dyDescent="0.2">
      <c r="B22" s="2" t="s">
        <v>137</v>
      </c>
      <c r="C22" s="2" t="str">
        <f>VLOOKUP(B22,'1.1 FY2016'!$B$5:$E$61,2,FALSE)</f>
        <v>Corporate recharges</v>
      </c>
      <c r="D22" s="2" t="str">
        <f>VLOOKUP(B22,'1.1 FY2016'!$B$5:$E$61,3,FALSE)</f>
        <v>1087</v>
      </c>
      <c r="E22" s="2" t="str">
        <f>VLOOKUP(B22,'1.1 FY2016'!$B$5:$E$61,4,FALSE)</f>
        <v>Gener Beauty GmbH</v>
      </c>
    </row>
    <row r="23" spans="2:5" x14ac:dyDescent="0.2">
      <c r="B23" s="2" t="s">
        <v>138</v>
      </c>
      <c r="C23" s="2" t="str">
        <f>VLOOKUP(B23,'1.1 FY2016'!$B$5:$E$61,2,FALSE)</f>
        <v>Corporate recharges</v>
      </c>
      <c r="D23" s="2">
        <f>VLOOKUP(B23,'1.1 FY2016'!$B$5:$E$61,3,FALSE)</f>
        <v>1009</v>
      </c>
      <c r="E23" s="2" t="str">
        <f>VLOOKUP(B23,'1.1 FY2016'!$B$5:$E$61,4,FALSE)</f>
        <v>Green Ventures Ltd</v>
      </c>
    </row>
    <row r="24" spans="2:5" x14ac:dyDescent="0.2">
      <c r="B24" s="2" t="s">
        <v>139</v>
      </c>
      <c r="C24" s="2" t="str">
        <f>VLOOKUP(B24,'1.1 FY2016'!$B$5:$E$61,2,FALSE)</f>
        <v>Corporate recharges</v>
      </c>
      <c r="D24" s="2">
        <f>VLOOKUP(B24,'1.1 FY2016'!$B$5:$E$61,3,FALSE)</f>
        <v>1007</v>
      </c>
      <c r="E24" s="2" t="str">
        <f>VLOOKUP(B24,'1.1 FY2016'!$B$5:$E$61,4,FALSE)</f>
        <v>Generco Sunshine JSC</v>
      </c>
    </row>
    <row r="25" spans="2:5" x14ac:dyDescent="0.2">
      <c r="B25" s="2" t="s">
        <v>140</v>
      </c>
      <c r="C25" s="2" t="str">
        <f>VLOOKUP(B25,'1.1 FY2016'!$B$5:$E$61,2,FALSE)</f>
        <v>Corporate recharges</v>
      </c>
      <c r="D25" s="2">
        <f>VLOOKUP(B25,'1.1 FY2016'!$B$5:$E$61,3,FALSE)</f>
        <v>1008</v>
      </c>
      <c r="E25" s="2" t="str">
        <f>VLOOKUP(B25,'1.1 FY2016'!$B$5:$E$61,4,FALSE)</f>
        <v>Greenco Ltd</v>
      </c>
    </row>
    <row r="26" spans="2:5" x14ac:dyDescent="0.2">
      <c r="B26" s="2" t="s">
        <v>141</v>
      </c>
      <c r="C26" s="2" t="str">
        <f>VLOOKUP(B26,'1.1 FY2016'!$B$5:$E$61,2,FALSE)</f>
        <v>Corporate recharges</v>
      </c>
      <c r="D26" s="2">
        <f>VLOOKUP(B26,'1.1 FY2016'!$B$5:$E$61,3,FALSE)</f>
        <v>1240</v>
      </c>
      <c r="E26" s="2" t="str">
        <f>VLOOKUP(B26,'1.1 FY2016'!$B$5:$E$61,4,FALSE)</f>
        <v xml:space="preserve">Generco UK </v>
      </c>
    </row>
    <row r="27" spans="2:5" x14ac:dyDescent="0.2">
      <c r="B27" s="2" t="s">
        <v>142</v>
      </c>
      <c r="C27" s="2" t="str">
        <f>VLOOKUP(B27,'1.1 FY2016'!$B$5:$E$61,2,FALSE)</f>
        <v>Corporate recharges</v>
      </c>
      <c r="D27" s="2">
        <f>VLOOKUP(B27,'1.1 FY2016'!$B$5:$E$61,3,FALSE)</f>
        <v>111111</v>
      </c>
      <c r="E27" s="2" t="str">
        <f>VLOOKUP(B27,'1.1 FY2016'!$B$5:$E$61,4,FALSE)</f>
        <v>External</v>
      </c>
    </row>
    <row r="28" spans="2:5" x14ac:dyDescent="0.2">
      <c r="B28" s="2" t="s">
        <v>143</v>
      </c>
      <c r="C28" s="2" t="str">
        <f>VLOOKUP(B28,'1.1 FY2016'!$B$5:$E$61,2,FALSE)</f>
        <v>Other income</v>
      </c>
      <c r="D28" s="2">
        <f>VLOOKUP(B28,'1.1 FY2016'!$B$5:$E$61,3,FALSE)</f>
        <v>111111</v>
      </c>
      <c r="E28" s="2" t="str">
        <f>VLOOKUP(B28,'1.1 FY2016'!$B$5:$E$61,4,FALSE)</f>
        <v>External</v>
      </c>
    </row>
    <row r="29" spans="2:5" x14ac:dyDescent="0.2">
      <c r="B29" s="2" t="s">
        <v>144</v>
      </c>
      <c r="C29" s="2" t="str">
        <f>VLOOKUP(B29,'1.1 FY2016'!$B$5:$E$61,2,FALSE)</f>
        <v>Marketing expenses</v>
      </c>
      <c r="D29" s="2">
        <f>VLOOKUP(B29,'1.1 FY2016'!$B$5:$E$61,3,FALSE)</f>
        <v>111111</v>
      </c>
      <c r="E29" s="2" t="str">
        <f>VLOOKUP(B29,'1.1 FY2016'!$B$5:$E$61,4,FALSE)</f>
        <v>External</v>
      </c>
    </row>
    <row r="30" spans="2:5" x14ac:dyDescent="0.2">
      <c r="B30" s="2" t="s">
        <v>145</v>
      </c>
      <c r="C30" s="2" t="str">
        <f>VLOOKUP(B30,'1.1 FY2016'!$B$5:$E$61,2,FALSE)</f>
        <v>Software&amp;IT</v>
      </c>
      <c r="D30" s="2">
        <f>VLOOKUP(B30,'1.1 FY2016'!$B$5:$E$61,3,FALSE)</f>
        <v>88</v>
      </c>
      <c r="E30" s="2" t="str">
        <f>VLOOKUP(B30,'1.1 FY2016'!$B$5:$E$61,4,FALSE)</f>
        <v>Generco Ltd</v>
      </c>
    </row>
    <row r="31" spans="2:5" x14ac:dyDescent="0.2">
      <c r="B31" s="2" t="s">
        <v>146</v>
      </c>
      <c r="C31" s="2" t="str">
        <f>VLOOKUP(B31,'1.1 FY2016'!$B$5:$E$61,2,FALSE)</f>
        <v>Software&amp;IT</v>
      </c>
      <c r="D31" s="2">
        <f>VLOOKUP(B31,'1.1 FY2016'!$B$5:$E$61,3,FALSE)</f>
        <v>111111</v>
      </c>
      <c r="E31" s="2" t="str">
        <f>VLOOKUP(B31,'1.1 FY2016'!$B$5:$E$61,4,FALSE)</f>
        <v>External</v>
      </c>
    </row>
    <row r="32" spans="2:5" x14ac:dyDescent="0.2">
      <c r="B32" s="2" t="s">
        <v>147</v>
      </c>
      <c r="C32" s="2" t="str">
        <f>VLOOKUP(B32,'1.1 FY2016'!$B$5:$E$61,2,FALSE)</f>
        <v>Leasings</v>
      </c>
      <c r="D32" s="2">
        <f>VLOOKUP(B32,'1.1 FY2016'!$B$5:$E$61,3,FALSE)</f>
        <v>111111</v>
      </c>
      <c r="E32" s="2" t="str">
        <f>VLOOKUP(B32,'1.1 FY2016'!$B$5:$E$61,4,FALSE)</f>
        <v>External</v>
      </c>
    </row>
    <row r="33" spans="2:5" x14ac:dyDescent="0.2">
      <c r="B33" s="2" t="s">
        <v>148</v>
      </c>
      <c r="C33" s="2" t="str">
        <f>VLOOKUP(B33,'1.1 FY2016'!$B$5:$E$61,2,FALSE)</f>
        <v>Service expenses</v>
      </c>
      <c r="D33" s="2" t="str">
        <f>VLOOKUP(B33,'1.1 FY2016'!$B$5:$E$61,3,FALSE)</f>
        <v>43</v>
      </c>
      <c r="E33" s="2" t="str">
        <f>VLOOKUP(B33,'1.1 FY2016'!$B$5:$E$61,4,FALSE)</f>
        <v>Greeny France SL</v>
      </c>
    </row>
    <row r="34" spans="2:5" x14ac:dyDescent="0.2">
      <c r="B34" s="2" t="s">
        <v>149</v>
      </c>
      <c r="C34" s="2" t="str">
        <f>VLOOKUP(B34,'1.1 FY2016'!$B$5:$E$61,2,FALSE)</f>
        <v>Service expenses</v>
      </c>
      <c r="D34" s="2" t="str">
        <f>VLOOKUP(B34,'1.1 FY2016'!$B$5:$E$61,3,FALSE)</f>
        <v>2240</v>
      </c>
      <c r="E34" s="2" t="str">
        <f>VLOOKUP(B34,'1.1 FY2016'!$B$5:$E$61,4,FALSE)</f>
        <v>Greeny Germany GmbH</v>
      </c>
    </row>
    <row r="35" spans="2:5" x14ac:dyDescent="0.2">
      <c r="B35" s="2" t="s">
        <v>150</v>
      </c>
      <c r="C35" s="2" t="str">
        <f>VLOOKUP(B35,'1.1 FY2016'!$B$5:$E$61,2,FALSE)</f>
        <v>Service expenses</v>
      </c>
      <c r="D35" s="2">
        <f>VLOOKUP(B35,'1.1 FY2016'!$B$5:$E$61,3,FALSE)</f>
        <v>111111</v>
      </c>
      <c r="E35" s="2" t="str">
        <f>VLOOKUP(B35,'1.1 FY2016'!$B$5:$E$61,4,FALSE)</f>
        <v>External</v>
      </c>
    </row>
    <row r="36" spans="2:5" x14ac:dyDescent="0.2">
      <c r="B36" s="2" t="s">
        <v>151</v>
      </c>
      <c r="C36" s="2" t="str">
        <f>VLOOKUP(B36,'1.1 FY2016'!$B$5:$E$61,2,FALSE)</f>
        <v>Charges and contributions</v>
      </c>
      <c r="D36" s="2">
        <f>VLOOKUP(B36,'1.1 FY2016'!$B$5:$E$61,3,FALSE)</f>
        <v>111111</v>
      </c>
      <c r="E36" s="2" t="str">
        <f>VLOOKUP(B36,'1.1 FY2016'!$B$5:$E$61,4,FALSE)</f>
        <v>External</v>
      </c>
    </row>
    <row r="37" spans="2:5" x14ac:dyDescent="0.2">
      <c r="B37" s="2" t="s">
        <v>152</v>
      </c>
      <c r="C37" s="2" t="str">
        <f>VLOOKUP(B37,'1.1 FY2016'!$B$5:$E$61,2,FALSE)</f>
        <v>Insurance expenses</v>
      </c>
      <c r="D37" s="2">
        <f>VLOOKUP(B37,'1.1 FY2016'!$B$5:$E$61,3,FALSE)</f>
        <v>111111</v>
      </c>
      <c r="E37" s="2" t="str">
        <f>VLOOKUP(B37,'1.1 FY2016'!$B$5:$E$61,4,FALSE)</f>
        <v>External</v>
      </c>
    </row>
    <row r="38" spans="2:5" x14ac:dyDescent="0.2">
      <c r="B38" s="2" t="s">
        <v>153</v>
      </c>
      <c r="C38" s="2" t="str">
        <f>VLOOKUP(B38,'1.1 FY2016'!$B$5:$E$61,2,FALSE)</f>
        <v>Travel expenses</v>
      </c>
      <c r="D38" s="2">
        <f>VLOOKUP(B38,'1.1 FY2016'!$B$5:$E$61,3,FALSE)</f>
        <v>111111</v>
      </c>
      <c r="E38" s="2" t="str">
        <f>VLOOKUP(B38,'1.1 FY2016'!$B$5:$E$61,4,FALSE)</f>
        <v>External</v>
      </c>
    </row>
    <row r="39" spans="2:5" x14ac:dyDescent="0.2">
      <c r="B39" s="2" t="s">
        <v>154</v>
      </c>
      <c r="C39" s="2" t="str">
        <f>VLOOKUP(B39,'1.1 FY2016'!$B$5:$E$61,2,FALSE)</f>
        <v>Utility expenses</v>
      </c>
      <c r="D39" s="2">
        <f>VLOOKUP(B39,'1.1 FY2016'!$B$5:$E$61,3,FALSE)</f>
        <v>111111</v>
      </c>
      <c r="E39" s="2" t="str">
        <f>VLOOKUP(B39,'1.1 FY2016'!$B$5:$E$61,4,FALSE)</f>
        <v>External</v>
      </c>
    </row>
    <row r="40" spans="2:5" x14ac:dyDescent="0.2">
      <c r="B40" s="2" t="s">
        <v>155</v>
      </c>
      <c r="C40" s="2" t="str">
        <f>VLOOKUP(B40,'1.1 FY2016'!$B$5:$E$61,2,FALSE)</f>
        <v>Legal expenses</v>
      </c>
      <c r="D40" s="2">
        <f>VLOOKUP(B40,'1.1 FY2016'!$B$5:$E$61,3,FALSE)</f>
        <v>111111</v>
      </c>
      <c r="E40" s="2" t="str">
        <f>VLOOKUP(B40,'1.1 FY2016'!$B$5:$E$61,4,FALSE)</f>
        <v>External</v>
      </c>
    </row>
    <row r="41" spans="2:5" x14ac:dyDescent="0.2">
      <c r="B41" s="2" t="s">
        <v>156</v>
      </c>
      <c r="C41" s="2" t="str">
        <f>VLOOKUP(B41,'1.1 FY2016'!$B$5:$E$61,2,FALSE)</f>
        <v>Misc costs</v>
      </c>
      <c r="D41" s="2">
        <f>VLOOKUP(B41,'1.1 FY2016'!$B$5:$E$61,3,FALSE)</f>
        <v>111101</v>
      </c>
      <c r="E41" s="2" t="str">
        <f>VLOOKUP(B41,'1.1 FY2016'!$B$5:$E$61,4,FALSE)</f>
        <v>Not assigned</v>
      </c>
    </row>
    <row r="42" spans="2:5" x14ac:dyDescent="0.2">
      <c r="B42" s="2" t="s">
        <v>157</v>
      </c>
      <c r="C42" s="2" t="str">
        <f>VLOOKUP(B42,'1.1 FY2016'!$B$5:$E$61,2,FALSE)</f>
        <v>Consulting fees</v>
      </c>
      <c r="D42" s="2">
        <f>VLOOKUP(B42,'1.1 FY2016'!$B$5:$E$61,3,FALSE)</f>
        <v>111111</v>
      </c>
      <c r="E42" s="2" t="str">
        <f>VLOOKUP(B42,'1.1 FY2016'!$B$5:$E$61,4,FALSE)</f>
        <v>External</v>
      </c>
    </row>
    <row r="43" spans="2:5" x14ac:dyDescent="0.2">
      <c r="B43" s="2" t="s">
        <v>158</v>
      </c>
      <c r="C43" s="2" t="str">
        <f>VLOOKUP(B43,'1.1 FY2016'!$B$5:$E$61,2,FALSE)</f>
        <v>Misc extraordinary expenses</v>
      </c>
      <c r="D43" s="2">
        <f>VLOOKUP(B43,'1.1 FY2016'!$B$5:$E$61,3,FALSE)</f>
        <v>105</v>
      </c>
      <c r="E43" s="2" t="str">
        <f>VLOOKUP(B43,'1.1 FY2016'!$B$5:$E$61,4,FALSE)</f>
        <v>Generco Healthcare Ltd</v>
      </c>
    </row>
    <row r="44" spans="2:5" x14ac:dyDescent="0.2">
      <c r="B44" s="2" t="s">
        <v>159</v>
      </c>
      <c r="C44" s="2" t="str">
        <f>VLOOKUP(B44,'1.1 FY2016'!$B$5:$E$61,2,FALSE)</f>
        <v>Misc extraordinary expenses</v>
      </c>
      <c r="D44" s="2">
        <f>VLOOKUP(B44,'1.1 FY2016'!$B$5:$E$61,3,FALSE)</f>
        <v>111111</v>
      </c>
      <c r="E44" s="2" t="str">
        <f>VLOOKUP(B44,'1.1 FY2016'!$B$5:$E$61,4,FALSE)</f>
        <v>External</v>
      </c>
    </row>
    <row r="45" spans="2:5" x14ac:dyDescent="0.2">
      <c r="B45" s="2" t="s">
        <v>160</v>
      </c>
      <c r="C45" s="2" t="str">
        <f>VLOOKUP(B45,'1.1 FY2016'!$B$5:$E$61,2,FALSE)</f>
        <v>Difference from eliminations</v>
      </c>
      <c r="D45" s="2">
        <f>VLOOKUP(B45,'1.1 FY2016'!$B$5:$E$61,3,FALSE)</f>
        <v>1009</v>
      </c>
      <c r="E45" s="2" t="str">
        <f>VLOOKUP(B45,'1.1 FY2016'!$B$5:$E$61,4,FALSE)</f>
        <v>Green Ventures Ltd</v>
      </c>
    </row>
    <row r="46" spans="2:5" x14ac:dyDescent="0.2">
      <c r="B46" s="2" t="s">
        <v>161</v>
      </c>
      <c r="C46" s="2" t="str">
        <f>VLOOKUP(B46,'1.1 FY2016'!$B$5:$E$61,2,FALSE)</f>
        <v>Difference from eliminations</v>
      </c>
      <c r="D46" s="2">
        <f>VLOOKUP(B46,'1.1 FY2016'!$B$5:$E$61,3,FALSE)</f>
        <v>1007</v>
      </c>
      <c r="E46" s="2" t="str">
        <f>VLOOKUP(B46,'1.1 FY2016'!$B$5:$E$61,4,FALSE)</f>
        <v>Generco Sunshine JSC</v>
      </c>
    </row>
    <row r="47" spans="2:5" x14ac:dyDescent="0.2">
      <c r="B47" s="2" t="s">
        <v>162</v>
      </c>
      <c r="C47" s="2" t="str">
        <f>VLOOKUP(B47,'1.1 FY2016'!$B$5:$E$61,2,FALSE)</f>
        <v>Difference from eliminations</v>
      </c>
      <c r="D47" s="2">
        <f>VLOOKUP(B47,'1.1 FY2016'!$B$5:$E$61,3,FALSE)</f>
        <v>1008</v>
      </c>
      <c r="E47" s="2" t="str">
        <f>VLOOKUP(B47,'1.1 FY2016'!$B$5:$E$61,4,FALSE)</f>
        <v>Greenco Ltd</v>
      </c>
    </row>
    <row r="48" spans="2:5" x14ac:dyDescent="0.2">
      <c r="B48" s="2" t="s">
        <v>163</v>
      </c>
      <c r="C48" s="2" t="str">
        <f>VLOOKUP(B48,'1.1 FY2016'!$B$5:$E$61,2,FALSE)</f>
        <v>Interest income</v>
      </c>
      <c r="D48" s="2">
        <f>VLOOKUP(B48,'1.1 FY2016'!$B$5:$E$61,3,FALSE)</f>
        <v>1009</v>
      </c>
      <c r="E48" s="2" t="str">
        <f>VLOOKUP(B48,'1.1 FY2016'!$B$5:$E$61,4,FALSE)</f>
        <v>Green Ventures Ltd</v>
      </c>
    </row>
    <row r="49" spans="2:5" x14ac:dyDescent="0.2">
      <c r="B49" s="2" t="s">
        <v>164</v>
      </c>
      <c r="C49" s="2" t="str">
        <f>VLOOKUP(B49,'1.1 FY2016'!$B$5:$E$61,2,FALSE)</f>
        <v>Interest income</v>
      </c>
      <c r="D49" s="2">
        <f>VLOOKUP(B49,'1.1 FY2016'!$B$5:$E$61,3,FALSE)</f>
        <v>1007</v>
      </c>
      <c r="E49" s="2" t="str">
        <f>VLOOKUP(B49,'1.1 FY2016'!$B$5:$E$61,4,FALSE)</f>
        <v>Generco Sunshine JSC</v>
      </c>
    </row>
    <row r="50" spans="2:5" x14ac:dyDescent="0.2">
      <c r="B50" s="2" t="s">
        <v>165</v>
      </c>
      <c r="C50" s="2" t="str">
        <f>VLOOKUP(B50,'1.1 FY2016'!$B$5:$E$61,2,FALSE)</f>
        <v>Interest income</v>
      </c>
      <c r="D50" s="2">
        <f>VLOOKUP(B50,'1.1 FY2016'!$B$5:$E$61,3,FALSE)</f>
        <v>1008</v>
      </c>
      <c r="E50" s="2" t="str">
        <f>VLOOKUP(B50,'1.1 FY2016'!$B$5:$E$61,4,FALSE)</f>
        <v>Greenco Ltd</v>
      </c>
    </row>
    <row r="51" spans="2:5" x14ac:dyDescent="0.2">
      <c r="B51" s="2" t="s">
        <v>166</v>
      </c>
      <c r="C51" s="2" t="str">
        <f>VLOOKUP(B51,'1.1 FY2016'!$B$5:$E$61,2,FALSE)</f>
        <v>Interest income</v>
      </c>
      <c r="D51" s="2">
        <f>VLOOKUP(B51,'1.1 FY2016'!$B$5:$E$61,3,FALSE)</f>
        <v>1240</v>
      </c>
      <c r="E51" s="2" t="str">
        <f>VLOOKUP(B51,'1.1 FY2016'!$B$5:$E$61,4,FALSE)</f>
        <v xml:space="preserve">Generco UK </v>
      </c>
    </row>
    <row r="52" spans="2:5" x14ac:dyDescent="0.2">
      <c r="B52" s="2" t="s">
        <v>167</v>
      </c>
      <c r="C52" s="2" t="str">
        <f>VLOOKUP(B52,'1.1 FY2016'!$B$5:$E$61,2,FALSE)</f>
        <v>Interest income</v>
      </c>
      <c r="D52" s="2">
        <f>VLOOKUP(B52,'1.1 FY2016'!$B$5:$E$61,3,FALSE)</f>
        <v>111111</v>
      </c>
      <c r="E52" s="2" t="str">
        <f>VLOOKUP(B52,'1.1 FY2016'!$B$5:$E$61,4,FALSE)</f>
        <v>External</v>
      </c>
    </row>
    <row r="53" spans="2:5" x14ac:dyDescent="0.2">
      <c r="B53" s="2" t="s">
        <v>168</v>
      </c>
      <c r="C53" s="2" t="str">
        <f>VLOOKUP(B53,'1.1 FY2016'!$B$5:$E$61,2,FALSE)</f>
        <v>Capitalized interest</v>
      </c>
      <c r="D53" s="2">
        <f>VLOOKUP(B53,'1.1 FY2016'!$B$5:$E$61,3,FALSE)</f>
        <v>111101</v>
      </c>
      <c r="E53" s="2" t="str">
        <f>VLOOKUP(B53,'1.1 FY2016'!$B$5:$E$61,4,FALSE)</f>
        <v>Not assigned</v>
      </c>
    </row>
    <row r="54" spans="2:5" x14ac:dyDescent="0.2">
      <c r="B54" s="2" t="s">
        <v>169</v>
      </c>
      <c r="C54" s="2" t="str">
        <f>VLOOKUP(B54,'1.1 FY2016'!$B$5:$E$61,2,FALSE)</f>
        <v>Non-recurring costs</v>
      </c>
      <c r="D54" s="2">
        <f>VLOOKUP(B54,'1.1 FY2016'!$B$5:$E$61,3,FALSE)</f>
        <v>111101</v>
      </c>
      <c r="E54" s="2" t="str">
        <f>VLOOKUP(B54,'1.1 FY2016'!$B$5:$E$61,4,FALSE)</f>
        <v>Not assigned</v>
      </c>
    </row>
    <row r="55" spans="2:5" x14ac:dyDescent="0.2">
      <c r="B55" s="2" t="s">
        <v>170</v>
      </c>
      <c r="C55" s="2" t="str">
        <f>VLOOKUP(B55,'1.1 FY2016'!$B$5:$E$61,2,FALSE)</f>
        <v>Interest expenses</v>
      </c>
      <c r="D55" s="2">
        <f>VLOOKUP(B55,'1.1 FY2016'!$B$5:$E$61,3,FALSE)</f>
        <v>88</v>
      </c>
      <c r="E55" s="2" t="str">
        <f>VLOOKUP(B55,'1.1 FY2016'!$B$5:$E$61,4,FALSE)</f>
        <v>Generco Ltd</v>
      </c>
    </row>
    <row r="56" spans="2:5" x14ac:dyDescent="0.2">
      <c r="B56" s="2" t="s">
        <v>171</v>
      </c>
      <c r="C56" s="2" t="str">
        <f>VLOOKUP(B56,'1.1 FY2016'!$B$5:$E$61,2,FALSE)</f>
        <v>Current taxes</v>
      </c>
      <c r="D56" s="2">
        <f>VLOOKUP(B56,'1.1 FY2016'!$B$5:$E$61,3,FALSE)</f>
        <v>111101</v>
      </c>
      <c r="E56" s="2" t="str">
        <f>VLOOKUP(B56,'1.1 FY2016'!$B$5:$E$61,4,FALSE)</f>
        <v>Not assigned</v>
      </c>
    </row>
    <row r="57" spans="2:5" x14ac:dyDescent="0.2">
      <c r="B57" s="2" t="s">
        <v>172</v>
      </c>
      <c r="C57" s="2" t="str">
        <f>VLOOKUP(B57,'1.1 FY2016'!$B$5:$E$61,2,FALSE)</f>
        <v>Regional taxes</v>
      </c>
      <c r="D57" s="2">
        <f>VLOOKUP(B57,'1.1 FY2016'!$B$5:$E$61,3,FALSE)</f>
        <v>111101</v>
      </c>
      <c r="E57" s="2" t="str">
        <f>VLOOKUP(B57,'1.1 FY2016'!$B$5:$E$61,4,FALSE)</f>
        <v>Not assigned</v>
      </c>
    </row>
    <row r="58" spans="2:5" x14ac:dyDescent="0.2">
      <c r="B58" s="2" t="s">
        <v>173</v>
      </c>
      <c r="C58" s="2" t="str">
        <f>VLOOKUP(B58,'1.1 FY2016'!$B$5:$E$61,2,FALSE)</f>
        <v>Deferred taxes</v>
      </c>
      <c r="D58" s="2">
        <f>VLOOKUP(B58,'1.1 FY2016'!$B$5:$E$61,3,FALSE)</f>
        <v>111101</v>
      </c>
      <c r="E58" s="2" t="str">
        <f>VLOOKUP(B58,'1.1 FY2016'!$B$5:$E$61,4,FALSE)</f>
        <v>Not assigned</v>
      </c>
    </row>
    <row r="59" spans="2:5" x14ac:dyDescent="0.2">
      <c r="B59" s="2" t="s">
        <v>174</v>
      </c>
      <c r="C59" s="2" t="str">
        <f>VLOOKUP(B59,'1.1 FY2016'!$B$5:$E$61,2,FALSE)</f>
        <v>Net income/(loss)</v>
      </c>
      <c r="D59" s="2">
        <f>VLOOKUP(B59,'1.1 FY2016'!$B$5:$E$61,3,FALSE)</f>
        <v>111101</v>
      </c>
      <c r="E59" s="2" t="str">
        <f>VLOOKUP(B59,'1.1 FY2016'!$B$5:$E$61,4,FALSE)</f>
        <v>Not assigned</v>
      </c>
    </row>
    <row r="60" spans="2:5" x14ac:dyDescent="0.2">
      <c r="B60" s="2" t="s">
        <v>175</v>
      </c>
      <c r="C60" s="2" t="str">
        <f>VLOOKUP($B60,'1.2 FY2017'!$B$5:$F$86,2,FALSE)</f>
        <v>Core business revenues</v>
      </c>
      <c r="D60" s="2">
        <f>VLOOKUP($B60,'1.2 FY2017'!$B$5:$F$86,3,FALSE)</f>
        <v>105</v>
      </c>
      <c r="E60" s="2" t="str">
        <f>VLOOKUP($B60,'1.2 FY2017'!$B$5:$F$86,4,FALSE)</f>
        <v>Generco Healthcare Ltd</v>
      </c>
    </row>
    <row r="61" spans="2:5" x14ac:dyDescent="0.2">
      <c r="B61" s="2" t="s">
        <v>176</v>
      </c>
      <c r="C61" s="2" t="str">
        <f>VLOOKUP($B61,'1.2 FY2017'!$B$5:$F$86,2,FALSE)</f>
        <v>Capitalized costs</v>
      </c>
      <c r="D61" s="2" t="str">
        <f>VLOOKUP($B61,'1.2 FY2017'!$B$5:$F$86,3,FALSE)</f>
        <v>1086</v>
      </c>
      <c r="E61" s="2" t="str">
        <f>VLOOKUP($B61,'1.2 FY2017'!$B$5:$F$86,4,FALSE)</f>
        <v>G&amp;Resources Ltd</v>
      </c>
    </row>
    <row r="62" spans="2:5" x14ac:dyDescent="0.2">
      <c r="B62" s="2" t="s">
        <v>177</v>
      </c>
      <c r="C62" s="2" t="str">
        <f>VLOOKUP($B62,'1.2 FY2017'!$B$5:$F$86,2,FALSE)</f>
        <v>Utility charges</v>
      </c>
      <c r="D62" s="2">
        <f>VLOOKUP($B62,'1.2 FY2017'!$B$5:$F$86,3,FALSE)</f>
        <v>111111</v>
      </c>
      <c r="E62" s="2" t="str">
        <f>VLOOKUP($B62,'1.2 FY2017'!$B$5:$F$86,4,FALSE)</f>
        <v>External</v>
      </c>
    </row>
    <row r="63" spans="2:5" x14ac:dyDescent="0.2">
      <c r="B63" s="2" t="s">
        <v>178</v>
      </c>
      <c r="C63" s="2" t="str">
        <f>VLOOKUP($B63,'1.2 FY2017'!$B$5:$F$86,2,FALSE)</f>
        <v>R&amp;D expenses</v>
      </c>
      <c r="D63" s="2">
        <f>VLOOKUP($B63,'1.2 FY2017'!$B$5:$F$86,3,FALSE)</f>
        <v>19</v>
      </c>
      <c r="E63" s="2" t="str">
        <f>VLOOKUP($B63,'1.2 FY2017'!$B$5:$F$86,4,FALSE)</f>
        <v>Generco Cosmetics Ltd</v>
      </c>
    </row>
    <row r="64" spans="2:5" x14ac:dyDescent="0.2">
      <c r="B64" s="2" t="s">
        <v>179</v>
      </c>
      <c r="C64" s="2" t="str">
        <f>VLOOKUP($B64,'1.2 FY2017'!$B$5:$F$86,2,FALSE)</f>
        <v>R&amp;D expenses</v>
      </c>
      <c r="D64" s="2" t="str">
        <f>VLOOKUP($B64,'1.2 FY2017'!$B$5:$F$86,3,FALSE)</f>
        <v>1283</v>
      </c>
      <c r="E64" s="2" t="str">
        <f>VLOOKUP($B64,'1.2 FY2017'!$B$5:$F$86,4,FALSE)</f>
        <v>Generco Ventures Ltd</v>
      </c>
    </row>
    <row r="65" spans="2:5" x14ac:dyDescent="0.2">
      <c r="B65" s="2" t="s">
        <v>180</v>
      </c>
      <c r="C65" s="2" t="str">
        <f>VLOOKUP($B65,'1.2 FY2017'!$B$5:$F$86,2,FALSE)</f>
        <v>R&amp;D expenses</v>
      </c>
      <c r="D65" s="2" t="str">
        <f>VLOOKUP($B65,'1.2 FY2017'!$B$5:$F$86,3,FALSE)</f>
        <v>1924</v>
      </c>
      <c r="E65" s="2" t="str">
        <f>VLOOKUP($B65,'1.2 FY2017'!$B$5:$F$86,4,FALSE)</f>
        <v>Generco Infrastructure Ltd</v>
      </c>
    </row>
    <row r="66" spans="2:5" x14ac:dyDescent="0.2">
      <c r="B66" s="2" t="s">
        <v>181</v>
      </c>
      <c r="C66" s="2" t="str">
        <f>VLOOKUP($B66,'1.2 FY2017'!$B$5:$F$86,2,FALSE)</f>
        <v>R&amp;D expenses</v>
      </c>
      <c r="D66" s="2" t="str">
        <f>VLOOKUP($B66,'1.2 FY2017'!$B$5:$F$86,3,FALSE)</f>
        <v>2486</v>
      </c>
      <c r="E66" s="2" t="str">
        <f>VLOOKUP($B66,'1.2 FY2017'!$B$5:$F$86,4,FALSE)</f>
        <v>Generco Exloration Ltd</v>
      </c>
    </row>
    <row r="67" spans="2:5" x14ac:dyDescent="0.2">
      <c r="B67" s="2" t="s">
        <v>182</v>
      </c>
      <c r="C67" s="2" t="str">
        <f>VLOOKUP($B67,'1.2 FY2017'!$B$5:$F$86,2,FALSE)</f>
        <v>Other personnel expenses</v>
      </c>
      <c r="D67" s="2">
        <f>VLOOKUP($B67,'1.2 FY2017'!$B$5:$F$86,3,FALSE)</f>
        <v>111101</v>
      </c>
      <c r="E67" s="2" t="str">
        <f>VLOOKUP($B67,'1.2 FY2017'!$B$5:$F$86,4,FALSE)</f>
        <v>Not assigned</v>
      </c>
    </row>
    <row r="68" spans="2:5" x14ac:dyDescent="0.2">
      <c r="B68" s="2" t="s">
        <v>183</v>
      </c>
      <c r="C68" s="2" t="str">
        <f>VLOOKUP($B68,'1.2 FY2017'!$B$5:$F$86,2,FALSE)</f>
        <v>D&amp;A</v>
      </c>
      <c r="D68" s="2">
        <f>VLOOKUP($B68,'1.2 FY2017'!$B$5:$F$86,3,FALSE)</f>
        <v>111101</v>
      </c>
      <c r="E68" s="2" t="str">
        <f>VLOOKUP($B68,'1.2 FY2017'!$B$5:$F$86,4,FALSE)</f>
        <v>Not assigned</v>
      </c>
    </row>
    <row r="69" spans="2:5" x14ac:dyDescent="0.2">
      <c r="B69" s="2" t="s">
        <v>184</v>
      </c>
      <c r="C69" s="2" t="str">
        <f>VLOOKUP($B69,'1.2 FY2017'!$B$5:$F$86,2,FALSE)</f>
        <v>Gains from disposal of PP&amp;E</v>
      </c>
      <c r="D69" s="2">
        <f>VLOOKUP($B69,'1.2 FY2017'!$B$5:$F$86,3,FALSE)</f>
        <v>111111</v>
      </c>
      <c r="E69" s="2" t="str">
        <f>VLOOKUP($B69,'1.2 FY2017'!$B$5:$F$86,4,FALSE)</f>
        <v>External</v>
      </c>
    </row>
    <row r="70" spans="2:5" x14ac:dyDescent="0.2">
      <c r="B70" s="2" t="s">
        <v>185</v>
      </c>
      <c r="C70" s="2" t="str">
        <f>VLOOKUP($B70,'1.2 FY2017'!$B$5:$F$86,2,FALSE)</f>
        <v>Corporate recharges</v>
      </c>
      <c r="D70" s="2">
        <f>VLOOKUP($B70,'1.2 FY2017'!$B$5:$F$86,3,FALSE)</f>
        <v>19</v>
      </c>
      <c r="E70" s="2" t="str">
        <f>VLOOKUP($B70,'1.2 FY2017'!$B$5:$F$86,4,FALSE)</f>
        <v>Generco Cosmetics Ltd</v>
      </c>
    </row>
    <row r="71" spans="2:5" x14ac:dyDescent="0.2">
      <c r="B71" s="2" t="s">
        <v>186</v>
      </c>
      <c r="C71" s="2" t="str">
        <f>VLOOKUP($B71,'1.2 FY2017'!$B$5:$F$86,2,FALSE)</f>
        <v>Corporate recharges</v>
      </c>
      <c r="D71" s="2" t="str">
        <f>VLOOKUP($B71,'1.2 FY2017'!$B$5:$F$86,3,FALSE)</f>
        <v>1076</v>
      </c>
      <c r="E71" s="2" t="str">
        <f>VLOOKUP($B71,'1.2 FY2017'!$B$5:$F$86,4,FALSE)</f>
        <v>Generco Trading Ltd</v>
      </c>
    </row>
    <row r="72" spans="2:5" x14ac:dyDescent="0.2">
      <c r="B72" s="2" t="s">
        <v>187</v>
      </c>
      <c r="C72" s="2" t="str">
        <f>VLOOKUP($B72,'1.2 FY2017'!$B$5:$F$86,2,FALSE)</f>
        <v>Corporate recharges</v>
      </c>
      <c r="D72" s="2" t="str">
        <f>VLOOKUP($B72,'1.2 FY2017'!$B$5:$F$86,3,FALSE)</f>
        <v>1086</v>
      </c>
      <c r="E72" s="2" t="str">
        <f>VLOOKUP($B72,'1.2 FY2017'!$B$5:$F$86,4,FALSE)</f>
        <v>G&amp;Resources Ltd</v>
      </c>
    </row>
    <row r="73" spans="2:5" x14ac:dyDescent="0.2">
      <c r="B73" s="2" t="s">
        <v>188</v>
      </c>
      <c r="C73" s="2" t="str">
        <f>VLOOKUP($B73,'1.2 FY2017'!$B$5:$F$86,2,FALSE)</f>
        <v>Corporate recharges</v>
      </c>
      <c r="D73" s="2" t="str">
        <f>VLOOKUP($B73,'1.2 FY2017'!$B$5:$F$86,3,FALSE)</f>
        <v>47037</v>
      </c>
      <c r="E73" s="2" t="str">
        <f>VLOOKUP($B73,'1.2 FY2017'!$B$5:$F$86,4,FALSE)</f>
        <v>G&amp;CR Global Ltd</v>
      </c>
    </row>
    <row r="74" spans="2:5" x14ac:dyDescent="0.2">
      <c r="B74" s="2" t="s">
        <v>189</v>
      </c>
      <c r="C74" s="2" t="str">
        <f>VLOOKUP($B74,'1.2 FY2017'!$B$5:$F$86,2,FALSE)</f>
        <v>Other income</v>
      </c>
      <c r="D74" s="2">
        <f>VLOOKUP($B74,'1.2 FY2017'!$B$5:$F$86,3,FALSE)</f>
        <v>88</v>
      </c>
      <c r="E74" s="2" t="str">
        <f>VLOOKUP($B74,'1.2 FY2017'!$B$5:$F$86,4,FALSE)</f>
        <v>Generco Ltd</v>
      </c>
    </row>
    <row r="75" spans="2:5" x14ac:dyDescent="0.2">
      <c r="B75" s="2" t="s">
        <v>190</v>
      </c>
      <c r="C75" s="2" t="str">
        <f>VLOOKUP($B75,'1.2 FY2017'!$B$5:$F$86,2,FALSE)</f>
        <v>Concession fees other</v>
      </c>
      <c r="D75" s="2">
        <f>VLOOKUP($B75,'1.2 FY2017'!$B$5:$F$86,3,FALSE)</f>
        <v>111101</v>
      </c>
      <c r="E75" s="2" t="str">
        <f>VLOOKUP($B75,'1.2 FY2017'!$B$5:$F$86,4,FALSE)</f>
        <v>Not assigned</v>
      </c>
    </row>
    <row r="76" spans="2:5" x14ac:dyDescent="0.2">
      <c r="B76" s="2" t="s">
        <v>191</v>
      </c>
      <c r="C76" s="2" t="str">
        <f>VLOOKUP($B76,'1.2 FY2017'!$B$5:$F$86,2,FALSE)</f>
        <v>Service expenses</v>
      </c>
      <c r="D76" s="2">
        <f>VLOOKUP($B76,'1.2 FY2017'!$B$5:$F$86,3,FALSE)</f>
        <v>105</v>
      </c>
      <c r="E76" s="2" t="str">
        <f>VLOOKUP($B76,'1.2 FY2017'!$B$5:$F$86,4,FALSE)</f>
        <v>Generco Healthcare Ltd</v>
      </c>
    </row>
    <row r="77" spans="2:5" x14ac:dyDescent="0.2">
      <c r="B77" s="2" t="s">
        <v>192</v>
      </c>
      <c r="C77" s="2" t="str">
        <f>VLOOKUP($B77,'1.2 FY2017'!$B$5:$F$86,2,FALSE)</f>
        <v>Insurance expenses</v>
      </c>
      <c r="D77" s="2">
        <f>VLOOKUP($B77,'1.2 FY2017'!$B$5:$F$86,3,FALSE)</f>
        <v>1900</v>
      </c>
      <c r="E77" s="2" t="str">
        <f>VLOOKUP($B77,'1.2 FY2017'!$B$5:$F$86,4,FALSE)</f>
        <v>Generco Metals Gm</v>
      </c>
    </row>
    <row r="78" spans="2:5" x14ac:dyDescent="0.2">
      <c r="B78" s="2" t="s">
        <v>193</v>
      </c>
      <c r="C78" s="2" t="str">
        <f>VLOOKUP($B78,'1.2 FY2017'!$B$5:$F$86,2,FALSE)</f>
        <v>Travel expenses</v>
      </c>
      <c r="D78" s="2" t="str">
        <f>VLOOKUP($B78,'1.2 FY2017'!$B$5:$F$86,3,FALSE)</f>
        <v>1118</v>
      </c>
      <c r="E78" s="2" t="str">
        <f>VLOOKUP($B78,'1.2 FY2017'!$B$5:$F$86,4,FALSE)</f>
        <v>Gener Green LLC</v>
      </c>
    </row>
    <row r="79" spans="2:5" x14ac:dyDescent="0.2">
      <c r="B79" s="2" t="s">
        <v>194</v>
      </c>
      <c r="C79" s="2" t="str">
        <f>VLOOKUP($B79,'1.2 FY2017'!$B$5:$F$86,2,FALSE)</f>
        <v>Losses fr disposal of PPE</v>
      </c>
      <c r="D79" s="2">
        <f>VLOOKUP($B79,'1.2 FY2017'!$B$5:$F$86,3,FALSE)</f>
        <v>111111</v>
      </c>
      <c r="E79" s="2" t="str">
        <f>VLOOKUP($B79,'1.2 FY2017'!$B$5:$F$86,4,FALSE)</f>
        <v>External</v>
      </c>
    </row>
    <row r="80" spans="2:5" x14ac:dyDescent="0.2">
      <c r="B80" s="2" t="s">
        <v>195</v>
      </c>
      <c r="C80" s="2" t="str">
        <f>VLOOKUP($B80,'1.2 FY2017'!$B$5:$F$86,2,FALSE)</f>
        <v>Other operative currency differences</v>
      </c>
      <c r="D80" s="2">
        <f>VLOOKUP($B80,'1.2 FY2017'!$B$5:$F$86,3,FALSE)</f>
        <v>19</v>
      </c>
      <c r="E80" s="2" t="str">
        <f>VLOOKUP($B80,'1.2 FY2017'!$B$5:$F$86,4,FALSE)</f>
        <v>Generco Cosmetics Ltd</v>
      </c>
    </row>
    <row r="81" spans="2:5" x14ac:dyDescent="0.2">
      <c r="B81" s="2" t="s">
        <v>196</v>
      </c>
      <c r="C81" s="2" t="str">
        <f>VLOOKUP($B81,'1.2 FY2017'!$B$5:$F$86,2,FALSE)</f>
        <v>Other operative currency differences</v>
      </c>
      <c r="D81" s="2">
        <f>VLOOKUP($B81,'1.2 FY2017'!$B$5:$F$86,3,FALSE)</f>
        <v>111111</v>
      </c>
      <c r="E81" s="2" t="str">
        <f>VLOOKUP($B81,'1.2 FY2017'!$B$5:$F$86,4,FALSE)</f>
        <v>External</v>
      </c>
    </row>
    <row r="82" spans="2:5" x14ac:dyDescent="0.2">
      <c r="B82" s="2" t="s">
        <v>197</v>
      </c>
      <c r="C82" s="2" t="str">
        <f>VLOOKUP($B82,'1.2 FY2017'!$B$5:$F$86,2,FALSE)</f>
        <v>Property tax</v>
      </c>
      <c r="D82" s="2">
        <f>VLOOKUP($B82,'1.2 FY2017'!$B$5:$F$86,3,FALSE)</f>
        <v>111111</v>
      </c>
      <c r="E82" s="2" t="str">
        <f>VLOOKUP($B82,'1.2 FY2017'!$B$5:$F$86,4,FALSE)</f>
        <v>External</v>
      </c>
    </row>
    <row r="83" spans="2:5" x14ac:dyDescent="0.2">
      <c r="B83" s="2" t="s">
        <v>198</v>
      </c>
      <c r="C83" s="2" t="str">
        <f>VLOOKUP($B83,'1.2 FY2017'!$B$5:$F$86,2,FALSE)</f>
        <v>Misc extraordinary expenses</v>
      </c>
      <c r="D83" s="2">
        <f>VLOOKUP($B83,'1.2 FY2017'!$B$5:$F$86,3,FALSE)</f>
        <v>19</v>
      </c>
      <c r="E83" s="2" t="str">
        <f>VLOOKUP($B83,'1.2 FY2017'!$B$5:$F$86,4,FALSE)</f>
        <v>Generco Cosmetics Ltd</v>
      </c>
    </row>
    <row r="84" spans="2:5" x14ac:dyDescent="0.2">
      <c r="B84" s="2" t="s">
        <v>199</v>
      </c>
      <c r="C84" s="2" t="str">
        <f>VLOOKUP($B84,'1.2 FY2017'!$B$5:$F$86,2,FALSE)</f>
        <v>Misc extraordinary expenses</v>
      </c>
      <c r="D84" s="2" t="str">
        <f>VLOOKUP($B84,'1.2 FY2017'!$B$5:$F$86,3,FALSE)</f>
        <v>43</v>
      </c>
      <c r="E84" s="2" t="str">
        <f>VLOOKUP($B84,'1.2 FY2017'!$B$5:$F$86,4,FALSE)</f>
        <v>Greeny France SL</v>
      </c>
    </row>
    <row r="85" spans="2:5" x14ac:dyDescent="0.2">
      <c r="B85" s="2" t="s">
        <v>200</v>
      </c>
      <c r="C85" s="2" t="str">
        <f>VLOOKUP($B85,'1.2 FY2017'!$B$5:$F$86,2,FALSE)</f>
        <v>Misc extraordinary expenses</v>
      </c>
      <c r="D85" s="2" t="str">
        <f>VLOOKUP($B85,'1.2 FY2017'!$B$5:$F$86,3,FALSE)</f>
        <v>1924</v>
      </c>
      <c r="E85" s="2" t="str">
        <f>VLOOKUP($B85,'1.2 FY2017'!$B$5:$F$86,4,FALSE)</f>
        <v>Generco Infrastructure Ltd</v>
      </c>
    </row>
    <row r="86" spans="2:5" x14ac:dyDescent="0.2">
      <c r="B86" s="2" t="s">
        <v>201</v>
      </c>
      <c r="C86" s="2" t="str">
        <f>VLOOKUP($B86,'1.2 FY2017'!$B$5:$F$86,2,FALSE)</f>
        <v>Difference from eliminations</v>
      </c>
      <c r="D86" s="2" t="str">
        <f>VLOOKUP($B86,'1.2 FY2017'!$B$5:$F$86,3,FALSE)</f>
        <v>1086</v>
      </c>
      <c r="E86" s="2" t="str">
        <f>VLOOKUP($B86,'1.2 FY2017'!$B$5:$F$86,4,FALSE)</f>
        <v>G&amp;Resources Ltd</v>
      </c>
    </row>
    <row r="87" spans="2:5" x14ac:dyDescent="0.2">
      <c r="B87" s="2" t="s">
        <v>202</v>
      </c>
      <c r="C87" s="2" t="str">
        <f>VLOOKUP($B87,'1.2 FY2017'!$B$5:$F$86,2,FALSE)</f>
        <v>Interest income</v>
      </c>
      <c r="D87" s="2" t="str">
        <f>VLOOKUP($B87,'1.2 FY2017'!$B$5:$F$86,3,FALSE)</f>
        <v>1086</v>
      </c>
      <c r="E87" s="2" t="str">
        <f>VLOOKUP($B87,'1.2 FY2017'!$B$5:$F$86,4,FALSE)</f>
        <v>G&amp;Resources Ltd</v>
      </c>
    </row>
    <row r="88" spans="2:5" x14ac:dyDescent="0.2">
      <c r="B88" s="2" t="s">
        <v>203</v>
      </c>
      <c r="C88" s="2" t="str">
        <f>VLOOKUP($B88,'1.2 FY2017'!$B$5:$F$86,2,FALSE)</f>
        <v>Interest income</v>
      </c>
      <c r="D88" s="2">
        <f>VLOOKUP($B88,'1.2 FY2017'!$B$5:$F$86,3,FALSE)</f>
        <v>1006</v>
      </c>
      <c r="E88" s="2" t="str">
        <f>VLOOKUP($B88,'1.2 FY2017'!$B$5:$F$86,4,FALSE)</f>
        <v>Generco Mining GmbH</v>
      </c>
    </row>
    <row r="89" spans="2:5" x14ac:dyDescent="0.2">
      <c r="B89" s="2" t="s">
        <v>204</v>
      </c>
      <c r="C89" s="2" t="str">
        <f>VLOOKUP($B89,'1.2 FY2017'!$B$5:$F$86,2,FALSE)</f>
        <v>Interest expenses</v>
      </c>
      <c r="D89" s="2">
        <f>VLOOKUP($B89,'1.2 FY2017'!$B$5:$F$86,3,FALSE)</f>
        <v>1007</v>
      </c>
      <c r="E89" s="2" t="str">
        <f>VLOOKUP($B89,'1.2 FY2017'!$B$5:$F$86,4,FALSE)</f>
        <v>Generco Semiconductors Ltd</v>
      </c>
    </row>
    <row r="90" spans="2:5" x14ac:dyDescent="0.2">
      <c r="B90" s="2" t="s">
        <v>205</v>
      </c>
      <c r="C90" s="2" t="str">
        <f>VLOOKUP($B90,'1.2 FY2017'!$B$5:$F$86,2,FALSE)</f>
        <v>Interest expenses</v>
      </c>
      <c r="D90" s="2">
        <f>VLOOKUP($B90,'1.2 FY2017'!$B$5:$F$86,3,FALSE)</f>
        <v>111111</v>
      </c>
      <c r="E90" s="2" t="str">
        <f>VLOOKUP($B90,'1.2 FY2017'!$B$5:$F$86,4,FALSE)</f>
        <v>External</v>
      </c>
    </row>
    <row r="91" spans="2:5" x14ac:dyDescent="0.2">
      <c r="B91" s="2" t="s">
        <v>206</v>
      </c>
      <c r="C91" s="2" t="str">
        <f>VLOOKUP($B91,'1.2 FY2017'!$B$5:$F$86,2,FALSE)</f>
        <v>Impairment of participation</v>
      </c>
      <c r="D91" s="2">
        <f>VLOOKUP($B91,'1.2 FY2017'!$B$5:$F$86,3,FALSE)</f>
        <v>1240</v>
      </c>
      <c r="E91" s="2" t="str">
        <f>VLOOKUP($B91,'1.2 FY2017'!$B$5:$F$86,4,FALSE)</f>
        <v xml:space="preserve">Generco UK </v>
      </c>
    </row>
    <row r="92" spans="2:5" x14ac:dyDescent="0.2">
      <c r="B92" s="2" t="s">
        <v>207</v>
      </c>
      <c r="C92" s="2" t="str">
        <f>VLOOKUP($B92,'1.2 FY2017'!$B$5:$F$86,2,FALSE)</f>
        <v>Quarterly changes in current taxes</v>
      </c>
      <c r="D92" s="2">
        <f>VLOOKUP($B92,'1.2 FY2017'!$B$5:$F$86,3,FALSE)</f>
        <v>111101</v>
      </c>
      <c r="E92" s="2" t="str">
        <f>VLOOKUP($B92,'1.2 FY2017'!$B$5:$F$86,4,FALSE)</f>
        <v>Not assigned</v>
      </c>
    </row>
    <row r="93" spans="2:5" x14ac:dyDescent="0.2">
      <c r="B93" s="2" t="s">
        <v>208</v>
      </c>
      <c r="C93" s="2" t="str">
        <f>VLOOKUP($B93,'1.2 FY2017'!$B$5:$F$86,2,FALSE)</f>
        <v>Net income/(loss)</v>
      </c>
      <c r="D93" s="2">
        <f>VLOOKUP($B93,'1.2 FY2017'!$B$5:$F$86,3,FALSE)</f>
        <v>111101</v>
      </c>
      <c r="E93" s="2" t="str">
        <f>VLOOKUP($B93,'1.2 FY2017'!$B$5:$F$86,4,FALSE)</f>
        <v>Not assigned</v>
      </c>
    </row>
    <row r="94" spans="2:5" x14ac:dyDescent="0.2">
      <c r="B94" s="2" t="s">
        <v>209</v>
      </c>
      <c r="C94" s="2" t="str">
        <f>VLOOKUP($B94,'1.3 FY2018'!$B$5:$E$78,2,FALSE)</f>
        <v>Operating expenses for utilities</v>
      </c>
      <c r="D94" s="2">
        <f>VLOOKUP($B94,'1.3 FY2018'!$B$5:$E$78,3,FALSE)</f>
        <v>111111</v>
      </c>
      <c r="E94" s="2" t="str">
        <f>VLOOKUP($B94,'1.3 FY2018'!$B$5:$E$78,4,FALSE)</f>
        <v>External</v>
      </c>
    </row>
    <row r="95" spans="2:5" x14ac:dyDescent="0.2">
      <c r="B95" s="2" t="s">
        <v>210</v>
      </c>
      <c r="C95" s="2" t="str">
        <f>VLOOKUP($B95,'1.3 FY2018'!$B$5:$E$78,2,FALSE)</f>
        <v>R&amp;D expenses</v>
      </c>
      <c r="D95" s="2" t="str">
        <f>VLOOKUP($B95,'1.3 FY2018'!$B$5:$E$78,3,FALSE)</f>
        <v>2185</v>
      </c>
      <c r="E95" s="2" t="str">
        <f>VLOOKUP($B95,'1.3 FY2018'!$B$5:$E$78,4,FALSE)</f>
        <v>Generco Green Projects GmbH</v>
      </c>
    </row>
    <row r="96" spans="2:5" x14ac:dyDescent="0.2">
      <c r="B96" s="2" t="s">
        <v>211</v>
      </c>
      <c r="C96" s="2" t="str">
        <f>VLOOKUP($B96,'1.3 FY2018'!$B$5:$E$78,2,FALSE)</f>
        <v>R&amp;D expenses</v>
      </c>
      <c r="D96" s="2" t="str">
        <f>VLOOKUP($B96,'1.3 FY2018'!$B$5:$E$78,3,FALSE)</f>
        <v>2240</v>
      </c>
      <c r="E96" s="2" t="str">
        <f>VLOOKUP($B96,'1.3 FY2018'!$B$5:$E$78,4,FALSE)</f>
        <v>Greeny Germany GmbH</v>
      </c>
    </row>
    <row r="97" spans="2:5" x14ac:dyDescent="0.2">
      <c r="B97" s="2" t="s">
        <v>212</v>
      </c>
      <c r="C97" s="2" t="str">
        <f>VLOOKUP($B97,'1.3 FY2018'!$B$5:$E$78,2,FALSE)</f>
        <v>R&amp;D expenses</v>
      </c>
      <c r="D97" s="2">
        <f>VLOOKUP($B97,'1.3 FY2018'!$B$5:$E$78,3,FALSE)</f>
        <v>17000</v>
      </c>
      <c r="E97" s="2" t="str">
        <f>VLOOKUP($B97,'1.3 FY2018'!$B$5:$E$78,4,FALSE)</f>
        <v>Generco Risk Management Ltd</v>
      </c>
    </row>
    <row r="98" spans="2:5" x14ac:dyDescent="0.2">
      <c r="B98" s="2" t="s">
        <v>213</v>
      </c>
      <c r="C98" s="2" t="str">
        <f>VLOOKUP($B98,'1.3 FY2018'!$B$5:$E$78,2,FALSE)</f>
        <v>Other operative currency differences</v>
      </c>
      <c r="D98" s="2" t="str">
        <f>VLOOKUP($B98,'1.3 FY2018'!$B$5:$E$78,3,FALSE)</f>
        <v>1118</v>
      </c>
      <c r="E98" s="2" t="str">
        <f>VLOOKUP($B98,'1.3 FY2018'!$B$5:$E$78,4,FALSE)</f>
        <v>Gener Green LLC</v>
      </c>
    </row>
    <row r="99" spans="2:5" x14ac:dyDescent="0.2">
      <c r="B99" s="2" t="s">
        <v>214</v>
      </c>
      <c r="C99" s="2" t="str">
        <f>VLOOKUP($B99,'1.3 FY2018'!$B$5:$E$78,2,FALSE)</f>
        <v>Other operative currency differences</v>
      </c>
      <c r="D99" s="2">
        <f>VLOOKUP($B99,'1.3 FY2018'!$B$5:$E$78,3,FALSE)</f>
        <v>111111</v>
      </c>
      <c r="E99" s="2" t="str">
        <f>VLOOKUP($B99,'1.3 FY2018'!$B$5:$E$78,4,FALSE)</f>
        <v>External</v>
      </c>
    </row>
    <row r="100" spans="2:5" x14ac:dyDescent="0.2">
      <c r="B100" s="2" t="s">
        <v>215</v>
      </c>
      <c r="C100" s="2" t="str">
        <f>VLOOKUP($B100,'1.3 FY2018'!$B$5:$E$78,2,FALSE)</f>
        <v>Corporate recharges</v>
      </c>
      <c r="D100" s="2">
        <f>VLOOKUP($B100,'1.3 FY2018'!$B$5:$E$78,3,FALSE)</f>
        <v>1006</v>
      </c>
      <c r="E100" s="2" t="str">
        <f>VLOOKUP($B100,'1.3 FY2018'!$B$5:$E$78,4,FALSE)</f>
        <v>Generco Mining GmbH</v>
      </c>
    </row>
    <row r="101" spans="2:5" x14ac:dyDescent="0.2">
      <c r="B101" s="2" t="s">
        <v>216</v>
      </c>
      <c r="C101" s="2" t="str">
        <f>VLOOKUP($B101,'1.3 FY2018'!$B$5:$E$78,2,FALSE)</f>
        <v>Reimbursements+compensation for damages</v>
      </c>
      <c r="D101" s="2">
        <f>VLOOKUP($B101,'1.3 FY2018'!$B$5:$E$78,3,FALSE)</f>
        <v>111111</v>
      </c>
      <c r="E101" s="2" t="str">
        <f>VLOOKUP($B101,'1.3 FY2018'!$B$5:$E$78,4,FALSE)</f>
        <v>External</v>
      </c>
    </row>
    <row r="102" spans="2:5" x14ac:dyDescent="0.2">
      <c r="B102" s="2" t="s">
        <v>217</v>
      </c>
      <c r="C102" s="2" t="str">
        <f>VLOOKUP($B102,'1.3 FY2018'!$B$5:$E$78,2,FALSE)</f>
        <v>Other income</v>
      </c>
      <c r="D102" s="2">
        <f>VLOOKUP($B102,'1.3 FY2018'!$B$5:$E$78,3,FALSE)</f>
        <v>105</v>
      </c>
      <c r="E102" s="2" t="str">
        <f>VLOOKUP($B102,'1.3 FY2018'!$B$5:$E$78,4,FALSE)</f>
        <v>Generco Healthcare Ltd</v>
      </c>
    </row>
    <row r="103" spans="2:5" x14ac:dyDescent="0.2">
      <c r="B103" s="2" t="s">
        <v>218</v>
      </c>
      <c r="C103" s="2" t="str">
        <f>VLOOKUP($B103,'1.3 FY2018'!$B$5:$E$78,2,FALSE)</f>
        <v>Leasings</v>
      </c>
      <c r="D103" s="2">
        <f>VLOOKUP($B103,'1.3 FY2018'!$B$5:$E$78,3,FALSE)</f>
        <v>105</v>
      </c>
      <c r="E103" s="2" t="str">
        <f>VLOOKUP($B103,'1.3 FY2018'!$B$5:$E$78,4,FALSE)</f>
        <v>Generco Healthcare Ltd</v>
      </c>
    </row>
    <row r="104" spans="2:5" x14ac:dyDescent="0.2">
      <c r="B104" s="2" t="s">
        <v>219</v>
      </c>
      <c r="C104" s="2" t="str">
        <f>VLOOKUP($B104,'1.3 FY2018'!$B$5:$E$78,2,FALSE)</f>
        <v>Insurance expenses</v>
      </c>
      <c r="D104" s="2">
        <f>VLOOKUP($B104,'1.3 FY2018'!$B$5:$E$78,3,FALSE)</f>
        <v>88</v>
      </c>
      <c r="E104" s="2" t="str">
        <f>VLOOKUP($B104,'1.3 FY2018'!$B$5:$E$78,4,FALSE)</f>
        <v>Generco Ltd</v>
      </c>
    </row>
    <row r="105" spans="2:5" x14ac:dyDescent="0.2">
      <c r="B105" s="2" t="s">
        <v>220</v>
      </c>
      <c r="C105" s="2" t="str">
        <f>VLOOKUP($B105,'1.3 FY2018'!$B$5:$E$78,2,FALSE)</f>
        <v>Repairs/Maintenance costs</v>
      </c>
      <c r="D105" s="2">
        <f>VLOOKUP($B105,'1.3 FY2018'!$B$5:$E$78,3,FALSE)</f>
        <v>111111</v>
      </c>
      <c r="E105" s="2" t="str">
        <f>VLOOKUP($B105,'1.3 FY2018'!$B$5:$E$78,4,FALSE)</f>
        <v>External</v>
      </c>
    </row>
    <row r="106" spans="2:5" x14ac:dyDescent="0.2">
      <c r="B106" s="2" t="s">
        <v>221</v>
      </c>
      <c r="C106" s="2" t="str">
        <f>VLOOKUP($B106,'1.3 FY2018'!$B$5:$E$78,2,FALSE)</f>
        <v>Impairment of participation</v>
      </c>
      <c r="D106" s="2">
        <f>VLOOKUP($B106,'1.3 FY2018'!$B$5:$E$78,3,FALSE)</f>
        <v>111101</v>
      </c>
      <c r="E106" s="2" t="str">
        <f>VLOOKUP($B106,'1.3 FY2018'!$B$5:$E$78,4,FALSE)</f>
        <v>Not assigned</v>
      </c>
    </row>
    <row r="107" spans="2:5" x14ac:dyDescent="0.2">
      <c r="B107" s="2" t="s">
        <v>222</v>
      </c>
      <c r="C107" s="2" t="str">
        <f>VLOOKUP($B107,'1.3 FY2018'!$B$5:$E$78,2,FALSE)</f>
        <v>Offset segments (tech.)</v>
      </c>
      <c r="D107" s="2">
        <f>VLOOKUP($B107,'1.3 FY2018'!$B$5:$E$78,3,FALSE)</f>
        <v>111101</v>
      </c>
      <c r="E107" s="2" t="str">
        <f>VLOOKUP($B107,'1.3 FY2018'!$B$5:$E$78,4,FALSE)</f>
        <v>Not assigned</v>
      </c>
    </row>
    <row r="108" spans="2:5" ht="15" x14ac:dyDescent="0.25">
      <c r="B108"/>
    </row>
    <row r="109" spans="2:5" ht="15" x14ac:dyDescent="0.25">
      <c r="B109"/>
    </row>
    <row r="110" spans="2:5" ht="15" x14ac:dyDescent="0.25">
      <c r="B110"/>
    </row>
    <row r="111" spans="2:5" ht="15" x14ac:dyDescent="0.25">
      <c r="B111"/>
    </row>
    <row r="112" spans="2:5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phoneticPr fontId="1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2024-12-01T15:12:14Z</dcterms:modified>
</cp:coreProperties>
</file>