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filterPrivacy="1" codeName="ThisWorkbook" defaultThemeVersion="124226"/>
  <xr:revisionPtr revIDLastSave="0" documentId="13_ncr:1_{7EC9A00D-D550-45D9-82A7-31FD47DFFA0B}" xr6:coauthVersionLast="47" xr6:coauthVersionMax="47" xr10:uidLastSave="{00000000-0000-0000-0000-000000000000}"/>
  <bookViews>
    <workbookView xWindow="28680" yWindow="270" windowWidth="29040" windowHeight="17640" activeTab="3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FY2016'!$B$4:$F$61</definedName>
    <definedName name="_xlnm._FilterDatabase" localSheetId="4" hidden="1">'1.2 FY2017'!$B$4:$F$127</definedName>
    <definedName name="_xlnm._FilterDatabase" localSheetId="5" hidden="1">'1.3 FY2018'!$B$4:$F$115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1" l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5" i="1"/>
  <c r="E52" i="3"/>
  <c r="E113" i="3"/>
  <c r="E111" i="3"/>
  <c r="E109" i="3"/>
  <c r="E107" i="3"/>
  <c r="E105" i="3"/>
  <c r="E101" i="3"/>
  <c r="E99" i="3"/>
  <c r="E91" i="3"/>
  <c r="E88" i="3"/>
  <c r="E84" i="3"/>
  <c r="E82" i="3"/>
  <c r="E80" i="3"/>
  <c r="E78" i="3"/>
  <c r="E76" i="3"/>
  <c r="E74" i="3"/>
  <c r="E72" i="3"/>
  <c r="E69" i="3"/>
  <c r="E67" i="3"/>
  <c r="E64" i="3"/>
  <c r="E61" i="3"/>
  <c r="E59" i="3"/>
  <c r="E57" i="3"/>
  <c r="E54" i="3"/>
  <c r="E39" i="3"/>
  <c r="E36" i="3"/>
  <c r="E34" i="3"/>
  <c r="E32" i="3"/>
  <c r="E30" i="3"/>
  <c r="E27" i="3"/>
  <c r="E25" i="3"/>
  <c r="E17" i="3"/>
  <c r="E15" i="3"/>
  <c r="E13" i="3"/>
  <c r="E11" i="3"/>
  <c r="E9" i="3"/>
  <c r="E7" i="3"/>
  <c r="F113" i="3"/>
  <c r="B113" i="3"/>
  <c r="F111" i="3"/>
  <c r="B111" i="3"/>
  <c r="F109" i="3"/>
  <c r="B109" i="3"/>
  <c r="F107" i="3"/>
  <c r="B107" i="3"/>
  <c r="F105" i="3"/>
  <c r="B105" i="3"/>
  <c r="F101" i="3"/>
  <c r="B101" i="3"/>
  <c r="F99" i="3"/>
  <c r="B99" i="3"/>
  <c r="F91" i="3"/>
  <c r="B91" i="3"/>
  <c r="F88" i="3"/>
  <c r="B88" i="3"/>
  <c r="F84" i="3"/>
  <c r="B84" i="3"/>
  <c r="F82" i="3"/>
  <c r="B82" i="3"/>
  <c r="F80" i="3"/>
  <c r="B80" i="3"/>
  <c r="F78" i="3"/>
  <c r="B78" i="3"/>
  <c r="F76" i="3"/>
  <c r="B76" i="3"/>
  <c r="F74" i="3"/>
  <c r="B74" i="3"/>
  <c r="F72" i="3"/>
  <c r="B72" i="3"/>
  <c r="F69" i="3"/>
  <c r="B69" i="3"/>
  <c r="F67" i="3"/>
  <c r="B67" i="3"/>
  <c r="F64" i="3"/>
  <c r="B64" i="3"/>
  <c r="F61" i="3"/>
  <c r="B61" i="3"/>
  <c r="F59" i="3"/>
  <c r="B59" i="3"/>
  <c r="F57" i="3"/>
  <c r="B57" i="3"/>
  <c r="F54" i="3"/>
  <c r="B54" i="3"/>
  <c r="F52" i="3"/>
  <c r="B52" i="3"/>
  <c r="F39" i="3"/>
  <c r="B39" i="3"/>
  <c r="F36" i="3"/>
  <c r="B36" i="3"/>
  <c r="F34" i="3"/>
  <c r="B34" i="3"/>
  <c r="F32" i="3"/>
  <c r="B32" i="3"/>
  <c r="F30" i="3"/>
  <c r="B30" i="3"/>
  <c r="F27" i="3"/>
  <c r="B27" i="3"/>
  <c r="F25" i="3"/>
  <c r="B25" i="3"/>
  <c r="F17" i="3"/>
  <c r="B17" i="3"/>
  <c r="F15" i="3"/>
  <c r="B15" i="3"/>
  <c r="F13" i="3"/>
  <c r="B13" i="3"/>
  <c r="F11" i="3"/>
  <c r="B11" i="3"/>
  <c r="F9" i="3"/>
  <c r="B9" i="3"/>
  <c r="F7" i="3"/>
  <c r="B7" i="3"/>
  <c r="E126" i="2"/>
  <c r="E124" i="2"/>
  <c r="E122" i="2"/>
  <c r="E120" i="2"/>
  <c r="E118" i="2"/>
  <c r="E116" i="2"/>
  <c r="E112" i="2"/>
  <c r="E101" i="2"/>
  <c r="E110" i="2" s="1"/>
  <c r="E97" i="2"/>
  <c r="E92" i="2"/>
  <c r="E90" i="2"/>
  <c r="E88" i="2"/>
  <c r="E86" i="2"/>
  <c r="E83" i="2"/>
  <c r="E81" i="2"/>
  <c r="E79" i="2"/>
  <c r="E77" i="2"/>
  <c r="E74" i="2"/>
  <c r="E71" i="2"/>
  <c r="E69" i="2"/>
  <c r="E65" i="2"/>
  <c r="E63" i="2"/>
  <c r="E61" i="2"/>
  <c r="E59" i="2"/>
  <c r="E57" i="2"/>
  <c r="E54" i="2"/>
  <c r="E42" i="2"/>
  <c r="E40" i="2"/>
  <c r="E38" i="2"/>
  <c r="E36" i="2"/>
  <c r="E34" i="2"/>
  <c r="E32" i="2"/>
  <c r="E29" i="2"/>
  <c r="E27" i="2"/>
  <c r="E20" i="2"/>
  <c r="E18" i="2"/>
  <c r="E16" i="2"/>
  <c r="E14" i="2"/>
  <c r="E9" i="2"/>
  <c r="E7" i="2"/>
  <c r="F126" i="2"/>
  <c r="B126" i="2"/>
  <c r="F124" i="2"/>
  <c r="B124" i="2"/>
  <c r="F122" i="2"/>
  <c r="B122" i="2"/>
  <c r="F120" i="2"/>
  <c r="B120" i="2"/>
  <c r="F118" i="2"/>
  <c r="B118" i="2"/>
  <c r="F116" i="2"/>
  <c r="B116" i="2"/>
  <c r="F112" i="2"/>
  <c r="B112" i="2"/>
  <c r="F110" i="2"/>
  <c r="B110" i="2"/>
  <c r="F101" i="2"/>
  <c r="B101" i="2"/>
  <c r="F97" i="2"/>
  <c r="B97" i="2"/>
  <c r="F92" i="2"/>
  <c r="B92" i="2"/>
  <c r="F90" i="2"/>
  <c r="B90" i="2"/>
  <c r="F88" i="2"/>
  <c r="B88" i="2"/>
  <c r="F86" i="2"/>
  <c r="B86" i="2"/>
  <c r="F83" i="2"/>
  <c r="B83" i="2"/>
  <c r="F81" i="2"/>
  <c r="B81" i="2"/>
  <c r="F79" i="2"/>
  <c r="B79" i="2"/>
  <c r="F77" i="2"/>
  <c r="B77" i="2"/>
  <c r="F74" i="2"/>
  <c r="B74" i="2"/>
  <c r="F71" i="2"/>
  <c r="B71" i="2"/>
  <c r="F69" i="2"/>
  <c r="B69" i="2"/>
  <c r="F65" i="2"/>
  <c r="B65" i="2"/>
  <c r="F63" i="2"/>
  <c r="B63" i="2"/>
  <c r="F61" i="2"/>
  <c r="B61" i="2"/>
  <c r="F59" i="2"/>
  <c r="B59" i="2"/>
  <c r="F57" i="2"/>
  <c r="B57" i="2"/>
  <c r="F54" i="2"/>
  <c r="B54" i="2"/>
  <c r="F42" i="2"/>
  <c r="B42" i="2"/>
  <c r="F40" i="2"/>
  <c r="B40" i="2"/>
  <c r="F38" i="2"/>
  <c r="B38" i="2"/>
  <c r="F36" i="2"/>
  <c r="B36" i="2"/>
  <c r="F34" i="2"/>
  <c r="B34" i="2"/>
  <c r="F32" i="2"/>
  <c r="B32" i="2"/>
  <c r="F29" i="2"/>
  <c r="B29" i="2"/>
  <c r="F27" i="2"/>
  <c r="B27" i="2"/>
  <c r="F20" i="2"/>
  <c r="B20" i="2"/>
  <c r="F18" i="2"/>
  <c r="B18" i="2"/>
  <c r="F16" i="2"/>
  <c r="B16" i="2"/>
  <c r="F14" i="2"/>
  <c r="B14" i="2"/>
  <c r="F9" i="2"/>
  <c r="B9" i="2"/>
  <c r="F7" i="2"/>
  <c r="B7" i="2"/>
</calcChain>
</file>

<file path=xl/sharedStrings.xml><?xml version="1.0" encoding="utf-8"?>
<sst xmlns="http://schemas.openxmlformats.org/spreadsheetml/2006/main" count="645" uniqueCount="119">
  <si>
    <t>Item</t>
  </si>
  <si>
    <t>Partner company number</t>
  </si>
  <si>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</si>
  <si>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</si>
  <si>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</si>
  <si>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</si>
  <si>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</si>
  <si>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</si>
  <si>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</si>
  <si>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</si>
  <si>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</si>
  <si>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</si>
  <si>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</si>
  <si>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</si>
  <si>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</si>
  <si>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</si>
  <si>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</si>
  <si>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</si>
  <si>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</si>
  <si>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</si>
  <si>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</si>
  <si>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</si>
  <si>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</si>
  <si>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</si>
  <si>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</si>
  <si>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</si>
  <si>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</si>
  <si>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</si>
  <si>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</si>
  <si>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</si>
  <si>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</si>
  <si>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</si>
  <si>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</si>
  <si>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</si>
  <si>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Total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</si>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</sst>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2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2" fillId="2" borderId="0" xfId="0" applyFont="1" applyFill="1" applyAlignment="1">
      <alignment horizontal="lef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B12"/>
    </sheetView>
  </sheetViews>
  <sheetFormatPr defaultColWidth="9.140625"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3" t="s">
        <v>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40625"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111</v>
      </c>
    </row>
    <row r="2" spans="2:4" x14ac:dyDescent="0.2">
      <c r="B2" s="6" t="s">
        <v>60</v>
      </c>
    </row>
    <row r="4" spans="2:4" ht="12.75" thickBot="1" x14ac:dyDescent="0.25">
      <c r="B4" s="12" t="s">
        <v>61</v>
      </c>
      <c r="C4" s="12" t="s">
        <v>62</v>
      </c>
      <c r="D4" s="12" t="s">
        <v>63</v>
      </c>
    </row>
    <row r="5" spans="2:4" x14ac:dyDescent="0.2">
      <c r="B5" s="7">
        <v>1</v>
      </c>
      <c r="C5" s="14" t="s">
        <v>64</v>
      </c>
    </row>
    <row r="6" spans="2:4" x14ac:dyDescent="0.2">
      <c r="B6" s="10">
        <v>2</v>
      </c>
      <c r="C6" s="11" t="s">
        <v>65</v>
      </c>
      <c r="D6" s="11"/>
    </row>
    <row r="7" spans="2:4" x14ac:dyDescent="0.2">
      <c r="B7" s="7">
        <v>3</v>
      </c>
      <c r="C7" s="20" t="s">
        <v>112</v>
      </c>
    </row>
    <row r="8" spans="2:4" x14ac:dyDescent="0.2">
      <c r="B8" s="7">
        <v>4</v>
      </c>
      <c r="C8" s="20" t="s">
        <v>113</v>
      </c>
    </row>
    <row r="9" spans="2:4" x14ac:dyDescent="0.2">
      <c r="B9" s="7">
        <v>5</v>
      </c>
      <c r="C9" s="20" t="s">
        <v>114</v>
      </c>
    </row>
    <row r="10" spans="2:4" x14ac:dyDescent="0.2">
      <c r="B10" s="10">
        <v>6</v>
      </c>
      <c r="C10" s="11" t="s">
        <v>66</v>
      </c>
      <c r="D10" s="11"/>
    </row>
    <row r="11" spans="2:4" x14ac:dyDescent="0.2">
      <c r="B11" s="7">
        <v>7</v>
      </c>
      <c r="C11" s="14" t="s">
        <v>95</v>
      </c>
    </row>
    <row r="12" spans="2:4" x14ac:dyDescent="0.2">
      <c r="B12" s="7">
        <v>8</v>
      </c>
      <c r="C12" s="14" t="s">
        <v>96</v>
      </c>
    </row>
    <row r="13" spans="2:4" x14ac:dyDescent="0.2">
      <c r="B13" s="8">
        <v>19</v>
      </c>
      <c r="C13" s="11" t="s">
        <v>97</v>
      </c>
      <c r="D13" s="9"/>
    </row>
    <row r="14" spans="2:4" x14ac:dyDescent="0.2">
      <c r="B14" s="7">
        <v>20</v>
      </c>
      <c r="C14" s="14" t="s">
        <v>98</v>
      </c>
    </row>
    <row r="15" spans="2:4" x14ac:dyDescent="0.2">
      <c r="B15" s="7">
        <v>21</v>
      </c>
      <c r="C15" s="14" t="s">
        <v>99</v>
      </c>
    </row>
    <row r="16" spans="2:4" x14ac:dyDescent="0.2">
      <c r="B16" s="7">
        <v>22</v>
      </c>
      <c r="C16" s="14" t="s">
        <v>100</v>
      </c>
    </row>
    <row r="17" spans="2:3" x14ac:dyDescent="0.2">
      <c r="B17" s="7">
        <v>23</v>
      </c>
      <c r="C17" s="14" t="s">
        <v>101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0.5" x14ac:dyDescent="0.55000000000000004">
      <c r="B12" s="4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G61"/>
  <sheetViews>
    <sheetView tabSelected="1" topLeftCell="A48" workbookViewId="0">
      <selection activeCell="G5" sqref="G5:G61"/>
    </sheetView>
  </sheetViews>
  <sheetFormatPr defaultColWidth="9.140625" defaultRowHeight="12" x14ac:dyDescent="0.2"/>
  <cols>
    <col min="1" max="1" width="2" style="2" customWidth="1"/>
    <col min="2" max="2" width="30" style="5" customWidth="1"/>
    <col min="3" max="3" width="23.85546875" style="5" bestFit="1" customWidth="1"/>
    <col min="4" max="4" width="36.5703125" style="5" bestFit="1" customWidth="1"/>
    <col min="5" max="5" width="11.7109375" style="5" bestFit="1" customWidth="1"/>
    <col min="6" max="6" width="11" style="5" bestFit="1" customWidth="1"/>
    <col min="7" max="7" width="11" style="2" bestFit="1" customWidth="1"/>
    <col min="8" max="16384" width="9.140625" style="2"/>
  </cols>
  <sheetData>
    <row r="1" spans="2:7" ht="15.75" x14ac:dyDescent="0.25">
      <c r="B1" s="21" t="s">
        <v>115</v>
      </c>
    </row>
    <row r="4" spans="2:7" x14ac:dyDescent="0.2">
      <c r="B4" s="5" t="s">
        <v>102</v>
      </c>
      <c r="C4" s="5" t="s">
        <v>33</v>
      </c>
      <c r="D4" s="5" t="s">
        <v>103</v>
      </c>
      <c r="E4" s="5" t="s">
        <v>104</v>
      </c>
      <c r="F4" s="5" t="s">
        <v>105</v>
      </c>
      <c r="G4" s="2" t="s">
        <v>118</v>
      </c>
    </row>
    <row r="5" spans="2:7" x14ac:dyDescent="0.2">
      <c r="B5" s="5" t="s">
        <v>68</v>
      </c>
      <c r="C5" s="5">
        <v>111111</v>
      </c>
      <c r="D5" s="5" t="s">
        <v>106</v>
      </c>
      <c r="E5" s="15">
        <v>-14500341</v>
      </c>
      <c r="F5" s="5">
        <v>2001110000</v>
      </c>
      <c r="G5" s="2" t="str">
        <f>F5&amp;C5</f>
        <v>2001110000111111</v>
      </c>
    </row>
    <row r="6" spans="2:7" x14ac:dyDescent="0.2">
      <c r="B6" s="5" t="s">
        <v>69</v>
      </c>
      <c r="C6" s="5">
        <v>111111</v>
      </c>
      <c r="D6" s="5" t="s">
        <v>106</v>
      </c>
      <c r="E6" s="15">
        <v>-4794856.1919999998</v>
      </c>
      <c r="F6" s="5">
        <v>2001190000</v>
      </c>
      <c r="G6" s="2" t="str">
        <f t="shared" ref="G6:G61" si="0">F6&amp;C6</f>
        <v>2001190000111111</v>
      </c>
    </row>
    <row r="7" spans="2:7" x14ac:dyDescent="0.2">
      <c r="B7" s="5" t="s">
        <v>70</v>
      </c>
      <c r="C7" s="5">
        <v>1009</v>
      </c>
      <c r="D7" s="5" t="s">
        <v>38</v>
      </c>
      <c r="E7" s="15">
        <v>-154890.4</v>
      </c>
      <c r="F7" s="5">
        <v>2020000000</v>
      </c>
      <c r="G7" s="2" t="str">
        <f t="shared" si="0"/>
        <v>20200000001009</v>
      </c>
    </row>
    <row r="8" spans="2:7" x14ac:dyDescent="0.2">
      <c r="B8" s="5" t="s">
        <v>70</v>
      </c>
      <c r="C8" s="5">
        <v>1007</v>
      </c>
      <c r="D8" s="5" t="s">
        <v>40</v>
      </c>
      <c r="E8" s="15">
        <v>-1180894.0520000001</v>
      </c>
      <c r="F8" s="5">
        <v>2020000000</v>
      </c>
      <c r="G8" s="2" t="str">
        <f t="shared" si="0"/>
        <v>20200000001007</v>
      </c>
    </row>
    <row r="9" spans="2:7" x14ac:dyDescent="0.2">
      <c r="B9" s="5" t="s">
        <v>70</v>
      </c>
      <c r="C9" s="5">
        <v>1008</v>
      </c>
      <c r="D9" s="5" t="s">
        <v>42</v>
      </c>
      <c r="E9" s="15">
        <v>-793079.51199999999</v>
      </c>
      <c r="F9" s="5">
        <v>2020000000</v>
      </c>
      <c r="G9" s="2" t="str">
        <f t="shared" si="0"/>
        <v>20200000001008</v>
      </c>
    </row>
    <row r="10" spans="2:7" x14ac:dyDescent="0.2">
      <c r="B10" s="5" t="s">
        <v>70</v>
      </c>
      <c r="C10" s="5">
        <v>111101</v>
      </c>
      <c r="D10" s="5" t="s">
        <v>2</v>
      </c>
      <c r="E10" s="15">
        <v>-2277197.6</v>
      </c>
      <c r="F10" s="5">
        <v>2020000000</v>
      </c>
      <c r="G10" s="2" t="str">
        <f t="shared" si="0"/>
        <v>2020000000111101</v>
      </c>
    </row>
    <row r="11" spans="2:7" x14ac:dyDescent="0.2">
      <c r="B11" s="5" t="s">
        <v>107</v>
      </c>
      <c r="C11" s="5">
        <v>111111</v>
      </c>
      <c r="D11" s="5" t="s">
        <v>106</v>
      </c>
      <c r="E11" s="15">
        <v>4428911.7640000004</v>
      </c>
      <c r="F11" s="5">
        <v>2021900000</v>
      </c>
      <c r="G11" s="2" t="str">
        <f t="shared" si="0"/>
        <v>2021900000111111</v>
      </c>
    </row>
    <row r="12" spans="2:7" x14ac:dyDescent="0.2">
      <c r="B12" s="5" t="s">
        <v>72</v>
      </c>
      <c r="C12" s="5">
        <v>111111</v>
      </c>
      <c r="D12" s="5" t="s">
        <v>106</v>
      </c>
      <c r="E12" s="15">
        <v>16977.628000000001</v>
      </c>
      <c r="F12" s="5">
        <v>2024080000</v>
      </c>
      <c r="G12" s="2" t="str">
        <f t="shared" si="0"/>
        <v>2024080000111111</v>
      </c>
    </row>
    <row r="13" spans="2:7" x14ac:dyDescent="0.2">
      <c r="B13" s="5" t="s">
        <v>71</v>
      </c>
      <c r="C13" s="5">
        <v>88</v>
      </c>
      <c r="D13" s="5" t="s">
        <v>35</v>
      </c>
      <c r="E13" s="15">
        <v>2245437.54</v>
      </c>
      <c r="F13" s="5">
        <v>2024090000</v>
      </c>
      <c r="G13" s="2" t="str">
        <f t="shared" si="0"/>
        <v>202409000088</v>
      </c>
    </row>
    <row r="14" spans="2:7" x14ac:dyDescent="0.2">
      <c r="B14" s="5" t="s">
        <v>71</v>
      </c>
      <c r="C14" s="5">
        <v>111111</v>
      </c>
      <c r="D14" s="5" t="s">
        <v>106</v>
      </c>
      <c r="E14" s="15">
        <v>16605.634000000002</v>
      </c>
      <c r="F14" s="5">
        <v>2024090000</v>
      </c>
      <c r="G14" s="2" t="str">
        <f t="shared" si="0"/>
        <v>2024090000111111</v>
      </c>
    </row>
    <row r="15" spans="2:7" x14ac:dyDescent="0.2">
      <c r="B15" s="5" t="s">
        <v>3</v>
      </c>
      <c r="C15" s="5">
        <v>111111</v>
      </c>
      <c r="D15" s="5" t="s">
        <v>106</v>
      </c>
      <c r="E15" s="15">
        <v>4683394.0460000001</v>
      </c>
      <c r="F15" s="5">
        <v>2041000000</v>
      </c>
      <c r="G15" s="2" t="str">
        <f t="shared" si="0"/>
        <v>2041000000111111</v>
      </c>
    </row>
    <row r="16" spans="2:7" x14ac:dyDescent="0.2">
      <c r="B16" s="5" t="s">
        <v>73</v>
      </c>
      <c r="C16" s="5">
        <v>111101</v>
      </c>
      <c r="D16" s="5" t="s">
        <v>2</v>
      </c>
      <c r="E16" s="15">
        <v>1143051.5760000001</v>
      </c>
      <c r="F16" s="5">
        <v>2042000000</v>
      </c>
      <c r="G16" s="2" t="str">
        <f t="shared" si="0"/>
        <v>2042000000111101</v>
      </c>
    </row>
    <row r="17" spans="2:7" x14ac:dyDescent="0.2">
      <c r="B17" s="5" t="s">
        <v>73</v>
      </c>
      <c r="C17" s="5">
        <v>88</v>
      </c>
      <c r="D17" s="5" t="s">
        <v>35</v>
      </c>
      <c r="E17" s="15">
        <v>239379.61800000002</v>
      </c>
      <c r="F17" s="5">
        <v>2042000000</v>
      </c>
      <c r="G17" s="2" t="str">
        <f t="shared" si="0"/>
        <v>204200000088</v>
      </c>
    </row>
    <row r="18" spans="2:7" x14ac:dyDescent="0.2">
      <c r="B18" s="5" t="s">
        <v>74</v>
      </c>
      <c r="C18" s="5">
        <v>111101</v>
      </c>
      <c r="D18" s="5" t="s">
        <v>2</v>
      </c>
      <c r="E18" s="15">
        <v>104913.8</v>
      </c>
      <c r="F18" s="5">
        <v>2045000000</v>
      </c>
      <c r="G18" s="2" t="str">
        <f t="shared" si="0"/>
        <v>2045000000111101</v>
      </c>
    </row>
    <row r="19" spans="2:7" x14ac:dyDescent="0.2">
      <c r="B19" s="5" t="s">
        <v>75</v>
      </c>
      <c r="C19" s="5">
        <v>111101</v>
      </c>
      <c r="D19" s="5" t="s">
        <v>2</v>
      </c>
      <c r="E19" s="15">
        <v>2003262.2180000001</v>
      </c>
      <c r="F19" s="5">
        <v>2051210000</v>
      </c>
      <c r="G19" s="2" t="str">
        <f t="shared" si="0"/>
        <v>2051210000111101</v>
      </c>
    </row>
    <row r="20" spans="2:7" x14ac:dyDescent="0.2">
      <c r="B20" s="5" t="s">
        <v>75</v>
      </c>
      <c r="C20" s="5">
        <v>1</v>
      </c>
      <c r="D20" s="5" t="s">
        <v>2</v>
      </c>
      <c r="E20" s="15">
        <v>41981.296000000002</v>
      </c>
      <c r="F20" s="5">
        <v>2051210000</v>
      </c>
      <c r="G20" s="2" t="str">
        <f t="shared" si="0"/>
        <v>20512100001</v>
      </c>
    </row>
    <row r="21" spans="2:7" x14ac:dyDescent="0.2">
      <c r="B21" s="5" t="s">
        <v>76</v>
      </c>
      <c r="C21" s="5" t="s">
        <v>5</v>
      </c>
      <c r="D21" s="5" t="s">
        <v>43</v>
      </c>
      <c r="E21" s="15">
        <v>-2156147.4</v>
      </c>
      <c r="F21" s="5">
        <v>2069010000</v>
      </c>
      <c r="G21" s="2" t="str">
        <f t="shared" si="0"/>
        <v>20690100001</v>
      </c>
    </row>
    <row r="22" spans="2:7" x14ac:dyDescent="0.2">
      <c r="B22" s="5" t="s">
        <v>76</v>
      </c>
      <c r="C22" s="5">
        <v>14</v>
      </c>
      <c r="D22" s="5" t="s">
        <v>44</v>
      </c>
      <c r="E22" s="15">
        <v>-291428.55199999997</v>
      </c>
      <c r="F22" s="5">
        <v>2069010000</v>
      </c>
      <c r="G22" s="2" t="str">
        <f t="shared" si="0"/>
        <v>206901000014</v>
      </c>
    </row>
    <row r="23" spans="2:7" x14ac:dyDescent="0.2">
      <c r="B23" s="5" t="s">
        <v>76</v>
      </c>
      <c r="C23" s="5">
        <v>1037</v>
      </c>
      <c r="D23" s="5" t="s">
        <v>49</v>
      </c>
      <c r="E23" s="15">
        <v>0</v>
      </c>
      <c r="F23" s="5">
        <v>2069010000</v>
      </c>
      <c r="G23" s="2" t="str">
        <f t="shared" si="0"/>
        <v>20690100001037</v>
      </c>
    </row>
    <row r="24" spans="2:7" x14ac:dyDescent="0.2">
      <c r="B24" s="5" t="s">
        <v>76</v>
      </c>
      <c r="C24" s="5" t="s">
        <v>6</v>
      </c>
      <c r="D24" s="5" t="s">
        <v>48</v>
      </c>
      <c r="E24" s="15">
        <v>-33736.5</v>
      </c>
      <c r="F24" s="5">
        <v>2069010000</v>
      </c>
      <c r="G24" s="2" t="str">
        <f t="shared" si="0"/>
        <v>20690100001087</v>
      </c>
    </row>
    <row r="25" spans="2:7" x14ac:dyDescent="0.2">
      <c r="B25" s="5" t="s">
        <v>76</v>
      </c>
      <c r="C25" s="5">
        <v>1009</v>
      </c>
      <c r="D25" s="5" t="s">
        <v>38</v>
      </c>
      <c r="E25" s="15">
        <v>0</v>
      </c>
      <c r="F25" s="5">
        <v>2069010000</v>
      </c>
      <c r="G25" s="2" t="str">
        <f t="shared" si="0"/>
        <v>20690100001009</v>
      </c>
    </row>
    <row r="26" spans="2:7" x14ac:dyDescent="0.2">
      <c r="B26" s="5" t="s">
        <v>76</v>
      </c>
      <c r="C26" s="5">
        <v>1007</v>
      </c>
      <c r="D26" s="5" t="s">
        <v>40</v>
      </c>
      <c r="E26" s="15">
        <v>0</v>
      </c>
      <c r="F26" s="5">
        <v>2069010000</v>
      </c>
      <c r="G26" s="2" t="str">
        <f t="shared" si="0"/>
        <v>20690100001007</v>
      </c>
    </row>
    <row r="27" spans="2:7" x14ac:dyDescent="0.2">
      <c r="B27" s="5" t="s">
        <v>76</v>
      </c>
      <c r="C27" s="5">
        <v>1008</v>
      </c>
      <c r="D27" s="5" t="s">
        <v>42</v>
      </c>
      <c r="E27" s="15">
        <v>0</v>
      </c>
      <c r="F27" s="5">
        <v>2069010000</v>
      </c>
      <c r="G27" s="2" t="str">
        <f t="shared" si="0"/>
        <v>20690100001008</v>
      </c>
    </row>
    <row r="28" spans="2:7" x14ac:dyDescent="0.2">
      <c r="B28" s="5" t="s">
        <v>76</v>
      </c>
      <c r="C28" s="5">
        <v>1240</v>
      </c>
      <c r="D28" s="5" t="s">
        <v>47</v>
      </c>
      <c r="E28" s="15">
        <v>-199600.4</v>
      </c>
      <c r="F28" s="5">
        <v>2069010000</v>
      </c>
      <c r="G28" s="2" t="str">
        <f t="shared" si="0"/>
        <v>20690100001240</v>
      </c>
    </row>
    <row r="29" spans="2:7" x14ac:dyDescent="0.2">
      <c r="B29" s="5" t="s">
        <v>76</v>
      </c>
      <c r="C29" s="5">
        <v>111111</v>
      </c>
      <c r="D29" s="5" t="s">
        <v>106</v>
      </c>
      <c r="E29" s="15">
        <v>-539141.4</v>
      </c>
      <c r="F29" s="5">
        <v>2069010000</v>
      </c>
      <c r="G29" s="2" t="str">
        <f t="shared" si="0"/>
        <v>2069010000111111</v>
      </c>
    </row>
    <row r="30" spans="2:7" x14ac:dyDescent="0.2">
      <c r="B30" s="5" t="s">
        <v>77</v>
      </c>
      <c r="C30" s="5">
        <v>111111</v>
      </c>
      <c r="D30" s="5" t="s">
        <v>106</v>
      </c>
      <c r="E30" s="15">
        <v>-57.221999999999994</v>
      </c>
      <c r="F30" s="5">
        <v>2069980000</v>
      </c>
      <c r="G30" s="2" t="str">
        <f t="shared" si="0"/>
        <v>2069980000111111</v>
      </c>
    </row>
    <row r="31" spans="2:7" x14ac:dyDescent="0.2">
      <c r="B31" s="5" t="s">
        <v>78</v>
      </c>
      <c r="C31" s="5">
        <v>111111</v>
      </c>
      <c r="D31" s="5" t="s">
        <v>106</v>
      </c>
      <c r="E31" s="15">
        <v>22314.879999999997</v>
      </c>
      <c r="F31" s="5">
        <v>2070400000</v>
      </c>
      <c r="G31" s="2" t="str">
        <f t="shared" si="0"/>
        <v>2070400000111111</v>
      </c>
    </row>
    <row r="32" spans="2:7" x14ac:dyDescent="0.2">
      <c r="B32" s="5" t="s">
        <v>79</v>
      </c>
      <c r="C32" s="5">
        <v>88</v>
      </c>
      <c r="D32" s="5" t="s">
        <v>35</v>
      </c>
      <c r="E32" s="15">
        <v>204000</v>
      </c>
      <c r="F32" s="5">
        <v>2070500000</v>
      </c>
      <c r="G32" s="2" t="str">
        <f t="shared" si="0"/>
        <v>207050000088</v>
      </c>
    </row>
    <row r="33" spans="2:7" x14ac:dyDescent="0.2">
      <c r="B33" s="5" t="s">
        <v>79</v>
      </c>
      <c r="C33" s="5">
        <v>111111</v>
      </c>
      <c r="D33" s="5" t="s">
        <v>106</v>
      </c>
      <c r="E33" s="15">
        <v>138.41399999999999</v>
      </c>
      <c r="F33" s="5">
        <v>2070500000</v>
      </c>
      <c r="G33" s="2" t="str">
        <f t="shared" si="0"/>
        <v>2070500000111111</v>
      </c>
    </row>
    <row r="34" spans="2:7" x14ac:dyDescent="0.2">
      <c r="B34" s="5" t="s">
        <v>80</v>
      </c>
      <c r="C34" s="5">
        <v>111111</v>
      </c>
      <c r="D34" s="5" t="s">
        <v>106</v>
      </c>
      <c r="E34" s="15">
        <v>1127445.872</v>
      </c>
      <c r="F34" s="5">
        <v>2070600000</v>
      </c>
      <c r="G34" s="2" t="str">
        <f t="shared" si="0"/>
        <v>2070600000111111</v>
      </c>
    </row>
    <row r="35" spans="2:7" x14ac:dyDescent="0.2">
      <c r="B35" s="5" t="s">
        <v>81</v>
      </c>
      <c r="C35" s="5" t="s">
        <v>7</v>
      </c>
      <c r="D35" s="5" t="s">
        <v>45</v>
      </c>
      <c r="E35" s="15">
        <v>133722</v>
      </c>
      <c r="F35" s="5">
        <v>2070900000</v>
      </c>
      <c r="G35" s="2" t="str">
        <f t="shared" si="0"/>
        <v>207090000043</v>
      </c>
    </row>
    <row r="36" spans="2:7" x14ac:dyDescent="0.2">
      <c r="B36" s="5" t="s">
        <v>81</v>
      </c>
      <c r="C36" s="5" t="s">
        <v>8</v>
      </c>
      <c r="D36" s="5" t="s">
        <v>46</v>
      </c>
      <c r="E36" s="15">
        <v>328061.886</v>
      </c>
      <c r="F36" s="5">
        <v>2070900000</v>
      </c>
      <c r="G36" s="2" t="str">
        <f t="shared" si="0"/>
        <v>20709000002240</v>
      </c>
    </row>
    <row r="37" spans="2:7" x14ac:dyDescent="0.2">
      <c r="B37" s="5" t="s">
        <v>81</v>
      </c>
      <c r="C37" s="5">
        <v>111111</v>
      </c>
      <c r="D37" s="5" t="s">
        <v>106</v>
      </c>
      <c r="E37" s="15">
        <v>2081304.3219999997</v>
      </c>
      <c r="F37" s="5">
        <v>2070900000</v>
      </c>
      <c r="G37" s="2" t="str">
        <f t="shared" si="0"/>
        <v>2070900000111111</v>
      </c>
    </row>
    <row r="38" spans="2:7" x14ac:dyDescent="0.2">
      <c r="B38" s="5" t="s">
        <v>9</v>
      </c>
      <c r="C38" s="5">
        <v>111111</v>
      </c>
      <c r="D38" s="5" t="s">
        <v>106</v>
      </c>
      <c r="E38" s="15">
        <v>33410.031999999999</v>
      </c>
      <c r="F38" s="5">
        <v>2071000000</v>
      </c>
      <c r="G38" s="2" t="str">
        <f t="shared" si="0"/>
        <v>2071000000111111</v>
      </c>
    </row>
    <row r="39" spans="2:7" x14ac:dyDescent="0.2">
      <c r="B39" s="5" t="s">
        <v>82</v>
      </c>
      <c r="C39" s="5">
        <v>111111</v>
      </c>
      <c r="D39" s="5" t="s">
        <v>106</v>
      </c>
      <c r="E39" s="15">
        <v>213090.85199999998</v>
      </c>
      <c r="F39" s="5">
        <v>2071100000</v>
      </c>
      <c r="G39" s="2" t="str">
        <f t="shared" si="0"/>
        <v>2071100000111111</v>
      </c>
    </row>
    <row r="40" spans="2:7" x14ac:dyDescent="0.2">
      <c r="B40" s="5" t="s">
        <v>10</v>
      </c>
      <c r="C40" s="5">
        <v>111111</v>
      </c>
      <c r="D40" s="5" t="s">
        <v>106</v>
      </c>
      <c r="E40" s="15">
        <v>1813525.004</v>
      </c>
      <c r="F40" s="5">
        <v>2071209200</v>
      </c>
      <c r="G40" s="2" t="str">
        <f t="shared" si="0"/>
        <v>2071209200111111</v>
      </c>
    </row>
    <row r="41" spans="2:7" x14ac:dyDescent="0.2">
      <c r="B41" s="5" t="s">
        <v>83</v>
      </c>
      <c r="C41" s="5">
        <v>111111</v>
      </c>
      <c r="D41" s="5" t="s">
        <v>106</v>
      </c>
      <c r="E41" s="15">
        <v>5552.2</v>
      </c>
      <c r="F41" s="5">
        <v>2071209400</v>
      </c>
      <c r="G41" s="2" t="str">
        <f t="shared" si="0"/>
        <v>2071209400111111</v>
      </c>
    </row>
    <row r="42" spans="2:7" x14ac:dyDescent="0.2">
      <c r="B42" s="5" t="s">
        <v>84</v>
      </c>
      <c r="C42" s="5">
        <v>111111</v>
      </c>
      <c r="D42" s="5" t="s">
        <v>106</v>
      </c>
      <c r="E42" s="15">
        <v>43868.975999999995</v>
      </c>
      <c r="F42" s="5">
        <v>2071209500</v>
      </c>
      <c r="G42" s="2" t="str">
        <f t="shared" si="0"/>
        <v>2071209500111111</v>
      </c>
    </row>
    <row r="43" spans="2:7" x14ac:dyDescent="0.2">
      <c r="B43" s="5" t="s">
        <v>85</v>
      </c>
      <c r="C43" s="5">
        <v>111101</v>
      </c>
      <c r="D43" s="5" t="s">
        <v>2</v>
      </c>
      <c r="E43" s="15">
        <v>10934.671999999999</v>
      </c>
      <c r="F43" s="5">
        <v>2071980000</v>
      </c>
      <c r="G43" s="2" t="str">
        <f t="shared" si="0"/>
        <v>2071980000111101</v>
      </c>
    </row>
    <row r="44" spans="2:7" x14ac:dyDescent="0.2">
      <c r="B44" s="5" t="s">
        <v>86</v>
      </c>
      <c r="C44" s="5">
        <v>111111</v>
      </c>
      <c r="D44" s="5" t="s">
        <v>106</v>
      </c>
      <c r="E44" s="15">
        <v>20400</v>
      </c>
      <c r="F44" s="5">
        <v>2079022000</v>
      </c>
      <c r="G44" s="2" t="str">
        <f t="shared" si="0"/>
        <v>2079022000111111</v>
      </c>
    </row>
    <row r="45" spans="2:7" x14ac:dyDescent="0.2">
      <c r="B45" s="5" t="s">
        <v>87</v>
      </c>
      <c r="C45" s="5">
        <v>105</v>
      </c>
      <c r="D45" s="5" t="s">
        <v>36</v>
      </c>
      <c r="E45" s="15">
        <v>0</v>
      </c>
      <c r="F45" s="5">
        <v>2079070000</v>
      </c>
      <c r="G45" s="2" t="str">
        <f t="shared" si="0"/>
        <v>2079070000105</v>
      </c>
    </row>
    <row r="46" spans="2:7" x14ac:dyDescent="0.2">
      <c r="B46" s="5" t="s">
        <v>87</v>
      </c>
      <c r="C46" s="5">
        <v>111111</v>
      </c>
      <c r="D46" s="5" t="s">
        <v>106</v>
      </c>
      <c r="E46" s="15">
        <v>563918.152</v>
      </c>
      <c r="F46" s="5">
        <v>2079070000</v>
      </c>
      <c r="G46" s="2" t="str">
        <f t="shared" si="0"/>
        <v>2079070000111111</v>
      </c>
    </row>
    <row r="47" spans="2:7" x14ac:dyDescent="0.2">
      <c r="B47" s="5" t="s">
        <v>88</v>
      </c>
      <c r="C47" s="5">
        <v>1009</v>
      </c>
      <c r="D47" s="5" t="s">
        <v>38</v>
      </c>
      <c r="E47" s="15">
        <v>0</v>
      </c>
      <c r="F47" s="5">
        <v>2079080000</v>
      </c>
      <c r="G47" s="2" t="str">
        <f t="shared" si="0"/>
        <v>20790800001009</v>
      </c>
    </row>
    <row r="48" spans="2:7" x14ac:dyDescent="0.2">
      <c r="B48" s="5" t="s">
        <v>88</v>
      </c>
      <c r="C48" s="5">
        <v>1007</v>
      </c>
      <c r="D48" s="5" t="s">
        <v>40</v>
      </c>
      <c r="E48" s="15">
        <v>0</v>
      </c>
      <c r="F48" s="5">
        <v>2079080000</v>
      </c>
      <c r="G48" s="2" t="str">
        <f t="shared" si="0"/>
        <v>20790800001007</v>
      </c>
    </row>
    <row r="49" spans="2:7" x14ac:dyDescent="0.2">
      <c r="B49" s="5" t="s">
        <v>88</v>
      </c>
      <c r="C49" s="5">
        <v>1008</v>
      </c>
      <c r="D49" s="5" t="s">
        <v>42</v>
      </c>
      <c r="E49" s="15">
        <v>0</v>
      </c>
      <c r="F49" s="5">
        <v>2079080000</v>
      </c>
      <c r="G49" s="2" t="str">
        <f t="shared" si="0"/>
        <v>20790800001008</v>
      </c>
    </row>
    <row r="50" spans="2:7" x14ac:dyDescent="0.2">
      <c r="B50" s="5" t="s">
        <v>89</v>
      </c>
      <c r="C50" s="5">
        <v>1009</v>
      </c>
      <c r="D50" s="5" t="s">
        <v>38</v>
      </c>
      <c r="E50" s="15">
        <v>0</v>
      </c>
      <c r="F50" s="5">
        <v>2082280000</v>
      </c>
      <c r="G50" s="2" t="str">
        <f t="shared" si="0"/>
        <v>20822800001009</v>
      </c>
    </row>
    <row r="51" spans="2:7" x14ac:dyDescent="0.2">
      <c r="B51" s="5" t="s">
        <v>89</v>
      </c>
      <c r="C51" s="5">
        <v>1007</v>
      </c>
      <c r="D51" s="5" t="s">
        <v>40</v>
      </c>
      <c r="E51" s="15">
        <v>0</v>
      </c>
      <c r="F51" s="5">
        <v>2082280000</v>
      </c>
      <c r="G51" s="2" t="str">
        <f t="shared" si="0"/>
        <v>20822800001007</v>
      </c>
    </row>
    <row r="52" spans="2:7" x14ac:dyDescent="0.2">
      <c r="B52" s="5" t="s">
        <v>89</v>
      </c>
      <c r="C52" s="5">
        <v>1008</v>
      </c>
      <c r="D52" s="5" t="s">
        <v>42</v>
      </c>
      <c r="E52" s="15">
        <v>0</v>
      </c>
      <c r="F52" s="5">
        <v>2082280000</v>
      </c>
      <c r="G52" s="2" t="str">
        <f t="shared" si="0"/>
        <v>20822800001008</v>
      </c>
    </row>
    <row r="53" spans="2:7" x14ac:dyDescent="0.2">
      <c r="B53" s="5" t="s">
        <v>89</v>
      </c>
      <c r="C53" s="5">
        <v>1240</v>
      </c>
      <c r="D53" s="5" t="s">
        <v>47</v>
      </c>
      <c r="E53" s="15">
        <v>-35810.228000000003</v>
      </c>
      <c r="F53" s="5">
        <v>2082280000</v>
      </c>
      <c r="G53" s="2" t="str">
        <f t="shared" si="0"/>
        <v>20822800001240</v>
      </c>
    </row>
    <row r="54" spans="2:7" x14ac:dyDescent="0.2">
      <c r="B54" s="5" t="s">
        <v>89</v>
      </c>
      <c r="C54" s="5">
        <v>111111</v>
      </c>
      <c r="D54" s="5" t="s">
        <v>106</v>
      </c>
      <c r="E54" s="15">
        <v>-51927.417999999998</v>
      </c>
      <c r="F54" s="5">
        <v>2082280000</v>
      </c>
      <c r="G54" s="2" t="str">
        <f t="shared" si="0"/>
        <v>2082280000111111</v>
      </c>
    </row>
    <row r="55" spans="2:7" x14ac:dyDescent="0.2">
      <c r="B55" s="5" t="s">
        <v>11</v>
      </c>
      <c r="C55" s="5">
        <v>111101</v>
      </c>
      <c r="D55" s="5" t="s">
        <v>2</v>
      </c>
      <c r="E55" s="15">
        <v>-862270.63399999996</v>
      </c>
      <c r="F55" s="5">
        <v>2082202000</v>
      </c>
      <c r="G55" s="2" t="str">
        <f t="shared" si="0"/>
        <v>2082202000111101</v>
      </c>
    </row>
    <row r="56" spans="2:7" x14ac:dyDescent="0.2">
      <c r="B56" s="5" t="s">
        <v>90</v>
      </c>
      <c r="C56" s="5">
        <v>111101</v>
      </c>
      <c r="D56" s="5" t="s">
        <v>2</v>
      </c>
      <c r="E56" s="15">
        <v>22763</v>
      </c>
      <c r="F56" s="5">
        <v>2082208200</v>
      </c>
      <c r="G56" s="2" t="str">
        <f t="shared" si="0"/>
        <v>2082208200111101</v>
      </c>
    </row>
    <row r="57" spans="2:7" x14ac:dyDescent="0.2">
      <c r="B57" s="5" t="s">
        <v>91</v>
      </c>
      <c r="C57" s="5">
        <v>88</v>
      </c>
      <c r="D57" s="5" t="s">
        <v>35</v>
      </c>
      <c r="E57" s="15">
        <v>2930430.0120000001</v>
      </c>
      <c r="F57" s="5">
        <v>2082214000</v>
      </c>
      <c r="G57" s="2" t="str">
        <f t="shared" si="0"/>
        <v>208221400088</v>
      </c>
    </row>
    <row r="58" spans="2:7" x14ac:dyDescent="0.2">
      <c r="B58" s="5" t="s">
        <v>92</v>
      </c>
      <c r="C58" s="5">
        <v>111101</v>
      </c>
      <c r="D58" s="5" t="s">
        <v>2</v>
      </c>
      <c r="E58" s="15">
        <v>-49378.641999999993</v>
      </c>
      <c r="F58" s="5">
        <v>2091200000</v>
      </c>
      <c r="G58" s="2" t="str">
        <f t="shared" si="0"/>
        <v>2091200000111101</v>
      </c>
    </row>
    <row r="59" spans="2:7" x14ac:dyDescent="0.2">
      <c r="B59" s="5" t="s">
        <v>93</v>
      </c>
      <c r="C59" s="5">
        <v>111101</v>
      </c>
      <c r="D59" s="5" t="s">
        <v>2</v>
      </c>
      <c r="E59" s="15">
        <v>516250.67</v>
      </c>
      <c r="F59" s="5">
        <v>2091200001</v>
      </c>
      <c r="G59" s="2" t="str">
        <f t="shared" si="0"/>
        <v>2091200001111101</v>
      </c>
    </row>
    <row r="60" spans="2:7" x14ac:dyDescent="0.2">
      <c r="B60" s="5" t="s">
        <v>94</v>
      </c>
      <c r="C60" s="5">
        <v>111101</v>
      </c>
      <c r="D60" s="5" t="s">
        <v>2</v>
      </c>
      <c r="E60" s="15">
        <v>21593.093999999997</v>
      </c>
      <c r="F60" s="5">
        <v>2092200000</v>
      </c>
      <c r="G60" s="2" t="str">
        <f t="shared" si="0"/>
        <v>2092200000111101</v>
      </c>
    </row>
    <row r="61" spans="2:7" x14ac:dyDescent="0.2">
      <c r="B61" s="16" t="s">
        <v>67</v>
      </c>
      <c r="C61" s="16">
        <v>111101</v>
      </c>
      <c r="D61" s="16" t="s">
        <v>2</v>
      </c>
      <c r="E61" s="17">
        <v>-2904117.9939999986</v>
      </c>
      <c r="F61" s="16">
        <v>2999999999</v>
      </c>
      <c r="G61" s="2" t="str">
        <f t="shared" si="0"/>
        <v>2999999999111101</v>
      </c>
    </row>
  </sheetData>
  <autoFilter ref="B4:F61" xr:uid="{00000000-0001-0000-0300-000000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F170"/>
  <sheetViews>
    <sheetView workbookViewId="0">
      <selection activeCell="C1" sqref="C1"/>
    </sheetView>
  </sheetViews>
  <sheetFormatPr defaultColWidth="9.140625" defaultRowHeight="12" x14ac:dyDescent="0.2"/>
  <cols>
    <col min="1" max="1" width="2" style="2" customWidth="1"/>
    <col min="2" max="2" width="34.85546875" style="2" bestFit="1" customWidth="1"/>
    <col min="3" max="3" width="21.140625" style="2" bestFit="1" customWidth="1"/>
    <col min="4" max="4" width="37.5703125" style="2" bestFit="1" customWidth="1"/>
    <col min="5" max="5" width="11.5703125" style="2" bestFit="1" customWidth="1"/>
    <col min="6" max="6" width="11" style="2" bestFit="1" customWidth="1"/>
    <col min="7" max="16384" width="9.140625" style="2"/>
  </cols>
  <sheetData>
    <row r="1" spans="2:6" ht="15.75" x14ac:dyDescent="0.25">
      <c r="B1" s="3" t="s">
        <v>116</v>
      </c>
    </row>
    <row r="4" spans="2:6" x14ac:dyDescent="0.2">
      <c r="C4" s="2" t="s">
        <v>1</v>
      </c>
    </row>
    <row r="5" spans="2:6" x14ac:dyDescent="0.2">
      <c r="B5" s="5" t="s">
        <v>68</v>
      </c>
      <c r="C5" s="5">
        <v>105</v>
      </c>
      <c r="D5" s="5" t="s">
        <v>36</v>
      </c>
      <c r="E5" s="15">
        <v>-355396.61499999999</v>
      </c>
      <c r="F5" s="5">
        <v>2001110000</v>
      </c>
    </row>
    <row r="6" spans="2:6" x14ac:dyDescent="0.2">
      <c r="B6" s="5" t="s">
        <v>68</v>
      </c>
      <c r="C6" s="5">
        <v>111111</v>
      </c>
      <c r="D6" s="5" t="s">
        <v>106</v>
      </c>
      <c r="E6" s="15">
        <v>-15792898.75</v>
      </c>
      <c r="F6" s="5">
        <v>2001110000</v>
      </c>
    </row>
    <row r="7" spans="2:6" x14ac:dyDescent="0.2">
      <c r="B7" s="5" t="str">
        <f>B6</f>
        <v>Core business revenues</v>
      </c>
      <c r="C7" s="5" t="s">
        <v>34</v>
      </c>
      <c r="D7" s="5" t="s">
        <v>34</v>
      </c>
      <c r="E7" s="15">
        <f>E6+E5</f>
        <v>-16148295.365</v>
      </c>
      <c r="F7" s="5">
        <f>F6</f>
        <v>2001110000</v>
      </c>
    </row>
    <row r="8" spans="2:6" x14ac:dyDescent="0.2">
      <c r="B8" s="5" t="s">
        <v>69</v>
      </c>
      <c r="C8" s="5">
        <v>111111</v>
      </c>
      <c r="D8" s="5" t="s">
        <v>106</v>
      </c>
      <c r="E8" s="15">
        <v>-6960217.6449999996</v>
      </c>
      <c r="F8" s="5">
        <v>2001190000</v>
      </c>
    </row>
    <row r="9" spans="2:6" x14ac:dyDescent="0.2">
      <c r="B9" s="5" t="str">
        <f>B8</f>
        <v>Other revenues</v>
      </c>
      <c r="C9" s="5" t="s">
        <v>34</v>
      </c>
      <c r="D9" s="5" t="s">
        <v>34</v>
      </c>
      <c r="E9" s="15">
        <f>+E8</f>
        <v>-6960217.6449999996</v>
      </c>
      <c r="F9" s="5">
        <f>F8</f>
        <v>2001190000</v>
      </c>
    </row>
    <row r="10" spans="2:6" x14ac:dyDescent="0.2">
      <c r="B10" s="5" t="s">
        <v>70</v>
      </c>
      <c r="C10" s="5" t="s">
        <v>12</v>
      </c>
      <c r="D10" s="5" t="s">
        <v>50</v>
      </c>
      <c r="E10" s="15">
        <v>-420017.14999999997</v>
      </c>
      <c r="F10" s="5">
        <v>2020000000</v>
      </c>
    </row>
    <row r="11" spans="2:6" x14ac:dyDescent="0.2">
      <c r="B11" s="5" t="s">
        <v>70</v>
      </c>
      <c r="C11" s="5">
        <v>1007</v>
      </c>
      <c r="D11" s="5" t="s">
        <v>40</v>
      </c>
      <c r="E11" s="15">
        <v>-89234.880000000005</v>
      </c>
      <c r="F11" s="5">
        <v>2020000000</v>
      </c>
    </row>
    <row r="12" spans="2:6" x14ac:dyDescent="0.2">
      <c r="B12" s="5" t="s">
        <v>70</v>
      </c>
      <c r="C12" s="5">
        <v>1008</v>
      </c>
      <c r="D12" s="5" t="s">
        <v>42</v>
      </c>
      <c r="E12" s="15">
        <v>-26173</v>
      </c>
      <c r="F12" s="5">
        <v>2020000000</v>
      </c>
    </row>
    <row r="13" spans="2:6" x14ac:dyDescent="0.2">
      <c r="B13" s="5" t="s">
        <v>70</v>
      </c>
      <c r="C13" s="5">
        <v>111101</v>
      </c>
      <c r="D13" s="5" t="s">
        <v>2</v>
      </c>
      <c r="E13" s="15">
        <v>-209401.92</v>
      </c>
      <c r="F13" s="5">
        <v>2020000000</v>
      </c>
    </row>
    <row r="14" spans="2:6" x14ac:dyDescent="0.2">
      <c r="B14" s="5" t="str">
        <f>B13</f>
        <v>Capitalized costs</v>
      </c>
      <c r="C14" s="5" t="s">
        <v>34</v>
      </c>
      <c r="D14" s="5" t="s">
        <v>34</v>
      </c>
      <c r="E14" s="15">
        <f>SUM(E10:E13)</f>
        <v>-744826.95000000007</v>
      </c>
      <c r="F14" s="5">
        <f>F13</f>
        <v>2020000000</v>
      </c>
    </row>
    <row r="15" spans="2:6" x14ac:dyDescent="0.2">
      <c r="B15" s="5" t="s">
        <v>108</v>
      </c>
      <c r="C15" s="5">
        <v>111111</v>
      </c>
      <c r="D15" s="5" t="s">
        <v>106</v>
      </c>
      <c r="E15" s="15">
        <v>14589.33</v>
      </c>
      <c r="F15" s="5">
        <v>2021210000</v>
      </c>
    </row>
    <row r="16" spans="2:6" x14ac:dyDescent="0.2">
      <c r="B16" s="5" t="str">
        <f>B15</f>
        <v>Utility charges</v>
      </c>
      <c r="C16" s="5" t="s">
        <v>34</v>
      </c>
      <c r="D16" s="5" t="s">
        <v>34</v>
      </c>
      <c r="E16" s="15">
        <f>E15</f>
        <v>14589.33</v>
      </c>
      <c r="F16" s="5">
        <f>F15</f>
        <v>2021210000</v>
      </c>
    </row>
    <row r="17" spans="2:6" x14ac:dyDescent="0.2">
      <c r="B17" s="5" t="s">
        <v>107</v>
      </c>
      <c r="C17" s="5">
        <v>111111</v>
      </c>
      <c r="D17" s="5" t="s">
        <v>106</v>
      </c>
      <c r="E17" s="15">
        <v>5463188.8250000002</v>
      </c>
      <c r="F17" s="5">
        <v>2021900000</v>
      </c>
    </row>
    <row r="18" spans="2:6" x14ac:dyDescent="0.2">
      <c r="B18" s="5" t="str">
        <f>B17</f>
        <v>Direct costs</v>
      </c>
      <c r="C18" s="5" t="s">
        <v>34</v>
      </c>
      <c r="D18" s="5" t="s">
        <v>34</v>
      </c>
      <c r="E18" s="15">
        <f>E17</f>
        <v>5463188.8250000002</v>
      </c>
      <c r="F18" s="5">
        <f>F17</f>
        <v>2021900000</v>
      </c>
    </row>
    <row r="19" spans="2:6" x14ac:dyDescent="0.2">
      <c r="B19" s="5" t="s">
        <v>72</v>
      </c>
      <c r="C19" s="5">
        <v>111111</v>
      </c>
      <c r="D19" s="5" t="s">
        <v>106</v>
      </c>
      <c r="E19" s="15">
        <v>343675</v>
      </c>
      <c r="F19" s="5">
        <v>2024080000</v>
      </c>
    </row>
    <row r="20" spans="2:6" x14ac:dyDescent="0.2">
      <c r="B20" s="5" t="str">
        <f>B19</f>
        <v>Freight outbound expenses</v>
      </c>
      <c r="C20" s="5" t="s">
        <v>34</v>
      </c>
      <c r="D20" s="5" t="s">
        <v>34</v>
      </c>
      <c r="E20" s="15">
        <f>E19</f>
        <v>343675</v>
      </c>
      <c r="F20" s="5">
        <f>F19</f>
        <v>2024080000</v>
      </c>
    </row>
    <row r="21" spans="2:6" x14ac:dyDescent="0.2">
      <c r="B21" s="5" t="s">
        <v>71</v>
      </c>
      <c r="C21" s="5">
        <v>19</v>
      </c>
      <c r="D21" s="5" t="s">
        <v>44</v>
      </c>
      <c r="E21" s="15">
        <v>38521</v>
      </c>
      <c r="F21" s="5">
        <v>2024090000</v>
      </c>
    </row>
    <row r="22" spans="2:6" x14ac:dyDescent="0.2">
      <c r="B22" s="5" t="s">
        <v>71</v>
      </c>
      <c r="C22" s="5">
        <v>88</v>
      </c>
      <c r="D22" s="5" t="s">
        <v>35</v>
      </c>
      <c r="E22" s="15">
        <v>1980162.23</v>
      </c>
      <c r="F22" s="5">
        <v>2024090000</v>
      </c>
    </row>
    <row r="23" spans="2:6" x14ac:dyDescent="0.2">
      <c r="B23" s="5" t="s">
        <v>71</v>
      </c>
      <c r="C23" s="5" t="s">
        <v>13</v>
      </c>
      <c r="D23" s="5" t="s">
        <v>37</v>
      </c>
      <c r="E23" s="15">
        <v>1820</v>
      </c>
      <c r="F23" s="5">
        <v>2024090000</v>
      </c>
    </row>
    <row r="24" spans="2:6" x14ac:dyDescent="0.2">
      <c r="B24" s="5" t="s">
        <v>71</v>
      </c>
      <c r="C24" s="5" t="s">
        <v>14</v>
      </c>
      <c r="D24" s="5" t="s">
        <v>39</v>
      </c>
      <c r="E24" s="15">
        <v>10448.129999999999</v>
      </c>
      <c r="F24" s="5">
        <v>2024090000</v>
      </c>
    </row>
    <row r="25" spans="2:6" x14ac:dyDescent="0.2">
      <c r="B25" s="5" t="s">
        <v>71</v>
      </c>
      <c r="C25" s="5" t="s">
        <v>15</v>
      </c>
      <c r="D25" s="5" t="s">
        <v>52</v>
      </c>
      <c r="E25" s="15">
        <v>10412.5</v>
      </c>
      <c r="F25" s="5">
        <v>2024090000</v>
      </c>
    </row>
    <row r="26" spans="2:6" x14ac:dyDescent="0.2">
      <c r="B26" s="5" t="s">
        <v>71</v>
      </c>
      <c r="C26" s="5">
        <v>111111</v>
      </c>
      <c r="D26" s="5" t="s">
        <v>106</v>
      </c>
      <c r="E26" s="15">
        <v>27148.625</v>
      </c>
      <c r="F26" s="5">
        <v>2024090000</v>
      </c>
    </row>
    <row r="27" spans="2:6" x14ac:dyDescent="0.2">
      <c r="B27" s="5" t="str">
        <f>B26</f>
        <v>R&amp;D expenses</v>
      </c>
      <c r="C27" s="5" t="s">
        <v>34</v>
      </c>
      <c r="D27" s="5" t="s">
        <v>34</v>
      </c>
      <c r="E27" s="15">
        <f>SUM(E21:E26)</f>
        <v>2068512.4849999999</v>
      </c>
      <c r="F27" s="5">
        <f>F26</f>
        <v>2024090000</v>
      </c>
    </row>
    <row r="28" spans="2:6" x14ac:dyDescent="0.2">
      <c r="B28" s="5" t="s">
        <v>3</v>
      </c>
      <c r="C28" s="5">
        <v>111111</v>
      </c>
      <c r="D28" s="5" t="s">
        <v>106</v>
      </c>
      <c r="E28" s="15">
        <v>5507141.0549999997</v>
      </c>
      <c r="F28" s="5">
        <v>2041000000</v>
      </c>
    </row>
    <row r="29" spans="2:6" x14ac:dyDescent="0.2">
      <c r="B29" s="5" t="str">
        <f>B28</f>
        <v>Wages and salaries</v>
      </c>
      <c r="C29" s="5" t="s">
        <v>34</v>
      </c>
      <c r="D29" s="5" t="s">
        <v>34</v>
      </c>
      <c r="E29" s="15">
        <f>E28</f>
        <v>5507141.0549999997</v>
      </c>
      <c r="F29" s="5">
        <f>F28</f>
        <v>2041000000</v>
      </c>
    </row>
    <row r="30" spans="2:6" x14ac:dyDescent="0.2">
      <c r="B30" s="5" t="s">
        <v>4</v>
      </c>
      <c r="C30" s="5">
        <v>111101</v>
      </c>
      <c r="D30" s="5" t="s">
        <v>2</v>
      </c>
      <c r="E30" s="15">
        <v>1752994.18</v>
      </c>
      <c r="F30" s="5">
        <v>2042000000</v>
      </c>
    </row>
    <row r="31" spans="2:6" x14ac:dyDescent="0.2">
      <c r="B31" s="5" t="s">
        <v>73</v>
      </c>
      <c r="C31" s="5">
        <v>111101</v>
      </c>
      <c r="D31" s="5" t="s">
        <v>2</v>
      </c>
      <c r="E31" s="15">
        <v>304303.86000000004</v>
      </c>
      <c r="F31" s="5">
        <v>2042000000</v>
      </c>
    </row>
    <row r="32" spans="2:6" x14ac:dyDescent="0.2">
      <c r="B32" s="5" t="str">
        <f>B31</f>
        <v>Pension contributions</v>
      </c>
      <c r="C32" s="5" t="s">
        <v>34</v>
      </c>
      <c r="D32" s="5" t="s">
        <v>34</v>
      </c>
      <c r="E32" s="15">
        <f>E30+E31</f>
        <v>2057298.04</v>
      </c>
      <c r="F32" s="5">
        <f>F31</f>
        <v>2042000000</v>
      </c>
    </row>
    <row r="33" spans="2:6" x14ac:dyDescent="0.2">
      <c r="B33" s="5" t="s">
        <v>74</v>
      </c>
      <c r="C33" s="5">
        <v>111101</v>
      </c>
      <c r="D33" s="5" t="s">
        <v>2</v>
      </c>
      <c r="E33" s="15">
        <v>500500</v>
      </c>
      <c r="F33" s="5">
        <v>2045000000</v>
      </c>
    </row>
    <row r="34" spans="2:6" x14ac:dyDescent="0.2">
      <c r="B34" s="5" t="str">
        <f>B33</f>
        <v>Severance indemnity contribution</v>
      </c>
      <c r="C34" s="5" t="s">
        <v>34</v>
      </c>
      <c r="D34" s="5" t="s">
        <v>34</v>
      </c>
      <c r="E34" s="15">
        <f>E33</f>
        <v>500500</v>
      </c>
      <c r="F34" s="5">
        <f>F33</f>
        <v>2045000000</v>
      </c>
    </row>
    <row r="35" spans="2:6" x14ac:dyDescent="0.2">
      <c r="B35" s="5" t="s">
        <v>16</v>
      </c>
      <c r="C35" s="5">
        <v>111101</v>
      </c>
      <c r="D35" s="5" t="s">
        <v>2</v>
      </c>
      <c r="E35" s="15">
        <v>6919.8499999999995</v>
      </c>
      <c r="F35" s="5">
        <v>2049000000</v>
      </c>
    </row>
    <row r="36" spans="2:6" x14ac:dyDescent="0.2">
      <c r="B36" s="5" t="str">
        <f>B35</f>
        <v>Other personnel expenses</v>
      </c>
      <c r="C36" s="5" t="s">
        <v>34</v>
      </c>
      <c r="D36" s="5" t="s">
        <v>34</v>
      </c>
      <c r="E36" s="15">
        <f>E35</f>
        <v>6919.8499999999995</v>
      </c>
      <c r="F36" s="5">
        <f>F35</f>
        <v>2049000000</v>
      </c>
    </row>
    <row r="37" spans="2:6" x14ac:dyDescent="0.2">
      <c r="B37" s="5" t="s">
        <v>75</v>
      </c>
      <c r="C37" s="5">
        <v>111101</v>
      </c>
      <c r="D37" s="5" t="s">
        <v>2</v>
      </c>
      <c r="E37" s="15">
        <v>1897676.87</v>
      </c>
      <c r="F37" s="5">
        <v>2051210000</v>
      </c>
    </row>
    <row r="38" spans="2:6" x14ac:dyDescent="0.2">
      <c r="B38" s="5" t="str">
        <f>B37</f>
        <v>D&amp;A</v>
      </c>
      <c r="C38" s="5" t="s">
        <v>34</v>
      </c>
      <c r="D38" s="5" t="s">
        <v>34</v>
      </c>
      <c r="E38" s="15">
        <f>+E37</f>
        <v>1897676.87</v>
      </c>
      <c r="F38" s="5">
        <f>F37</f>
        <v>2051210000</v>
      </c>
    </row>
    <row r="39" spans="2:6" x14ac:dyDescent="0.2">
      <c r="B39" s="5" t="s">
        <v>75</v>
      </c>
      <c r="C39" s="5">
        <v>111101</v>
      </c>
      <c r="D39" s="5" t="s">
        <v>2</v>
      </c>
      <c r="E39" s="15">
        <v>146328.94499999998</v>
      </c>
      <c r="F39" s="5">
        <v>2051260000</v>
      </c>
    </row>
    <row r="40" spans="2:6" x14ac:dyDescent="0.2">
      <c r="B40" s="5" t="str">
        <f>B39</f>
        <v>D&amp;A</v>
      </c>
      <c r="C40" s="5" t="s">
        <v>34</v>
      </c>
      <c r="D40" s="5" t="s">
        <v>34</v>
      </c>
      <c r="E40" s="15">
        <f>+E39</f>
        <v>146328.94499999998</v>
      </c>
      <c r="F40" s="5">
        <f>F39</f>
        <v>2051260000</v>
      </c>
    </row>
    <row r="41" spans="2:6" x14ac:dyDescent="0.2">
      <c r="B41" s="5" t="s">
        <v>17</v>
      </c>
      <c r="C41" s="5">
        <v>111111</v>
      </c>
      <c r="D41" s="5" t="s">
        <v>106</v>
      </c>
      <c r="E41" s="15">
        <v>-121553.07499999998</v>
      </c>
      <c r="F41" s="5">
        <v>2060220000</v>
      </c>
    </row>
    <row r="42" spans="2:6" x14ac:dyDescent="0.2">
      <c r="B42" s="5" t="str">
        <f>B41</f>
        <v>Gains from disposal of PP&amp;E</v>
      </c>
      <c r="C42" s="5" t="s">
        <v>34</v>
      </c>
      <c r="D42" s="5" t="s">
        <v>34</v>
      </c>
      <c r="E42" s="15">
        <f>+E41</f>
        <v>-121553.07499999998</v>
      </c>
      <c r="F42" s="5">
        <f>F41</f>
        <v>2060220000</v>
      </c>
    </row>
    <row r="43" spans="2:6" x14ac:dyDescent="0.2">
      <c r="B43" s="5" t="s">
        <v>76</v>
      </c>
      <c r="C43" s="5" t="s">
        <v>5</v>
      </c>
      <c r="D43" s="5" t="s">
        <v>43</v>
      </c>
      <c r="E43" s="15">
        <v>-1643711.145</v>
      </c>
      <c r="F43" s="5">
        <v>2069010000</v>
      </c>
    </row>
    <row r="44" spans="2:6" x14ac:dyDescent="0.2">
      <c r="B44" s="5" t="s">
        <v>76</v>
      </c>
      <c r="C44" s="5">
        <v>19</v>
      </c>
      <c r="D44" s="5" t="s">
        <v>44</v>
      </c>
      <c r="E44" s="15">
        <v>-416278.66</v>
      </c>
      <c r="F44" s="5">
        <v>2069010000</v>
      </c>
    </row>
    <row r="45" spans="2:6" x14ac:dyDescent="0.2">
      <c r="B45" s="5" t="s">
        <v>76</v>
      </c>
      <c r="C45" s="5" t="s">
        <v>18</v>
      </c>
      <c r="D45" s="5" t="s">
        <v>54</v>
      </c>
      <c r="E45" s="15">
        <v>-364243.84499999997</v>
      </c>
      <c r="F45" s="5">
        <v>2069010000</v>
      </c>
    </row>
    <row r="46" spans="2:6" x14ac:dyDescent="0.2">
      <c r="B46" s="5" t="s">
        <v>76</v>
      </c>
      <c r="C46" s="5" t="s">
        <v>12</v>
      </c>
      <c r="D46" s="5" t="s">
        <v>50</v>
      </c>
      <c r="E46" s="15">
        <v>0</v>
      </c>
      <c r="F46" s="5">
        <v>2069010000</v>
      </c>
    </row>
    <row r="47" spans="2:6" x14ac:dyDescent="0.2">
      <c r="B47" s="5" t="s">
        <v>76</v>
      </c>
      <c r="C47" s="5">
        <v>1009</v>
      </c>
      <c r="D47" s="5" t="s">
        <v>38</v>
      </c>
      <c r="E47" s="15">
        <v>0</v>
      </c>
      <c r="F47" s="5">
        <v>2069010000</v>
      </c>
    </row>
    <row r="48" spans="2:6" x14ac:dyDescent="0.2">
      <c r="B48" s="5" t="s">
        <v>76</v>
      </c>
      <c r="C48" s="5">
        <v>1007</v>
      </c>
      <c r="D48" s="5" t="s">
        <v>40</v>
      </c>
      <c r="E48" s="15">
        <v>0</v>
      </c>
      <c r="F48" s="5">
        <v>2069010000</v>
      </c>
    </row>
    <row r="49" spans="2:6" x14ac:dyDescent="0.2">
      <c r="B49" s="5" t="s">
        <v>76</v>
      </c>
      <c r="C49" s="5">
        <v>1008</v>
      </c>
      <c r="D49" s="5" t="s">
        <v>42</v>
      </c>
      <c r="E49" s="15">
        <v>0</v>
      </c>
      <c r="F49" s="5">
        <v>2069010000</v>
      </c>
    </row>
    <row r="50" spans="2:6" x14ac:dyDescent="0.2">
      <c r="B50" s="5" t="s">
        <v>76</v>
      </c>
      <c r="C50" s="5">
        <v>1240</v>
      </c>
      <c r="D50" s="5" t="s">
        <v>47</v>
      </c>
      <c r="E50" s="15">
        <v>-10461.36</v>
      </c>
      <c r="F50" s="5">
        <v>2069010000</v>
      </c>
    </row>
    <row r="51" spans="2:6" x14ac:dyDescent="0.2">
      <c r="B51" s="5" t="s">
        <v>76</v>
      </c>
      <c r="C51" s="5">
        <v>1007</v>
      </c>
      <c r="D51" s="5" t="s">
        <v>41</v>
      </c>
      <c r="E51" s="15">
        <v>0</v>
      </c>
      <c r="F51" s="5">
        <v>2069010000</v>
      </c>
    </row>
    <row r="52" spans="2:6" x14ac:dyDescent="0.2">
      <c r="B52" s="5" t="s">
        <v>76</v>
      </c>
      <c r="C52" s="5" t="s">
        <v>19</v>
      </c>
      <c r="D52" s="5" t="s">
        <v>55</v>
      </c>
      <c r="E52" s="15">
        <v>-482611.04499999998</v>
      </c>
      <c r="F52" s="5">
        <v>2069010000</v>
      </c>
    </row>
    <row r="53" spans="2:6" x14ac:dyDescent="0.2">
      <c r="B53" s="5" t="s">
        <v>76</v>
      </c>
      <c r="C53" s="5">
        <v>111111</v>
      </c>
      <c r="D53" s="5" t="s">
        <v>106</v>
      </c>
      <c r="E53" s="15">
        <v>-6785.94</v>
      </c>
      <c r="F53" s="5">
        <v>2069010000</v>
      </c>
    </row>
    <row r="54" spans="2:6" x14ac:dyDescent="0.2">
      <c r="B54" s="5" t="str">
        <f>B53</f>
        <v>Corporate recharges</v>
      </c>
      <c r="C54" s="5" t="s">
        <v>34</v>
      </c>
      <c r="D54" s="5" t="s">
        <v>34</v>
      </c>
      <c r="E54" s="15">
        <f>+SUM(E43:E53)</f>
        <v>-2924091.9949999996</v>
      </c>
      <c r="F54" s="5">
        <f>F53</f>
        <v>2069010000</v>
      </c>
    </row>
    <row r="55" spans="2:6" x14ac:dyDescent="0.2">
      <c r="B55" s="5" t="s">
        <v>77</v>
      </c>
      <c r="C55" s="5">
        <v>88</v>
      </c>
      <c r="D55" s="5" t="s">
        <v>35</v>
      </c>
      <c r="E55" s="15">
        <v>-2436.35</v>
      </c>
      <c r="F55" s="5">
        <v>2069980000</v>
      </c>
    </row>
    <row r="56" spans="2:6" x14ac:dyDescent="0.2">
      <c r="B56" s="5" t="s">
        <v>77</v>
      </c>
      <c r="C56" s="5">
        <v>111111</v>
      </c>
      <c r="D56" s="5" t="s">
        <v>106</v>
      </c>
      <c r="E56" s="15">
        <v>9793.84</v>
      </c>
      <c r="F56" s="5">
        <v>2069980000</v>
      </c>
    </row>
    <row r="57" spans="2:6" x14ac:dyDescent="0.2">
      <c r="B57" s="5" t="str">
        <f>B56</f>
        <v>Other income</v>
      </c>
      <c r="C57" s="5" t="s">
        <v>34</v>
      </c>
      <c r="D57" s="5" t="s">
        <v>34</v>
      </c>
      <c r="E57" s="15">
        <f>+E55+E56</f>
        <v>7357.49</v>
      </c>
      <c r="F57" s="5">
        <f>F56</f>
        <v>2069980000</v>
      </c>
    </row>
    <row r="58" spans="2:6" x14ac:dyDescent="0.2">
      <c r="B58" s="5" t="s">
        <v>20</v>
      </c>
      <c r="C58" s="5">
        <v>111101</v>
      </c>
      <c r="D58" s="5" t="s">
        <v>2</v>
      </c>
      <c r="E58" s="15">
        <v>81.339999999999989</v>
      </c>
      <c r="F58" s="5">
        <v>2070290000</v>
      </c>
    </row>
    <row r="59" spans="2:6" x14ac:dyDescent="0.2">
      <c r="B59" s="5" t="str">
        <f>B58</f>
        <v>Concession fees other</v>
      </c>
      <c r="C59" s="5" t="s">
        <v>34</v>
      </c>
      <c r="D59" s="5" t="s">
        <v>34</v>
      </c>
      <c r="E59" s="15">
        <f>E58</f>
        <v>81.339999999999989</v>
      </c>
      <c r="F59" s="5">
        <f>F58</f>
        <v>2070290000</v>
      </c>
    </row>
    <row r="60" spans="2:6" x14ac:dyDescent="0.2">
      <c r="B60" s="5" t="s">
        <v>78</v>
      </c>
      <c r="C60" s="5">
        <v>111111</v>
      </c>
      <c r="D60" s="5" t="s">
        <v>106</v>
      </c>
      <c r="E60" s="15">
        <v>65947.7</v>
      </c>
      <c r="F60" s="5">
        <v>2070400000</v>
      </c>
    </row>
    <row r="61" spans="2:6" x14ac:dyDescent="0.2">
      <c r="B61" s="5" t="str">
        <f>B60</f>
        <v>Marketing expenses</v>
      </c>
      <c r="C61" s="5" t="s">
        <v>34</v>
      </c>
      <c r="D61" s="5" t="s">
        <v>34</v>
      </c>
      <c r="E61" s="15">
        <f>E60</f>
        <v>65947.7</v>
      </c>
      <c r="F61" s="5">
        <f>F60</f>
        <v>2070400000</v>
      </c>
    </row>
    <row r="62" spans="2:6" x14ac:dyDescent="0.2">
      <c r="B62" s="5" t="s">
        <v>79</v>
      </c>
      <c r="C62" s="5">
        <v>111111</v>
      </c>
      <c r="D62" s="5" t="s">
        <v>106</v>
      </c>
      <c r="E62" s="15">
        <v>5138.91</v>
      </c>
      <c r="F62" s="5">
        <v>2070500000</v>
      </c>
    </row>
    <row r="63" spans="2:6" x14ac:dyDescent="0.2">
      <c r="B63" s="5" t="str">
        <f>B62</f>
        <v>Software&amp;IT</v>
      </c>
      <c r="C63" s="5" t="s">
        <v>34</v>
      </c>
      <c r="D63" s="5" t="s">
        <v>34</v>
      </c>
      <c r="E63" s="15">
        <f>E62</f>
        <v>5138.91</v>
      </c>
      <c r="F63" s="5">
        <f>F62</f>
        <v>2070500000</v>
      </c>
    </row>
    <row r="64" spans="2:6" x14ac:dyDescent="0.2">
      <c r="B64" s="5" t="s">
        <v>80</v>
      </c>
      <c r="C64" s="5">
        <v>111111</v>
      </c>
      <c r="D64" s="5" t="s">
        <v>106</v>
      </c>
      <c r="E64" s="15">
        <v>1055381.4750000001</v>
      </c>
      <c r="F64" s="5">
        <v>2070600000</v>
      </c>
    </row>
    <row r="65" spans="2:6" x14ac:dyDescent="0.2">
      <c r="B65" s="5" t="str">
        <f>B64</f>
        <v>Leasings</v>
      </c>
      <c r="C65" s="5" t="s">
        <v>34</v>
      </c>
      <c r="D65" s="5" t="s">
        <v>34</v>
      </c>
      <c r="E65" s="15">
        <f>E64</f>
        <v>1055381.4750000001</v>
      </c>
      <c r="F65" s="5">
        <f>F64</f>
        <v>2070600000</v>
      </c>
    </row>
    <row r="66" spans="2:6" x14ac:dyDescent="0.2">
      <c r="B66" s="5" t="s">
        <v>81</v>
      </c>
      <c r="C66" s="5" t="s">
        <v>8</v>
      </c>
      <c r="D66" s="5" t="s">
        <v>46</v>
      </c>
      <c r="E66" s="15">
        <v>430845.34499999997</v>
      </c>
      <c r="F66" s="5">
        <v>2070900000</v>
      </c>
    </row>
    <row r="67" spans="2:6" x14ac:dyDescent="0.2">
      <c r="B67" s="5" t="s">
        <v>81</v>
      </c>
      <c r="C67" s="5">
        <v>105</v>
      </c>
      <c r="D67" s="5" t="s">
        <v>36</v>
      </c>
      <c r="E67" s="15">
        <v>276920</v>
      </c>
      <c r="F67" s="5">
        <v>2070900000</v>
      </c>
    </row>
    <row r="68" spans="2:6" x14ac:dyDescent="0.2">
      <c r="B68" s="5" t="s">
        <v>81</v>
      </c>
      <c r="C68" s="5">
        <v>111111</v>
      </c>
      <c r="D68" s="5" t="s">
        <v>106</v>
      </c>
      <c r="E68" s="15">
        <v>1130021</v>
      </c>
      <c r="F68" s="5">
        <v>2070900000</v>
      </c>
    </row>
    <row r="69" spans="2:6" x14ac:dyDescent="0.2">
      <c r="B69" s="5" t="str">
        <f>B68</f>
        <v>Service expenses</v>
      </c>
      <c r="C69" s="5" t="s">
        <v>34</v>
      </c>
      <c r="D69" s="5" t="s">
        <v>34</v>
      </c>
      <c r="E69" s="15">
        <f>SUM(E66:E68)</f>
        <v>1837786.345</v>
      </c>
      <c r="F69" s="5">
        <f>F68</f>
        <v>2070900000</v>
      </c>
    </row>
    <row r="70" spans="2:6" x14ac:dyDescent="0.2">
      <c r="B70" s="5" t="s">
        <v>9</v>
      </c>
      <c r="C70" s="5">
        <v>111111</v>
      </c>
      <c r="D70" s="5" t="s">
        <v>106</v>
      </c>
      <c r="E70" s="15">
        <v>7293.5450000000001</v>
      </c>
      <c r="F70" s="5">
        <v>2071000000</v>
      </c>
    </row>
    <row r="71" spans="2:6" x14ac:dyDescent="0.2">
      <c r="B71" s="5" t="str">
        <f>B70</f>
        <v>Charges and contributions</v>
      </c>
      <c r="C71" s="5" t="s">
        <v>34</v>
      </c>
      <c r="D71" s="5" t="s">
        <v>34</v>
      </c>
      <c r="E71" s="15">
        <f>E70</f>
        <v>7293.5450000000001</v>
      </c>
      <c r="F71" s="5">
        <f>F70</f>
        <v>2071000000</v>
      </c>
    </row>
    <row r="72" spans="2:6" x14ac:dyDescent="0.2">
      <c r="B72" s="5" t="s">
        <v>82</v>
      </c>
      <c r="C72" s="5">
        <v>1900</v>
      </c>
      <c r="D72" s="5" t="s">
        <v>56</v>
      </c>
      <c r="E72" s="15">
        <v>0</v>
      </c>
      <c r="F72" s="5">
        <v>2071100000</v>
      </c>
    </row>
    <row r="73" spans="2:6" x14ac:dyDescent="0.2">
      <c r="B73" s="5" t="s">
        <v>82</v>
      </c>
      <c r="C73" s="5">
        <v>111111</v>
      </c>
      <c r="D73" s="5" t="s">
        <v>106</v>
      </c>
      <c r="E73" s="15">
        <v>48468.665000000001</v>
      </c>
      <c r="F73" s="5">
        <v>2071100000</v>
      </c>
    </row>
    <row r="74" spans="2:6" x14ac:dyDescent="0.2">
      <c r="B74" s="5" t="str">
        <f>B73</f>
        <v>Insurance expenses</v>
      </c>
      <c r="C74" s="5" t="s">
        <v>34</v>
      </c>
      <c r="D74" s="5" t="s">
        <v>34</v>
      </c>
      <c r="E74" s="15">
        <f>+SUM(E72:E73)</f>
        <v>48468.665000000001</v>
      </c>
      <c r="F74" s="5">
        <f>F73</f>
        <v>2071100000</v>
      </c>
    </row>
    <row r="75" spans="2:6" x14ac:dyDescent="0.2">
      <c r="B75" s="5" t="s">
        <v>10</v>
      </c>
      <c r="C75" s="5" t="s">
        <v>21</v>
      </c>
      <c r="D75" s="5" t="s">
        <v>58</v>
      </c>
      <c r="E75" s="15">
        <v>23928.799999999999</v>
      </c>
      <c r="F75" s="5">
        <v>2071209200</v>
      </c>
    </row>
    <row r="76" spans="2:6" x14ac:dyDescent="0.2">
      <c r="B76" s="5" t="s">
        <v>10</v>
      </c>
      <c r="C76" s="5">
        <v>111111</v>
      </c>
      <c r="D76" s="5" t="s">
        <v>106</v>
      </c>
      <c r="E76" s="15">
        <v>2393259.19</v>
      </c>
      <c r="F76" s="5">
        <v>2071209200</v>
      </c>
    </row>
    <row r="77" spans="2:6" x14ac:dyDescent="0.2">
      <c r="B77" s="5" t="str">
        <f>B76</f>
        <v>Travel expenses</v>
      </c>
      <c r="C77" s="5" t="s">
        <v>34</v>
      </c>
      <c r="D77" s="5" t="s">
        <v>34</v>
      </c>
      <c r="E77" s="15">
        <f>E75+E76</f>
        <v>2417187.9899999998</v>
      </c>
      <c r="F77" s="5">
        <f>F76</f>
        <v>2071209200</v>
      </c>
    </row>
    <row r="78" spans="2:6" x14ac:dyDescent="0.2">
      <c r="B78" s="5" t="s">
        <v>83</v>
      </c>
      <c r="C78" s="5">
        <v>111111</v>
      </c>
      <c r="D78" s="5" t="s">
        <v>106</v>
      </c>
      <c r="E78" s="15">
        <v>23069.654999999999</v>
      </c>
      <c r="F78" s="5">
        <v>2071209400</v>
      </c>
    </row>
    <row r="79" spans="2:6" x14ac:dyDescent="0.2">
      <c r="B79" s="5" t="str">
        <f>B78</f>
        <v>Utility expenses</v>
      </c>
      <c r="C79" s="5" t="s">
        <v>34</v>
      </c>
      <c r="D79" s="5" t="s">
        <v>34</v>
      </c>
      <c r="E79" s="15">
        <f>+E78</f>
        <v>23069.654999999999</v>
      </c>
      <c r="F79" s="5">
        <f>F78</f>
        <v>2071209400</v>
      </c>
    </row>
    <row r="80" spans="2:6" x14ac:dyDescent="0.2">
      <c r="B80" s="5" t="s">
        <v>84</v>
      </c>
      <c r="C80" s="5">
        <v>111111</v>
      </c>
      <c r="D80" s="5" t="s">
        <v>106</v>
      </c>
      <c r="E80" s="15">
        <v>208366.935</v>
      </c>
      <c r="F80" s="5">
        <v>2071209500</v>
      </c>
    </row>
    <row r="81" spans="2:6" x14ac:dyDescent="0.2">
      <c r="B81" s="5" t="str">
        <f>B80</f>
        <v>Legal expenses</v>
      </c>
      <c r="C81" s="5" t="s">
        <v>34</v>
      </c>
      <c r="D81" s="5" t="s">
        <v>34</v>
      </c>
      <c r="E81" s="15">
        <f>+E80</f>
        <v>208366.935</v>
      </c>
      <c r="F81" s="5">
        <f>F80</f>
        <v>2071209500</v>
      </c>
    </row>
    <row r="82" spans="2:6" x14ac:dyDescent="0.2">
      <c r="B82" s="5" t="s">
        <v>22</v>
      </c>
      <c r="C82" s="5">
        <v>111111</v>
      </c>
      <c r="D82" s="5" t="s">
        <v>106</v>
      </c>
      <c r="E82" s="15">
        <v>308232</v>
      </c>
      <c r="F82" s="5">
        <v>2071220000</v>
      </c>
    </row>
    <row r="83" spans="2:6" x14ac:dyDescent="0.2">
      <c r="B83" s="5" t="str">
        <f>B82</f>
        <v>Losses fr disposal of PPE</v>
      </c>
      <c r="C83" s="5" t="s">
        <v>34</v>
      </c>
      <c r="D83" s="5" t="s">
        <v>34</v>
      </c>
      <c r="E83" s="15">
        <f>+E82</f>
        <v>308232</v>
      </c>
      <c r="F83" s="5">
        <f>F82</f>
        <v>2071220000</v>
      </c>
    </row>
    <row r="84" spans="2:6" x14ac:dyDescent="0.2">
      <c r="B84" s="5" t="s">
        <v>23</v>
      </c>
      <c r="C84" s="5">
        <v>19</v>
      </c>
      <c r="D84" s="5" t="s">
        <v>44</v>
      </c>
      <c r="E84" s="15">
        <v>13422.779999999999</v>
      </c>
      <c r="F84" s="5">
        <v>2071511000</v>
      </c>
    </row>
    <row r="85" spans="2:6" x14ac:dyDescent="0.2">
      <c r="B85" s="5" t="s">
        <v>23</v>
      </c>
      <c r="C85" s="5">
        <v>111111</v>
      </c>
      <c r="D85" s="5" t="s">
        <v>106</v>
      </c>
      <c r="E85" s="15">
        <v>4045.6150000000002</v>
      </c>
      <c r="F85" s="5">
        <v>2071511000</v>
      </c>
    </row>
    <row r="86" spans="2:6" x14ac:dyDescent="0.2">
      <c r="B86" s="5" t="str">
        <f>B85</f>
        <v>Other operative currency differences</v>
      </c>
      <c r="C86" s="5" t="s">
        <v>34</v>
      </c>
      <c r="D86" s="5" t="s">
        <v>34</v>
      </c>
      <c r="E86" s="15">
        <f>+E84+E85</f>
        <v>17468.395</v>
      </c>
      <c r="F86" s="5">
        <f>F85</f>
        <v>2071511000</v>
      </c>
    </row>
    <row r="87" spans="2:6" x14ac:dyDescent="0.2">
      <c r="B87" s="5" t="s">
        <v>24</v>
      </c>
      <c r="C87" s="5">
        <v>111111</v>
      </c>
      <c r="D87" s="5" t="s">
        <v>106</v>
      </c>
      <c r="E87" s="15">
        <v>49621.144999999997</v>
      </c>
      <c r="F87" s="5">
        <v>2071910000</v>
      </c>
    </row>
    <row r="88" spans="2:6" x14ac:dyDescent="0.2">
      <c r="B88" s="5" t="str">
        <f>B87</f>
        <v>Property tax</v>
      </c>
      <c r="C88" s="5" t="s">
        <v>34</v>
      </c>
      <c r="D88" s="5" t="s">
        <v>34</v>
      </c>
      <c r="E88" s="15">
        <f>+E87</f>
        <v>49621.144999999997</v>
      </c>
      <c r="F88" s="5">
        <f>F87</f>
        <v>2071910000</v>
      </c>
    </row>
    <row r="89" spans="2:6" x14ac:dyDescent="0.2">
      <c r="B89" s="5" t="s">
        <v>85</v>
      </c>
      <c r="C89" s="5">
        <v>111101</v>
      </c>
      <c r="D89" s="5" t="s">
        <v>2</v>
      </c>
      <c r="E89" s="15">
        <v>20323.309999999998</v>
      </c>
      <c r="F89" s="5">
        <v>2071980000</v>
      </c>
    </row>
    <row r="90" spans="2:6" x14ac:dyDescent="0.2">
      <c r="B90" s="5" t="str">
        <f>B89</f>
        <v>Misc costs</v>
      </c>
      <c r="C90" s="5" t="s">
        <v>34</v>
      </c>
      <c r="D90" s="5" t="s">
        <v>34</v>
      </c>
      <c r="E90" s="15">
        <f>+E89</f>
        <v>20323.309999999998</v>
      </c>
      <c r="F90" s="5">
        <f>F89</f>
        <v>2071980000</v>
      </c>
    </row>
    <row r="91" spans="2:6" x14ac:dyDescent="0.2">
      <c r="B91" s="5" t="s">
        <v>86</v>
      </c>
      <c r="C91" s="5">
        <v>111111</v>
      </c>
      <c r="D91" s="5" t="s">
        <v>106</v>
      </c>
      <c r="E91" s="15">
        <v>169489</v>
      </c>
      <c r="F91" s="5">
        <v>2079022000</v>
      </c>
    </row>
    <row r="92" spans="2:6" x14ac:dyDescent="0.2">
      <c r="B92" s="5" t="str">
        <f>B91</f>
        <v>Consulting fees</v>
      </c>
      <c r="C92" s="5" t="s">
        <v>34</v>
      </c>
      <c r="D92" s="5" t="s">
        <v>34</v>
      </c>
      <c r="E92" s="15">
        <f>+E91</f>
        <v>169489</v>
      </c>
      <c r="F92" s="5">
        <f>F91</f>
        <v>2079022000</v>
      </c>
    </row>
    <row r="93" spans="2:6" x14ac:dyDescent="0.2">
      <c r="B93" s="5" t="s">
        <v>87</v>
      </c>
      <c r="C93" s="5">
        <v>19</v>
      </c>
      <c r="D93" s="5" t="s">
        <v>44</v>
      </c>
      <c r="E93" s="15">
        <v>85462.684999999998</v>
      </c>
      <c r="F93" s="5">
        <v>2079070000</v>
      </c>
    </row>
    <row r="94" spans="2:6" x14ac:dyDescent="0.2">
      <c r="B94" s="5" t="s">
        <v>87</v>
      </c>
      <c r="C94" s="5" t="s">
        <v>7</v>
      </c>
      <c r="D94" s="5" t="s">
        <v>45</v>
      </c>
      <c r="E94" s="15">
        <v>11422.144999999999</v>
      </c>
      <c r="F94" s="5">
        <v>2079070000</v>
      </c>
    </row>
    <row r="95" spans="2:6" x14ac:dyDescent="0.2">
      <c r="B95" s="5" t="s">
        <v>87</v>
      </c>
      <c r="C95" s="5" t="s">
        <v>14</v>
      </c>
      <c r="D95" s="5" t="s">
        <v>39</v>
      </c>
      <c r="E95" s="15">
        <v>84438.864999999991</v>
      </c>
      <c r="F95" s="5">
        <v>2079070000</v>
      </c>
    </row>
    <row r="96" spans="2:6" x14ac:dyDescent="0.2">
      <c r="B96" s="5" t="s">
        <v>87</v>
      </c>
      <c r="C96" s="5">
        <v>111111</v>
      </c>
      <c r="D96" s="5" t="s">
        <v>106</v>
      </c>
      <c r="E96" s="15">
        <v>638869.13</v>
      </c>
      <c r="F96" s="5">
        <v>2079070000</v>
      </c>
    </row>
    <row r="97" spans="2:6" x14ac:dyDescent="0.2">
      <c r="B97" s="5" t="str">
        <f>B96</f>
        <v>Misc extraordinary expenses</v>
      </c>
      <c r="C97" s="5" t="s">
        <v>34</v>
      </c>
      <c r="D97" s="5" t="s">
        <v>34</v>
      </c>
      <c r="E97" s="15">
        <f>+SUM(E93:E96)</f>
        <v>820192.82499999995</v>
      </c>
      <c r="F97" s="5">
        <f>F96</f>
        <v>2079070000</v>
      </c>
    </row>
    <row r="98" spans="2:6" x14ac:dyDescent="0.2">
      <c r="B98" s="5" t="s">
        <v>88</v>
      </c>
      <c r="C98" s="5" t="s">
        <v>12</v>
      </c>
      <c r="D98" s="5" t="s">
        <v>50</v>
      </c>
      <c r="E98" s="15">
        <v>0</v>
      </c>
      <c r="F98" s="5">
        <v>2079080000</v>
      </c>
    </row>
    <row r="99" spans="2:6" x14ac:dyDescent="0.2">
      <c r="B99" s="5" t="s">
        <v>88</v>
      </c>
      <c r="C99" s="5">
        <v>1007</v>
      </c>
      <c r="D99" s="5" t="s">
        <v>40</v>
      </c>
      <c r="E99" s="15">
        <v>0</v>
      </c>
      <c r="F99" s="5">
        <v>2079080000</v>
      </c>
    </row>
    <row r="100" spans="2:6" x14ac:dyDescent="0.2">
      <c r="B100" s="5" t="s">
        <v>88</v>
      </c>
      <c r="C100" s="5">
        <v>1008</v>
      </c>
      <c r="D100" s="5" t="s">
        <v>42</v>
      </c>
      <c r="E100" s="15">
        <v>0</v>
      </c>
      <c r="F100" s="5">
        <v>2079080000</v>
      </c>
    </row>
    <row r="101" spans="2:6" x14ac:dyDescent="0.2">
      <c r="B101" s="5" t="str">
        <f>B100</f>
        <v>Difference from eliminations</v>
      </c>
      <c r="C101" s="5" t="s">
        <v>34</v>
      </c>
      <c r="D101" s="5" t="s">
        <v>34</v>
      </c>
      <c r="E101" s="15">
        <f>+SUM(E98:E100)</f>
        <v>0</v>
      </c>
      <c r="F101" s="5">
        <f>F100</f>
        <v>2079080000</v>
      </c>
    </row>
    <row r="102" spans="2:6" x14ac:dyDescent="0.2">
      <c r="B102" s="5" t="s">
        <v>89</v>
      </c>
      <c r="C102" s="5" t="s">
        <v>12</v>
      </c>
      <c r="D102" s="5" t="s">
        <v>50</v>
      </c>
      <c r="E102" s="15">
        <v>0</v>
      </c>
      <c r="F102" s="5">
        <v>2082280000</v>
      </c>
    </row>
    <row r="103" spans="2:6" x14ac:dyDescent="0.2">
      <c r="B103" s="5" t="s">
        <v>89</v>
      </c>
      <c r="C103" s="5">
        <v>1009</v>
      </c>
      <c r="D103" s="5" t="s">
        <v>38</v>
      </c>
      <c r="E103" s="15">
        <v>0</v>
      </c>
      <c r="F103" s="5">
        <v>2082280000</v>
      </c>
    </row>
    <row r="104" spans="2:6" x14ac:dyDescent="0.2">
      <c r="B104" s="5" t="s">
        <v>89</v>
      </c>
      <c r="C104" s="5">
        <v>1007</v>
      </c>
      <c r="D104" s="5" t="s">
        <v>40</v>
      </c>
      <c r="E104" s="15">
        <v>0</v>
      </c>
      <c r="F104" s="5">
        <v>2082280000</v>
      </c>
    </row>
    <row r="105" spans="2:6" x14ac:dyDescent="0.2">
      <c r="B105" s="5" t="s">
        <v>89</v>
      </c>
      <c r="C105" s="5">
        <v>1008</v>
      </c>
      <c r="D105" s="5" t="s">
        <v>42</v>
      </c>
      <c r="E105" s="15">
        <v>0</v>
      </c>
      <c r="F105" s="5">
        <v>2082280000</v>
      </c>
    </row>
    <row r="106" spans="2:6" x14ac:dyDescent="0.2">
      <c r="B106" s="5" t="s">
        <v>89</v>
      </c>
      <c r="C106" s="5">
        <v>1240</v>
      </c>
      <c r="D106" s="5" t="s">
        <v>47</v>
      </c>
      <c r="E106" s="15">
        <v>-34224.959999999999</v>
      </c>
      <c r="F106" s="5">
        <v>2082280000</v>
      </c>
    </row>
    <row r="107" spans="2:6" x14ac:dyDescent="0.2">
      <c r="B107" s="5" t="s">
        <v>89</v>
      </c>
      <c r="C107" s="5">
        <v>1006</v>
      </c>
      <c r="D107" s="5" t="s">
        <v>57</v>
      </c>
      <c r="E107" s="15">
        <v>-6778.415</v>
      </c>
      <c r="F107" s="5">
        <v>2082280000</v>
      </c>
    </row>
    <row r="108" spans="2:6" x14ac:dyDescent="0.2">
      <c r="B108" s="5" t="s">
        <v>89</v>
      </c>
      <c r="C108" s="5">
        <v>1007</v>
      </c>
      <c r="D108" s="5" t="s">
        <v>41</v>
      </c>
      <c r="E108" s="15">
        <v>0</v>
      </c>
      <c r="F108" s="5">
        <v>2082280000</v>
      </c>
    </row>
    <row r="109" spans="2:6" x14ac:dyDescent="0.2">
      <c r="B109" s="5" t="s">
        <v>89</v>
      </c>
      <c r="C109" s="5">
        <v>111111</v>
      </c>
      <c r="D109" s="5" t="s">
        <v>106</v>
      </c>
      <c r="E109" s="15">
        <v>-2204.7199999999998</v>
      </c>
      <c r="F109" s="5">
        <v>2082280000</v>
      </c>
    </row>
    <row r="110" spans="2:6" x14ac:dyDescent="0.2">
      <c r="B110" s="5" t="str">
        <f>B109</f>
        <v>Interest income</v>
      </c>
      <c r="C110" s="5" t="s">
        <v>34</v>
      </c>
      <c r="D110" s="5" t="s">
        <v>34</v>
      </c>
      <c r="E110" s="15">
        <f>+SUM(E98:E109)</f>
        <v>-43208.095000000001</v>
      </c>
      <c r="F110" s="5">
        <f>F109</f>
        <v>2082280000</v>
      </c>
    </row>
    <row r="111" spans="2:6" x14ac:dyDescent="0.2">
      <c r="B111" s="5" t="s">
        <v>90</v>
      </c>
      <c r="C111" s="5">
        <v>111101</v>
      </c>
      <c r="D111" s="5" t="s">
        <v>2</v>
      </c>
      <c r="E111" s="15">
        <v>80617.179999999993</v>
      </c>
      <c r="F111" s="5">
        <v>2082208200</v>
      </c>
    </row>
    <row r="112" spans="2:6" x14ac:dyDescent="0.2">
      <c r="B112" s="5" t="str">
        <f>B111</f>
        <v>Non-recurring costs</v>
      </c>
      <c r="C112" s="5" t="s">
        <v>34</v>
      </c>
      <c r="D112" s="5" t="s">
        <v>34</v>
      </c>
      <c r="E112" s="15">
        <f>+E111</f>
        <v>80617.179999999993</v>
      </c>
      <c r="F112" s="5">
        <f>F111</f>
        <v>2082208200</v>
      </c>
    </row>
    <row r="113" spans="2:6" x14ac:dyDescent="0.2">
      <c r="B113" s="5" t="s">
        <v>91</v>
      </c>
      <c r="C113" s="5">
        <v>88</v>
      </c>
      <c r="D113" s="5" t="s">
        <v>35</v>
      </c>
      <c r="E113" s="15">
        <v>2752704.22</v>
      </c>
      <c r="F113" s="5">
        <v>2082214000</v>
      </c>
    </row>
    <row r="114" spans="2:6" x14ac:dyDescent="0.2">
      <c r="B114" s="5" t="s">
        <v>91</v>
      </c>
      <c r="C114" s="5">
        <v>1007</v>
      </c>
      <c r="D114" s="5" t="s">
        <v>41</v>
      </c>
      <c r="E114" s="15">
        <v>0</v>
      </c>
      <c r="F114" s="5">
        <v>2082214000</v>
      </c>
    </row>
    <row r="115" spans="2:6" x14ac:dyDescent="0.2">
      <c r="B115" s="5" t="s">
        <v>91</v>
      </c>
      <c r="C115" s="5">
        <v>111111</v>
      </c>
      <c r="D115" s="5" t="s">
        <v>106</v>
      </c>
      <c r="E115" s="15">
        <v>1250.7950000000001</v>
      </c>
      <c r="F115" s="5">
        <v>2082214000</v>
      </c>
    </row>
    <row r="116" spans="2:6" x14ac:dyDescent="0.2">
      <c r="B116" s="5" t="str">
        <f>B115</f>
        <v>Interest expenses</v>
      </c>
      <c r="C116" s="5" t="s">
        <v>34</v>
      </c>
      <c r="D116" s="5" t="s">
        <v>34</v>
      </c>
      <c r="E116" s="15">
        <f>+SUM(E113:E115)</f>
        <v>2753955.0150000001</v>
      </c>
      <c r="F116" s="5">
        <f>F115</f>
        <v>2082214000</v>
      </c>
    </row>
    <row r="117" spans="2:6" x14ac:dyDescent="0.2">
      <c r="B117" s="5" t="s">
        <v>109</v>
      </c>
      <c r="C117" s="5">
        <v>1240</v>
      </c>
      <c r="D117" s="5" t="s">
        <v>47</v>
      </c>
      <c r="E117" s="15">
        <v>4130000</v>
      </c>
      <c r="F117" s="5">
        <v>2082110000</v>
      </c>
    </row>
    <row r="118" spans="2:6" x14ac:dyDescent="0.2">
      <c r="B118" s="5" t="str">
        <f>B117</f>
        <v>Impairment of participation</v>
      </c>
      <c r="C118" s="5" t="s">
        <v>34</v>
      </c>
      <c r="D118" s="5" t="s">
        <v>34</v>
      </c>
      <c r="E118" s="15">
        <f>E117</f>
        <v>4130000</v>
      </c>
      <c r="F118" s="5">
        <f>F117</f>
        <v>2082110000</v>
      </c>
    </row>
    <row r="119" spans="2:6" x14ac:dyDescent="0.2">
      <c r="B119" s="5" t="s">
        <v>92</v>
      </c>
      <c r="C119" s="5">
        <v>111101</v>
      </c>
      <c r="D119" s="5" t="s">
        <v>2</v>
      </c>
      <c r="E119" s="15">
        <v>496748.70000000007</v>
      </c>
      <c r="F119" s="5">
        <v>2091200000</v>
      </c>
    </row>
    <row r="120" spans="2:6" x14ac:dyDescent="0.2">
      <c r="B120" s="5" t="str">
        <f>B119</f>
        <v>Current taxes</v>
      </c>
      <c r="C120" s="5" t="s">
        <v>34</v>
      </c>
      <c r="D120" s="5" t="s">
        <v>34</v>
      </c>
      <c r="E120" s="15">
        <f>+E119</f>
        <v>496748.70000000007</v>
      </c>
      <c r="F120" s="5">
        <f>F119</f>
        <v>2091200000</v>
      </c>
    </row>
    <row r="121" spans="2:6" x14ac:dyDescent="0.2">
      <c r="B121" s="5" t="s">
        <v>93</v>
      </c>
      <c r="C121" s="5">
        <v>111101</v>
      </c>
      <c r="D121" s="5" t="s">
        <v>2</v>
      </c>
      <c r="E121" s="15">
        <v>480872.96000000002</v>
      </c>
      <c r="F121" s="5">
        <v>2091200001</v>
      </c>
    </row>
    <row r="122" spans="2:6" x14ac:dyDescent="0.2">
      <c r="B122" s="5" t="str">
        <f>B121</f>
        <v>Regional taxes</v>
      </c>
      <c r="C122" s="5" t="s">
        <v>34</v>
      </c>
      <c r="D122" s="5" t="s">
        <v>34</v>
      </c>
      <c r="E122" s="15">
        <f>E121</f>
        <v>480872.96000000002</v>
      </c>
      <c r="F122" s="5">
        <f>F121</f>
        <v>2091200001</v>
      </c>
    </row>
    <row r="123" spans="2:6" x14ac:dyDescent="0.2">
      <c r="B123" s="5" t="s">
        <v>25</v>
      </c>
      <c r="C123" s="5">
        <v>111101</v>
      </c>
      <c r="D123" s="5" t="s">
        <v>2</v>
      </c>
      <c r="E123" s="15">
        <v>0</v>
      </c>
      <c r="F123" s="5">
        <v>2091900000</v>
      </c>
    </row>
    <row r="124" spans="2:6" x14ac:dyDescent="0.2">
      <c r="B124" s="5" t="str">
        <f>B123</f>
        <v>Quarterly changes in current taxes</v>
      </c>
      <c r="C124" s="5" t="s">
        <v>34</v>
      </c>
      <c r="D124" s="5" t="s">
        <v>34</v>
      </c>
      <c r="E124" s="15">
        <f>E123</f>
        <v>0</v>
      </c>
      <c r="F124" s="5">
        <f>F123</f>
        <v>2091900000</v>
      </c>
    </row>
    <row r="125" spans="2:6" x14ac:dyDescent="0.2">
      <c r="B125" s="5" t="s">
        <v>94</v>
      </c>
      <c r="C125" s="5">
        <v>111101</v>
      </c>
      <c r="D125" s="5" t="s">
        <v>2</v>
      </c>
      <c r="E125" s="15">
        <v>6570.3050000000003</v>
      </c>
      <c r="F125" s="5">
        <v>2092200000</v>
      </c>
    </row>
    <row r="126" spans="2:6" x14ac:dyDescent="0.2">
      <c r="B126" s="5" t="str">
        <f>B125</f>
        <v>Deferred taxes</v>
      </c>
      <c r="C126" s="5" t="s">
        <v>34</v>
      </c>
      <c r="D126" s="5" t="s">
        <v>34</v>
      </c>
      <c r="E126" s="15">
        <f>E125</f>
        <v>6570.3050000000003</v>
      </c>
      <c r="F126" s="5">
        <f>F125</f>
        <v>2092200000</v>
      </c>
    </row>
    <row r="127" spans="2:6" x14ac:dyDescent="0.2">
      <c r="B127" s="16" t="s">
        <v>67</v>
      </c>
      <c r="C127" s="16">
        <v>111101</v>
      </c>
      <c r="D127" s="16" t="s">
        <v>2</v>
      </c>
      <c r="E127" s="17">
        <v>6073808.1600000001</v>
      </c>
      <c r="F127" s="16">
        <v>2111111999</v>
      </c>
    </row>
    <row r="128" spans="2:6" x14ac:dyDescent="0.2">
      <c r="C128" s="5"/>
    </row>
    <row r="129" spans="3:3" x14ac:dyDescent="0.2">
      <c r="C129" s="5"/>
    </row>
    <row r="130" spans="3:3" x14ac:dyDescent="0.2">
      <c r="C130" s="5"/>
    </row>
    <row r="131" spans="3:3" x14ac:dyDescent="0.2">
      <c r="C131" s="5"/>
    </row>
    <row r="132" spans="3:3" x14ac:dyDescent="0.2">
      <c r="C132" s="5"/>
    </row>
    <row r="133" spans="3:3" x14ac:dyDescent="0.2">
      <c r="C133" s="5"/>
    </row>
    <row r="134" spans="3:3" x14ac:dyDescent="0.2">
      <c r="C134" s="5"/>
    </row>
    <row r="135" spans="3:3" x14ac:dyDescent="0.2">
      <c r="C135" s="5"/>
    </row>
    <row r="136" spans="3:3" x14ac:dyDescent="0.2">
      <c r="C136" s="5"/>
    </row>
    <row r="137" spans="3:3" x14ac:dyDescent="0.2">
      <c r="C137" s="5"/>
    </row>
    <row r="138" spans="3:3" x14ac:dyDescent="0.2">
      <c r="C138" s="5"/>
    </row>
    <row r="139" spans="3:3" x14ac:dyDescent="0.2">
      <c r="C139" s="5"/>
    </row>
    <row r="140" spans="3:3" x14ac:dyDescent="0.2">
      <c r="C140" s="5"/>
    </row>
    <row r="141" spans="3:3" x14ac:dyDescent="0.2">
      <c r="C141" s="5"/>
    </row>
    <row r="142" spans="3:3" x14ac:dyDescent="0.2">
      <c r="C142" s="5"/>
    </row>
    <row r="143" spans="3:3" x14ac:dyDescent="0.2">
      <c r="C143" s="5"/>
    </row>
    <row r="144" spans="3:3" x14ac:dyDescent="0.2">
      <c r="C144" s="5"/>
    </row>
    <row r="145" spans="3:3" x14ac:dyDescent="0.2">
      <c r="C145" s="5"/>
    </row>
    <row r="146" spans="3:3" x14ac:dyDescent="0.2">
      <c r="C146" s="5"/>
    </row>
    <row r="147" spans="3:3" x14ac:dyDescent="0.2">
      <c r="C147" s="5"/>
    </row>
    <row r="148" spans="3:3" x14ac:dyDescent="0.2">
      <c r="C148" s="5"/>
    </row>
    <row r="149" spans="3:3" x14ac:dyDescent="0.2">
      <c r="C149" s="5"/>
    </row>
    <row r="150" spans="3:3" x14ac:dyDescent="0.2">
      <c r="C150" s="5"/>
    </row>
    <row r="151" spans="3:3" x14ac:dyDescent="0.2">
      <c r="C151" s="5"/>
    </row>
    <row r="152" spans="3:3" x14ac:dyDescent="0.2">
      <c r="C152" s="5"/>
    </row>
    <row r="153" spans="3:3" x14ac:dyDescent="0.2">
      <c r="C153" s="5"/>
    </row>
    <row r="154" spans="3:3" x14ac:dyDescent="0.2">
      <c r="C154" s="5"/>
    </row>
    <row r="155" spans="3:3" x14ac:dyDescent="0.2">
      <c r="C155" s="5"/>
    </row>
    <row r="156" spans="3:3" x14ac:dyDescent="0.2">
      <c r="C156" s="5"/>
    </row>
    <row r="157" spans="3:3" x14ac:dyDescent="0.2">
      <c r="C157" s="5"/>
    </row>
    <row r="158" spans="3:3" x14ac:dyDescent="0.2">
      <c r="C158" s="5"/>
    </row>
    <row r="159" spans="3:3" x14ac:dyDescent="0.2">
      <c r="C159" s="5"/>
    </row>
    <row r="160" spans="3:3" x14ac:dyDescent="0.2">
      <c r="C160" s="5"/>
    </row>
    <row r="161" spans="3:3" x14ac:dyDescent="0.2">
      <c r="C161" s="5"/>
    </row>
    <row r="162" spans="3:3" x14ac:dyDescent="0.2">
      <c r="C162" s="5"/>
    </row>
    <row r="163" spans="3:3" x14ac:dyDescent="0.2">
      <c r="C163" s="5"/>
    </row>
    <row r="164" spans="3:3" x14ac:dyDescent="0.2">
      <c r="C164" s="5"/>
    </row>
    <row r="165" spans="3:3" x14ac:dyDescent="0.2">
      <c r="C165" s="5"/>
    </row>
    <row r="166" spans="3:3" x14ac:dyDescent="0.2">
      <c r="C166" s="5"/>
    </row>
    <row r="167" spans="3:3" x14ac:dyDescent="0.2">
      <c r="C167" s="5"/>
    </row>
    <row r="168" spans="3:3" x14ac:dyDescent="0.2">
      <c r="C168" s="5"/>
    </row>
    <row r="169" spans="3:3" x14ac:dyDescent="0.2">
      <c r="C169" s="5"/>
    </row>
    <row r="170" spans="3:3" x14ac:dyDescent="0.2">
      <c r="C170" s="5"/>
    </row>
  </sheetData>
  <autoFilter ref="B4:F127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F154"/>
  <sheetViews>
    <sheetView workbookViewId="0">
      <selection activeCell="B3" sqref="B3"/>
    </sheetView>
  </sheetViews>
  <sheetFormatPr defaultColWidth="9.140625" defaultRowHeight="12" x14ac:dyDescent="0.2"/>
  <cols>
    <col min="1" max="1" width="2" style="2" customWidth="1"/>
    <col min="2" max="2" width="29.5703125" style="2" customWidth="1"/>
    <col min="3" max="3" width="22.140625" style="2" customWidth="1"/>
    <col min="4" max="4" width="30.85546875" style="2" bestFit="1" customWidth="1"/>
    <col min="5" max="5" width="11.5703125" style="2" bestFit="1" customWidth="1"/>
    <col min="6" max="6" width="12" style="2" bestFit="1" customWidth="1"/>
    <col min="7" max="16384" width="9.140625" style="2"/>
  </cols>
  <sheetData>
    <row r="1" spans="2:6" ht="15.75" x14ac:dyDescent="0.25">
      <c r="B1" s="3" t="s">
        <v>117</v>
      </c>
    </row>
    <row r="4" spans="2:6" x14ac:dyDescent="0.2">
      <c r="C4" s="2" t="s">
        <v>1</v>
      </c>
      <c r="F4" s="2" t="s">
        <v>0</v>
      </c>
    </row>
    <row r="5" spans="2:6" x14ac:dyDescent="0.2">
      <c r="B5" s="5" t="s">
        <v>68</v>
      </c>
      <c r="C5" s="5">
        <v>105</v>
      </c>
      <c r="D5" s="5" t="s">
        <v>36</v>
      </c>
      <c r="E5" s="18">
        <v>-616462.01899999997</v>
      </c>
      <c r="F5" s="5">
        <v>2001110000</v>
      </c>
    </row>
    <row r="6" spans="2:6" x14ac:dyDescent="0.2">
      <c r="B6" s="2" t="s">
        <v>68</v>
      </c>
      <c r="C6" s="5">
        <v>111111</v>
      </c>
      <c r="D6" s="2" t="s">
        <v>106</v>
      </c>
      <c r="E6" s="19">
        <v>-14431341</v>
      </c>
      <c r="F6" s="5">
        <v>2001110000</v>
      </c>
    </row>
    <row r="7" spans="2:6" x14ac:dyDescent="0.2">
      <c r="B7" s="2" t="str">
        <f>B6</f>
        <v>Core business revenues</v>
      </c>
      <c r="C7" s="5" t="s">
        <v>34</v>
      </c>
      <c r="D7" s="2" t="s">
        <v>34</v>
      </c>
      <c r="E7" s="19">
        <f>+SUM(E5:E6)</f>
        <v>-15047803.018999999</v>
      </c>
      <c r="F7" s="5">
        <f>F6</f>
        <v>2001110000</v>
      </c>
    </row>
    <row r="8" spans="2:6" x14ac:dyDescent="0.2">
      <c r="B8" s="5" t="s">
        <v>69</v>
      </c>
      <c r="C8" s="5">
        <v>111111</v>
      </c>
      <c r="D8" s="5" t="s">
        <v>106</v>
      </c>
      <c r="E8" s="15">
        <v>-6373617.5140000004</v>
      </c>
      <c r="F8" s="5">
        <v>2001190000</v>
      </c>
    </row>
    <row r="9" spans="2:6" x14ac:dyDescent="0.2">
      <c r="B9" s="2" t="str">
        <f>B8</f>
        <v>Other revenues</v>
      </c>
      <c r="C9" s="5" t="s">
        <v>34</v>
      </c>
      <c r="D9" s="2" t="s">
        <v>34</v>
      </c>
      <c r="E9" s="19">
        <f>E8</f>
        <v>-6373617.5140000004</v>
      </c>
      <c r="F9" s="5">
        <f>F8</f>
        <v>2001190000</v>
      </c>
    </row>
    <row r="10" spans="2:6" x14ac:dyDescent="0.2">
      <c r="B10" s="5" t="s">
        <v>110</v>
      </c>
      <c r="C10" s="5">
        <v>111111</v>
      </c>
      <c r="D10" s="5" t="s">
        <v>106</v>
      </c>
      <c r="E10" s="15">
        <v>20504.509999999998</v>
      </c>
      <c r="F10" s="5">
        <v>2021210000</v>
      </c>
    </row>
    <row r="11" spans="2:6" x14ac:dyDescent="0.2">
      <c r="B11" s="2" t="str">
        <f>B10</f>
        <v xml:space="preserve">Utility charges </v>
      </c>
      <c r="C11" s="5" t="s">
        <v>34</v>
      </c>
      <c r="D11" s="2" t="s">
        <v>34</v>
      </c>
      <c r="E11" s="19">
        <f>E10</f>
        <v>20504.509999999998</v>
      </c>
      <c r="F11" s="5">
        <f>F10</f>
        <v>2021210000</v>
      </c>
    </row>
    <row r="12" spans="2:6" x14ac:dyDescent="0.2">
      <c r="B12" s="5" t="s">
        <v>107</v>
      </c>
      <c r="C12" s="5">
        <v>111111</v>
      </c>
      <c r="D12" s="5" t="s">
        <v>106</v>
      </c>
      <c r="E12" s="15">
        <v>5674152.0669999998</v>
      </c>
      <c r="F12" s="5">
        <v>2021900000</v>
      </c>
    </row>
    <row r="13" spans="2:6" x14ac:dyDescent="0.2">
      <c r="B13" s="2" t="str">
        <f>B12</f>
        <v>Direct costs</v>
      </c>
      <c r="C13" s="5" t="s">
        <v>34</v>
      </c>
      <c r="D13" s="2" t="s">
        <v>34</v>
      </c>
      <c r="E13" s="19">
        <f>E12</f>
        <v>5674152.0669999998</v>
      </c>
      <c r="F13" s="5">
        <f>F12</f>
        <v>2021900000</v>
      </c>
    </row>
    <row r="14" spans="2:6" x14ac:dyDescent="0.2">
      <c r="B14" s="5" t="s">
        <v>26</v>
      </c>
      <c r="C14" s="5">
        <v>111111</v>
      </c>
      <c r="D14" s="5" t="s">
        <v>106</v>
      </c>
      <c r="E14" s="15">
        <v>13691.949999999999</v>
      </c>
      <c r="F14" s="5">
        <v>2024020000</v>
      </c>
    </row>
    <row r="15" spans="2:6" x14ac:dyDescent="0.2">
      <c r="B15" s="2" t="str">
        <f>B14</f>
        <v>Operating expenses for utilities</v>
      </c>
      <c r="C15" s="5" t="s">
        <v>34</v>
      </c>
      <c r="D15" s="2" t="s">
        <v>34</v>
      </c>
      <c r="E15" s="19">
        <f>E14</f>
        <v>13691.949999999999</v>
      </c>
      <c r="F15" s="5">
        <f>F14</f>
        <v>2024020000</v>
      </c>
    </row>
    <row r="16" spans="2:6" x14ac:dyDescent="0.2">
      <c r="B16" s="5" t="s">
        <v>72</v>
      </c>
      <c r="C16" s="5">
        <v>111111</v>
      </c>
      <c r="D16" s="5" t="s">
        <v>106</v>
      </c>
      <c r="E16" s="15">
        <v>350370.99399999995</v>
      </c>
      <c r="F16" s="5">
        <v>2024080000</v>
      </c>
    </row>
    <row r="17" spans="2:6" x14ac:dyDescent="0.2">
      <c r="B17" s="2" t="str">
        <f>B16</f>
        <v>Freight outbound expenses</v>
      </c>
      <c r="C17" s="5" t="s">
        <v>34</v>
      </c>
      <c r="D17" s="2" t="s">
        <v>34</v>
      </c>
      <c r="E17" s="19">
        <f>E16</f>
        <v>350370.99399999995</v>
      </c>
      <c r="F17" s="5">
        <f>F16</f>
        <v>2024080000</v>
      </c>
    </row>
    <row r="18" spans="2:6" x14ac:dyDescent="0.2">
      <c r="B18" s="5" t="s">
        <v>71</v>
      </c>
      <c r="C18" s="5">
        <v>88</v>
      </c>
      <c r="D18" s="5" t="s">
        <v>35</v>
      </c>
      <c r="E18" s="15">
        <v>3116017.1540000001</v>
      </c>
      <c r="F18" s="5">
        <v>2024090000</v>
      </c>
    </row>
    <row r="19" spans="2:6" x14ac:dyDescent="0.2">
      <c r="B19" s="5" t="s">
        <v>71</v>
      </c>
      <c r="C19" s="5" t="s">
        <v>13</v>
      </c>
      <c r="D19" s="5" t="s">
        <v>37</v>
      </c>
      <c r="E19" s="15">
        <v>0</v>
      </c>
      <c r="F19" s="5">
        <v>2024090000</v>
      </c>
    </row>
    <row r="20" spans="2:6" x14ac:dyDescent="0.2">
      <c r="B20" s="5" t="s">
        <v>71</v>
      </c>
      <c r="C20" s="5" t="s">
        <v>14</v>
      </c>
      <c r="D20" s="5" t="s">
        <v>39</v>
      </c>
      <c r="E20" s="15">
        <v>673.34299999999985</v>
      </c>
      <c r="F20" s="5">
        <v>2024090000</v>
      </c>
    </row>
    <row r="21" spans="2:6" x14ac:dyDescent="0.2">
      <c r="B21" s="5" t="s">
        <v>71</v>
      </c>
      <c r="C21" s="5" t="s">
        <v>27</v>
      </c>
      <c r="D21" s="5" t="s">
        <v>51</v>
      </c>
      <c r="E21" s="15">
        <v>192017.14499999996</v>
      </c>
      <c r="F21" s="5">
        <v>2024090000</v>
      </c>
    </row>
    <row r="22" spans="2:6" x14ac:dyDescent="0.2">
      <c r="B22" s="5" t="s">
        <v>71</v>
      </c>
      <c r="C22" s="5" t="s">
        <v>8</v>
      </c>
      <c r="D22" s="5" t="s">
        <v>46</v>
      </c>
      <c r="E22" s="15">
        <v>375290.46599999996</v>
      </c>
      <c r="F22" s="5">
        <v>2024090000</v>
      </c>
    </row>
    <row r="23" spans="2:6" x14ac:dyDescent="0.2">
      <c r="B23" s="5" t="s">
        <v>71</v>
      </c>
      <c r="C23" s="5">
        <v>17000</v>
      </c>
      <c r="D23" s="5" t="s">
        <v>53</v>
      </c>
      <c r="E23" s="15">
        <v>4920</v>
      </c>
      <c r="F23" s="5">
        <v>2024090000</v>
      </c>
    </row>
    <row r="24" spans="2:6" x14ac:dyDescent="0.2">
      <c r="B24" s="5" t="s">
        <v>71</v>
      </c>
      <c r="C24" s="5">
        <v>111111</v>
      </c>
      <c r="D24" s="5" t="s">
        <v>106</v>
      </c>
      <c r="E24" s="15">
        <v>9783.7069999999985</v>
      </c>
      <c r="F24" s="5">
        <v>2024090000</v>
      </c>
    </row>
    <row r="25" spans="2:6" x14ac:dyDescent="0.2">
      <c r="B25" s="2" t="str">
        <f>B24</f>
        <v>R&amp;D expenses</v>
      </c>
      <c r="C25" s="5" t="s">
        <v>34</v>
      </c>
      <c r="D25" s="2" t="s">
        <v>34</v>
      </c>
      <c r="E25" s="19">
        <f>+SUM(E18:E24)</f>
        <v>3698701.8149999999</v>
      </c>
      <c r="F25" s="5">
        <f>F24</f>
        <v>2024090000</v>
      </c>
    </row>
    <row r="26" spans="2:6" x14ac:dyDescent="0.2">
      <c r="B26" s="5" t="s">
        <v>3</v>
      </c>
      <c r="C26" s="5">
        <v>111111</v>
      </c>
      <c r="D26" s="5" t="s">
        <v>106</v>
      </c>
      <c r="E26" s="15">
        <v>3982699.5329999998</v>
      </c>
      <c r="F26" s="5">
        <v>2041000000</v>
      </c>
    </row>
    <row r="27" spans="2:6" x14ac:dyDescent="0.2">
      <c r="B27" s="2" t="str">
        <f>B26</f>
        <v>Wages and salaries</v>
      </c>
      <c r="C27" s="5" t="s">
        <v>34</v>
      </c>
      <c r="D27" s="2" t="s">
        <v>34</v>
      </c>
      <c r="E27" s="19">
        <f>E26</f>
        <v>3982699.5329999998</v>
      </c>
      <c r="F27" s="5">
        <f>F26</f>
        <v>2041000000</v>
      </c>
    </row>
    <row r="28" spans="2:6" x14ac:dyDescent="0.2">
      <c r="B28" s="5" t="s">
        <v>4</v>
      </c>
      <c r="C28" s="5">
        <v>111101</v>
      </c>
      <c r="D28" s="5" t="s">
        <v>2</v>
      </c>
      <c r="E28" s="15">
        <v>1420796.8209999998</v>
      </c>
      <c r="F28" s="5">
        <v>2042000000</v>
      </c>
    </row>
    <row r="29" spans="2:6" x14ac:dyDescent="0.2">
      <c r="B29" s="5" t="s">
        <v>73</v>
      </c>
      <c r="C29" s="5">
        <v>111101</v>
      </c>
      <c r="D29" s="5" t="s">
        <v>2</v>
      </c>
      <c r="E29" s="15">
        <v>288891.82199999999</v>
      </c>
      <c r="F29" s="5">
        <v>2042000000</v>
      </c>
    </row>
    <row r="30" spans="2:6" x14ac:dyDescent="0.2">
      <c r="B30" s="2" t="str">
        <f>B29</f>
        <v>Pension contributions</v>
      </c>
      <c r="C30" s="5" t="s">
        <v>34</v>
      </c>
      <c r="D30" s="2" t="s">
        <v>34</v>
      </c>
      <c r="E30" s="19">
        <f>+SUM(E28:E29)</f>
        <v>1709688.6429999997</v>
      </c>
      <c r="F30" s="5">
        <f>F29</f>
        <v>2042000000</v>
      </c>
    </row>
    <row r="31" spans="2:6" x14ac:dyDescent="0.2">
      <c r="B31" s="5" t="s">
        <v>74</v>
      </c>
      <c r="C31" s="5">
        <v>111101</v>
      </c>
      <c r="D31" s="5" t="s">
        <v>2</v>
      </c>
      <c r="E31" s="15">
        <v>143500</v>
      </c>
      <c r="F31" s="5">
        <v>2045000000</v>
      </c>
    </row>
    <row r="32" spans="2:6" x14ac:dyDescent="0.2">
      <c r="B32" s="2" t="str">
        <f>B31</f>
        <v>Severance indemnity contribution</v>
      </c>
      <c r="C32" s="5" t="s">
        <v>34</v>
      </c>
      <c r="D32" s="2" t="s">
        <v>34</v>
      </c>
      <c r="E32" s="19">
        <f>E31</f>
        <v>143500</v>
      </c>
      <c r="F32" s="5">
        <f>F31</f>
        <v>2045000000</v>
      </c>
    </row>
    <row r="33" spans="2:6" x14ac:dyDescent="0.2">
      <c r="B33" s="5" t="s">
        <v>75</v>
      </c>
      <c r="C33" s="5">
        <v>111101</v>
      </c>
      <c r="D33" s="5" t="s">
        <v>2</v>
      </c>
      <c r="E33" s="15">
        <v>1875768.159</v>
      </c>
      <c r="F33" s="5">
        <v>2051210000</v>
      </c>
    </row>
    <row r="34" spans="2:6" x14ac:dyDescent="0.2">
      <c r="B34" s="2" t="str">
        <f>B33</f>
        <v>D&amp;A</v>
      </c>
      <c r="C34" s="5" t="s">
        <v>34</v>
      </c>
      <c r="D34" s="2" t="s">
        <v>34</v>
      </c>
      <c r="E34" s="19">
        <f>E33</f>
        <v>1875768.159</v>
      </c>
      <c r="F34" s="5">
        <f>F33</f>
        <v>2051210000</v>
      </c>
    </row>
    <row r="35" spans="2:6" x14ac:dyDescent="0.2">
      <c r="B35" s="5" t="s">
        <v>75</v>
      </c>
      <c r="C35" s="5">
        <v>111101</v>
      </c>
      <c r="D35" s="5" t="s">
        <v>2</v>
      </c>
      <c r="E35" s="15">
        <v>12593.355</v>
      </c>
      <c r="F35" s="5">
        <v>2051260000</v>
      </c>
    </row>
    <row r="36" spans="2:6" x14ac:dyDescent="0.2">
      <c r="B36" s="2" t="str">
        <f>B35</f>
        <v>D&amp;A</v>
      </c>
      <c r="C36" s="5" t="s">
        <v>34</v>
      </c>
      <c r="D36" s="2" t="s">
        <v>34</v>
      </c>
      <c r="E36" s="19">
        <f>E35</f>
        <v>12593.355</v>
      </c>
      <c r="F36" s="5">
        <f>F35</f>
        <v>2051260000</v>
      </c>
    </row>
    <row r="37" spans="2:6" x14ac:dyDescent="0.2">
      <c r="B37" s="5" t="s">
        <v>23</v>
      </c>
      <c r="C37" s="5" t="s">
        <v>21</v>
      </c>
      <c r="D37" s="5" t="s">
        <v>58</v>
      </c>
      <c r="E37" s="15">
        <v>0</v>
      </c>
      <c r="F37" s="5">
        <v>2060441000</v>
      </c>
    </row>
    <row r="38" spans="2:6" x14ac:dyDescent="0.2">
      <c r="B38" s="5" t="s">
        <v>23</v>
      </c>
      <c r="C38" s="5">
        <v>111111</v>
      </c>
      <c r="D38" s="5" t="s">
        <v>106</v>
      </c>
      <c r="E38" s="15">
        <v>-1252.8369999999998</v>
      </c>
      <c r="F38" s="5">
        <v>2060441000</v>
      </c>
    </row>
    <row r="39" spans="2:6" x14ac:dyDescent="0.2">
      <c r="B39" s="2" t="str">
        <f>B38</f>
        <v>Other operative currency differences</v>
      </c>
      <c r="C39" s="5" t="s">
        <v>34</v>
      </c>
      <c r="D39" s="2" t="s">
        <v>34</v>
      </c>
      <c r="E39" s="19">
        <f>E38+E37</f>
        <v>-1252.8369999999998</v>
      </c>
      <c r="F39" s="5">
        <f>F38</f>
        <v>2060441000</v>
      </c>
    </row>
    <row r="40" spans="2:6" x14ac:dyDescent="0.2">
      <c r="B40" s="5" t="s">
        <v>76</v>
      </c>
      <c r="C40" s="5" t="s">
        <v>5</v>
      </c>
      <c r="D40" s="5" t="s">
        <v>43</v>
      </c>
      <c r="E40" s="15">
        <v>-1418521.358</v>
      </c>
      <c r="F40" s="5">
        <v>2069010000</v>
      </c>
    </row>
    <row r="41" spans="2:6" x14ac:dyDescent="0.2">
      <c r="B41" s="5" t="s">
        <v>76</v>
      </c>
      <c r="C41" s="5">
        <v>19</v>
      </c>
      <c r="D41" s="5" t="s">
        <v>44</v>
      </c>
      <c r="E41" s="15">
        <v>-622966.38600000006</v>
      </c>
      <c r="F41" s="5">
        <v>2069010000</v>
      </c>
    </row>
    <row r="42" spans="2:6" x14ac:dyDescent="0.2">
      <c r="B42" s="5" t="s">
        <v>76</v>
      </c>
      <c r="C42" s="5" t="s">
        <v>18</v>
      </c>
      <c r="D42" s="5" t="s">
        <v>54</v>
      </c>
      <c r="E42" s="15">
        <v>0</v>
      </c>
      <c r="F42" s="5">
        <v>2069010000</v>
      </c>
    </row>
    <row r="43" spans="2:6" x14ac:dyDescent="0.2">
      <c r="B43" s="5" t="s">
        <v>76</v>
      </c>
      <c r="C43" s="5" t="s">
        <v>12</v>
      </c>
      <c r="D43" s="5" t="s">
        <v>50</v>
      </c>
      <c r="E43" s="15">
        <v>0</v>
      </c>
      <c r="F43" s="5">
        <v>2069010000</v>
      </c>
    </row>
    <row r="44" spans="2:6" x14ac:dyDescent="0.2">
      <c r="B44" s="5" t="s">
        <v>76</v>
      </c>
      <c r="C44" s="5">
        <v>1009</v>
      </c>
      <c r="D44" s="5" t="s">
        <v>38</v>
      </c>
      <c r="E44" s="15">
        <v>0</v>
      </c>
      <c r="F44" s="5">
        <v>2069010000</v>
      </c>
    </row>
    <row r="45" spans="2:6" x14ac:dyDescent="0.2">
      <c r="B45" s="5" t="s">
        <v>76</v>
      </c>
      <c r="C45" s="5">
        <v>1007</v>
      </c>
      <c r="D45" s="5" t="s">
        <v>40</v>
      </c>
      <c r="E45" s="15">
        <v>0</v>
      </c>
      <c r="F45" s="5">
        <v>2069010000</v>
      </c>
    </row>
    <row r="46" spans="2:6" x14ac:dyDescent="0.2">
      <c r="B46" s="5" t="s">
        <v>76</v>
      </c>
      <c r="C46" s="5">
        <v>1008</v>
      </c>
      <c r="D46" s="5" t="s">
        <v>42</v>
      </c>
      <c r="E46" s="15">
        <v>0</v>
      </c>
      <c r="F46" s="5">
        <v>2069010000</v>
      </c>
    </row>
    <row r="47" spans="2:6" x14ac:dyDescent="0.2">
      <c r="B47" s="5" t="s">
        <v>76</v>
      </c>
      <c r="C47" s="5">
        <v>1240</v>
      </c>
      <c r="D47" s="5" t="s">
        <v>47</v>
      </c>
      <c r="E47" s="15">
        <v>0</v>
      </c>
      <c r="F47" s="5">
        <v>2069010000</v>
      </c>
    </row>
    <row r="48" spans="2:6" x14ac:dyDescent="0.2">
      <c r="B48" s="5" t="s">
        <v>76</v>
      </c>
      <c r="C48" s="5">
        <v>1006</v>
      </c>
      <c r="D48" s="5" t="s">
        <v>57</v>
      </c>
      <c r="E48" s="15">
        <v>0</v>
      </c>
      <c r="F48" s="5">
        <v>2069010000</v>
      </c>
    </row>
    <row r="49" spans="2:6" x14ac:dyDescent="0.2">
      <c r="B49" s="5" t="s">
        <v>76</v>
      </c>
      <c r="C49" s="5">
        <v>1007</v>
      </c>
      <c r="D49" s="5" t="s">
        <v>41</v>
      </c>
      <c r="E49" s="15">
        <v>0</v>
      </c>
      <c r="F49" s="5">
        <v>2069010000</v>
      </c>
    </row>
    <row r="50" spans="2:6" x14ac:dyDescent="0.2">
      <c r="B50" s="5" t="s">
        <v>76</v>
      </c>
      <c r="C50" s="5" t="s">
        <v>19</v>
      </c>
      <c r="D50" s="5" t="s">
        <v>55</v>
      </c>
      <c r="E50" s="15">
        <v>-1948832.1429999999</v>
      </c>
      <c r="F50" s="5">
        <v>2069010000</v>
      </c>
    </row>
    <row r="51" spans="2:6" x14ac:dyDescent="0.2">
      <c r="B51" s="5" t="s">
        <v>76</v>
      </c>
      <c r="C51" s="5">
        <v>111111</v>
      </c>
      <c r="D51" s="5" t="s">
        <v>106</v>
      </c>
      <c r="E51" s="15">
        <v>-902857.84299999999</v>
      </c>
      <c r="F51" s="5">
        <v>2069010000</v>
      </c>
    </row>
    <row r="52" spans="2:6" x14ac:dyDescent="0.2">
      <c r="B52" s="2" t="str">
        <f>B51</f>
        <v>Corporate recharges</v>
      </c>
      <c r="C52" s="5" t="s">
        <v>34</v>
      </c>
      <c r="D52" s="2" t="s">
        <v>34</v>
      </c>
      <c r="E52" s="19">
        <f>+E50+E51+E41+E40</f>
        <v>-4893177.7300000004</v>
      </c>
      <c r="F52" s="5">
        <f>F51</f>
        <v>2069010000</v>
      </c>
    </row>
    <row r="53" spans="2:6" x14ac:dyDescent="0.2">
      <c r="B53" s="5" t="s">
        <v>28</v>
      </c>
      <c r="C53" s="5">
        <v>111111</v>
      </c>
      <c r="D53" s="5" t="s">
        <v>106</v>
      </c>
      <c r="E53" s="15">
        <v>-61499.999999999993</v>
      </c>
      <c r="F53" s="5">
        <v>2069020000</v>
      </c>
    </row>
    <row r="54" spans="2:6" x14ac:dyDescent="0.2">
      <c r="B54" s="2" t="str">
        <f>B53</f>
        <v>Reimbursements+compensation for damages</v>
      </c>
      <c r="C54" s="5" t="s">
        <v>34</v>
      </c>
      <c r="D54" s="2" t="s">
        <v>34</v>
      </c>
      <c r="E54" s="19">
        <f>+E53</f>
        <v>-61499.999999999993</v>
      </c>
      <c r="F54" s="5">
        <f>F53</f>
        <v>2069020000</v>
      </c>
    </row>
    <row r="55" spans="2:6" x14ac:dyDescent="0.2">
      <c r="B55" s="5" t="s">
        <v>77</v>
      </c>
      <c r="C55" s="5">
        <v>105</v>
      </c>
      <c r="D55" s="5" t="s">
        <v>36</v>
      </c>
      <c r="E55" s="15">
        <v>-30913.425999999996</v>
      </c>
      <c r="F55" s="5">
        <v>2069980000</v>
      </c>
    </row>
    <row r="56" spans="2:6" x14ac:dyDescent="0.2">
      <c r="B56" s="5" t="s">
        <v>77</v>
      </c>
      <c r="C56" s="5">
        <v>111111</v>
      </c>
      <c r="D56" s="5" t="s">
        <v>106</v>
      </c>
      <c r="E56" s="15">
        <v>-15872.001999999999</v>
      </c>
      <c r="F56" s="5">
        <v>2069980000</v>
      </c>
    </row>
    <row r="57" spans="2:6" x14ac:dyDescent="0.2">
      <c r="B57" s="2" t="str">
        <f>B56</f>
        <v>Other income</v>
      </c>
      <c r="C57" s="5" t="s">
        <v>34</v>
      </c>
      <c r="D57" s="2" t="s">
        <v>34</v>
      </c>
      <c r="E57" s="19">
        <f>+SUM(E55:E56)</f>
        <v>-46785.427999999993</v>
      </c>
      <c r="F57" s="5">
        <f>F56</f>
        <v>2069980000</v>
      </c>
    </row>
    <row r="58" spans="2:6" x14ac:dyDescent="0.2">
      <c r="B58" s="5" t="s">
        <v>78</v>
      </c>
      <c r="C58" s="5">
        <v>111111</v>
      </c>
      <c r="D58" s="5" t="s">
        <v>106</v>
      </c>
      <c r="E58" s="15">
        <v>57.317999999999998</v>
      </c>
      <c r="F58" s="5">
        <v>2070400000</v>
      </c>
    </row>
    <row r="59" spans="2:6" x14ac:dyDescent="0.2">
      <c r="B59" s="2" t="str">
        <f>B58</f>
        <v>Marketing expenses</v>
      </c>
      <c r="C59" s="5" t="s">
        <v>34</v>
      </c>
      <c r="D59" s="2" t="s">
        <v>34</v>
      </c>
      <c r="E59" s="19">
        <f>E58</f>
        <v>57.317999999999998</v>
      </c>
      <c r="F59" s="5">
        <f>F58</f>
        <v>2070400000</v>
      </c>
    </row>
    <row r="60" spans="2:6" x14ac:dyDescent="0.2">
      <c r="B60" s="5" t="s">
        <v>79</v>
      </c>
      <c r="C60" s="5">
        <v>111111</v>
      </c>
      <c r="D60" s="5" t="s">
        <v>106</v>
      </c>
      <c r="E60" s="15">
        <v>19198.66</v>
      </c>
      <c r="F60" s="5">
        <v>2070500000</v>
      </c>
    </row>
    <row r="61" spans="2:6" x14ac:dyDescent="0.2">
      <c r="B61" s="2" t="str">
        <f>B60</f>
        <v>Software&amp;IT</v>
      </c>
      <c r="C61" s="5" t="s">
        <v>34</v>
      </c>
      <c r="D61" s="2" t="s">
        <v>34</v>
      </c>
      <c r="E61" s="19">
        <f>E60</f>
        <v>19198.66</v>
      </c>
      <c r="F61" s="5">
        <f>F60</f>
        <v>2070500000</v>
      </c>
    </row>
    <row r="62" spans="2:6" x14ac:dyDescent="0.2">
      <c r="B62" s="5" t="s">
        <v>80</v>
      </c>
      <c r="C62" s="5">
        <v>105</v>
      </c>
      <c r="D62" s="5" t="s">
        <v>36</v>
      </c>
      <c r="E62" s="15">
        <v>-1423120</v>
      </c>
      <c r="F62" s="5">
        <v>2070600000</v>
      </c>
    </row>
    <row r="63" spans="2:6" x14ac:dyDescent="0.2">
      <c r="B63" s="5" t="s">
        <v>80</v>
      </c>
      <c r="C63" s="5">
        <v>111111</v>
      </c>
      <c r="D63" s="5" t="s">
        <v>106</v>
      </c>
      <c r="E63" s="15">
        <v>-172933.44899999999</v>
      </c>
      <c r="F63" s="5">
        <v>2070600000</v>
      </c>
    </row>
    <row r="64" spans="2:6" x14ac:dyDescent="0.2">
      <c r="B64" s="2" t="str">
        <f>B63</f>
        <v>Leasings</v>
      </c>
      <c r="C64" s="5" t="s">
        <v>34</v>
      </c>
      <c r="D64" s="2" t="s">
        <v>34</v>
      </c>
      <c r="E64" s="19">
        <f>E62+E63</f>
        <v>-1596053.449</v>
      </c>
      <c r="F64" s="5">
        <f>F63</f>
        <v>2070600000</v>
      </c>
    </row>
    <row r="65" spans="2:6" x14ac:dyDescent="0.2">
      <c r="B65" s="5" t="s">
        <v>81</v>
      </c>
      <c r="C65" s="5">
        <v>105</v>
      </c>
      <c r="D65" s="5" t="s">
        <v>36</v>
      </c>
      <c r="E65" s="15">
        <v>473575.46100000001</v>
      </c>
      <c r="F65" s="5">
        <v>2070900000</v>
      </c>
    </row>
    <row r="66" spans="2:6" x14ac:dyDescent="0.2">
      <c r="B66" s="5" t="s">
        <v>81</v>
      </c>
      <c r="C66" s="5">
        <v>111111</v>
      </c>
      <c r="D66" s="5" t="s">
        <v>106</v>
      </c>
      <c r="E66" s="15">
        <v>1481408.47</v>
      </c>
      <c r="F66" s="5">
        <v>2070900000</v>
      </c>
    </row>
    <row r="67" spans="2:6" x14ac:dyDescent="0.2">
      <c r="B67" s="2" t="str">
        <f>B66</f>
        <v>Service expenses</v>
      </c>
      <c r="C67" s="5" t="s">
        <v>34</v>
      </c>
      <c r="D67" s="2" t="s">
        <v>34</v>
      </c>
      <c r="E67" s="19">
        <f>+E65+E66</f>
        <v>1954983.9309999999</v>
      </c>
      <c r="F67" s="5">
        <f>F66</f>
        <v>2070900000</v>
      </c>
    </row>
    <row r="68" spans="2:6" x14ac:dyDescent="0.2">
      <c r="B68" s="5" t="s">
        <v>9</v>
      </c>
      <c r="C68" s="5">
        <v>111111</v>
      </c>
      <c r="D68" s="5" t="s">
        <v>106</v>
      </c>
      <c r="E68" s="15">
        <v>40048.799999999996</v>
      </c>
      <c r="F68" s="5">
        <v>2071000000</v>
      </c>
    </row>
    <row r="69" spans="2:6" x14ac:dyDescent="0.2">
      <c r="B69" s="2" t="str">
        <f>B68</f>
        <v>Charges and contributions</v>
      </c>
      <c r="C69" s="5" t="s">
        <v>34</v>
      </c>
      <c r="D69" s="2" t="s">
        <v>34</v>
      </c>
      <c r="E69" s="19">
        <f>+E68</f>
        <v>40048.799999999996</v>
      </c>
      <c r="F69" s="5">
        <f>F68</f>
        <v>2071000000</v>
      </c>
    </row>
    <row r="70" spans="2:6" x14ac:dyDescent="0.2">
      <c r="B70" s="5" t="s">
        <v>82</v>
      </c>
      <c r="C70" s="5">
        <v>88</v>
      </c>
      <c r="D70" s="5" t="s">
        <v>35</v>
      </c>
      <c r="E70" s="15">
        <v>584.66</v>
      </c>
      <c r="F70" s="5">
        <v>2071100000</v>
      </c>
    </row>
    <row r="71" spans="2:6" x14ac:dyDescent="0.2">
      <c r="B71" s="5" t="s">
        <v>82</v>
      </c>
      <c r="C71" s="5">
        <v>111111</v>
      </c>
      <c r="D71" s="5" t="s">
        <v>106</v>
      </c>
      <c r="E71" s="15">
        <v>64039.82699999999</v>
      </c>
      <c r="F71" s="5">
        <v>2071100000</v>
      </c>
    </row>
    <row r="72" spans="2:6" x14ac:dyDescent="0.2">
      <c r="B72" s="2" t="str">
        <f>B71</f>
        <v>Insurance expenses</v>
      </c>
      <c r="C72" s="5" t="s">
        <v>34</v>
      </c>
      <c r="D72" s="2" t="s">
        <v>34</v>
      </c>
      <c r="E72" s="19">
        <f>+E71+E70</f>
        <v>64624.486999999994</v>
      </c>
      <c r="F72" s="5">
        <f>F71</f>
        <v>2071100000</v>
      </c>
    </row>
    <row r="73" spans="2:6" x14ac:dyDescent="0.2">
      <c r="B73" s="5" t="s">
        <v>29</v>
      </c>
      <c r="C73" s="5">
        <v>111111</v>
      </c>
      <c r="D73" s="5" t="s">
        <v>106</v>
      </c>
      <c r="E73" s="15">
        <v>1352.9999999999998</v>
      </c>
      <c r="F73" s="5">
        <v>2071209100</v>
      </c>
    </row>
    <row r="74" spans="2:6" x14ac:dyDescent="0.2">
      <c r="B74" s="2" t="str">
        <f>B73</f>
        <v>Repairs/Maintenance costs</v>
      </c>
      <c r="C74" s="5" t="s">
        <v>34</v>
      </c>
      <c r="D74" s="2" t="s">
        <v>34</v>
      </c>
      <c r="E74" s="19">
        <f>+E73</f>
        <v>1352.9999999999998</v>
      </c>
      <c r="F74" s="5">
        <f>F73</f>
        <v>2071209100</v>
      </c>
    </row>
    <row r="75" spans="2:6" x14ac:dyDescent="0.2">
      <c r="B75" s="5" t="s">
        <v>10</v>
      </c>
      <c r="C75" s="5">
        <v>111111</v>
      </c>
      <c r="D75" s="5" t="s">
        <v>106</v>
      </c>
      <c r="E75" s="15">
        <v>2514431.8869999996</v>
      </c>
      <c r="F75" s="5">
        <v>2071209200</v>
      </c>
    </row>
    <row r="76" spans="2:6" x14ac:dyDescent="0.2">
      <c r="B76" s="2" t="str">
        <f>B75</f>
        <v>Travel expenses</v>
      </c>
      <c r="C76" s="5" t="s">
        <v>34</v>
      </c>
      <c r="D76" s="2" t="s">
        <v>34</v>
      </c>
      <c r="E76" s="19">
        <f>+E75</f>
        <v>2514431.8869999996</v>
      </c>
      <c r="F76" s="5">
        <f>F75</f>
        <v>2071209200</v>
      </c>
    </row>
    <row r="77" spans="2:6" x14ac:dyDescent="0.2">
      <c r="B77" s="5" t="s">
        <v>83</v>
      </c>
      <c r="C77" s="5">
        <v>111111</v>
      </c>
      <c r="D77" s="5" t="s">
        <v>106</v>
      </c>
      <c r="E77" s="15">
        <v>4194.2999999999993</v>
      </c>
      <c r="F77" s="5">
        <v>2071209400</v>
      </c>
    </row>
    <row r="78" spans="2:6" x14ac:dyDescent="0.2">
      <c r="B78" s="2" t="str">
        <f>B77</f>
        <v>Utility expenses</v>
      </c>
      <c r="C78" s="5" t="s">
        <v>34</v>
      </c>
      <c r="D78" s="2" t="s">
        <v>34</v>
      </c>
      <c r="E78" s="19">
        <f>+E77</f>
        <v>4194.2999999999993</v>
      </c>
      <c r="F78" s="5">
        <f>F77</f>
        <v>2071209400</v>
      </c>
    </row>
    <row r="79" spans="2:6" x14ac:dyDescent="0.2">
      <c r="B79" s="5" t="s">
        <v>84</v>
      </c>
      <c r="C79" s="5">
        <v>111111</v>
      </c>
      <c r="D79" s="5" t="s">
        <v>106</v>
      </c>
      <c r="E79" s="15">
        <v>106525.708</v>
      </c>
      <c r="F79" s="5">
        <v>2071209500</v>
      </c>
    </row>
    <row r="80" spans="2:6" x14ac:dyDescent="0.2">
      <c r="B80" s="2" t="str">
        <f>B79</f>
        <v>Legal expenses</v>
      </c>
      <c r="C80" s="5" t="s">
        <v>34</v>
      </c>
      <c r="D80" s="2" t="s">
        <v>34</v>
      </c>
      <c r="E80" s="19">
        <f>+E79</f>
        <v>106525.708</v>
      </c>
      <c r="F80" s="5">
        <f>F79</f>
        <v>2071209500</v>
      </c>
    </row>
    <row r="81" spans="2:6" x14ac:dyDescent="0.2">
      <c r="B81" s="5" t="s">
        <v>85</v>
      </c>
      <c r="C81" s="5">
        <v>111101</v>
      </c>
      <c r="D81" s="5" t="s">
        <v>2</v>
      </c>
      <c r="E81" s="15">
        <v>109811.284</v>
      </c>
      <c r="F81" s="5">
        <v>2071980000</v>
      </c>
    </row>
    <row r="82" spans="2:6" x14ac:dyDescent="0.2">
      <c r="B82" s="2" t="str">
        <f>B81</f>
        <v>Misc costs</v>
      </c>
      <c r="C82" s="5" t="s">
        <v>34</v>
      </c>
      <c r="D82" s="2" t="s">
        <v>34</v>
      </c>
      <c r="E82" s="19">
        <f>+E81</f>
        <v>109811.284</v>
      </c>
      <c r="F82" s="5">
        <f>F81</f>
        <v>2071980000</v>
      </c>
    </row>
    <row r="83" spans="2:6" x14ac:dyDescent="0.2">
      <c r="B83" s="5" t="s">
        <v>86</v>
      </c>
      <c r="C83" s="5">
        <v>111111</v>
      </c>
      <c r="D83" s="5" t="s">
        <v>106</v>
      </c>
      <c r="E83" s="15">
        <v>61111.483999999997</v>
      </c>
      <c r="F83" s="5">
        <v>2079022000</v>
      </c>
    </row>
    <row r="84" spans="2:6" x14ac:dyDescent="0.2">
      <c r="B84" s="2" t="str">
        <f>B83</f>
        <v>Consulting fees</v>
      </c>
      <c r="C84" s="5" t="s">
        <v>34</v>
      </c>
      <c r="D84" s="2" t="s">
        <v>34</v>
      </c>
      <c r="E84" s="19">
        <f>+E83</f>
        <v>61111.483999999997</v>
      </c>
      <c r="F84" s="5">
        <f>F83</f>
        <v>2079022000</v>
      </c>
    </row>
    <row r="85" spans="2:6" x14ac:dyDescent="0.2">
      <c r="B85" s="5" t="s">
        <v>87</v>
      </c>
      <c r="C85" s="5" t="s">
        <v>14</v>
      </c>
      <c r="D85" s="5" t="s">
        <v>39</v>
      </c>
      <c r="E85" s="15">
        <v>0</v>
      </c>
      <c r="F85" s="5">
        <v>2079070000</v>
      </c>
    </row>
    <row r="86" spans="2:6" x14ac:dyDescent="0.2">
      <c r="B86" s="5" t="s">
        <v>87</v>
      </c>
      <c r="C86" s="5">
        <v>105</v>
      </c>
      <c r="D86" s="5" t="s">
        <v>36</v>
      </c>
      <c r="E86" s="15">
        <v>1684415.2999999998</v>
      </c>
      <c r="F86" s="5">
        <v>2079070000</v>
      </c>
    </row>
    <row r="87" spans="2:6" x14ac:dyDescent="0.2">
      <c r="B87" s="5" t="s">
        <v>87</v>
      </c>
      <c r="C87" s="5">
        <v>111111</v>
      </c>
      <c r="D87" s="5" t="s">
        <v>106</v>
      </c>
      <c r="E87" s="15">
        <v>575626.2649999999</v>
      </c>
      <c r="F87" s="5">
        <v>2079070000</v>
      </c>
    </row>
    <row r="88" spans="2:6" x14ac:dyDescent="0.2">
      <c r="B88" s="2" t="str">
        <f>B87</f>
        <v>Misc extraordinary expenses</v>
      </c>
      <c r="C88" s="5" t="s">
        <v>34</v>
      </c>
      <c r="D88" s="2" t="s">
        <v>34</v>
      </c>
      <c r="E88" s="19">
        <f>+SUM(E85:E87)</f>
        <v>2260041.5649999995</v>
      </c>
      <c r="F88" s="5">
        <f>F87</f>
        <v>2079070000</v>
      </c>
    </row>
    <row r="89" spans="2:6" x14ac:dyDescent="0.2">
      <c r="B89" s="5" t="s">
        <v>88</v>
      </c>
      <c r="C89" s="5" t="s">
        <v>12</v>
      </c>
      <c r="D89" s="5" t="s">
        <v>50</v>
      </c>
      <c r="E89" s="15">
        <v>0</v>
      </c>
      <c r="F89" s="5">
        <v>2079080000</v>
      </c>
    </row>
    <row r="90" spans="2:6" x14ac:dyDescent="0.2">
      <c r="B90" s="5" t="s">
        <v>88</v>
      </c>
      <c r="C90" s="5">
        <v>1007</v>
      </c>
      <c r="D90" s="5" t="s">
        <v>41</v>
      </c>
      <c r="E90" s="15">
        <v>0</v>
      </c>
      <c r="F90" s="5">
        <v>2079080000</v>
      </c>
    </row>
    <row r="91" spans="2:6" x14ac:dyDescent="0.2">
      <c r="B91" s="2" t="str">
        <f>B90</f>
        <v>Difference from eliminations</v>
      </c>
      <c r="C91" s="5" t="s">
        <v>34</v>
      </c>
      <c r="D91" s="2" t="s">
        <v>34</v>
      </c>
      <c r="E91" s="19">
        <f>+E89+E90</f>
        <v>0</v>
      </c>
      <c r="F91" s="5">
        <f>F90</f>
        <v>2079080000</v>
      </c>
    </row>
    <row r="92" spans="2:6" x14ac:dyDescent="0.2">
      <c r="B92" s="5" t="s">
        <v>89</v>
      </c>
      <c r="C92" s="5" t="s">
        <v>12</v>
      </c>
      <c r="D92" s="5" t="s">
        <v>50</v>
      </c>
      <c r="E92" s="15">
        <v>0</v>
      </c>
      <c r="F92" s="5">
        <v>2082280000</v>
      </c>
    </row>
    <row r="93" spans="2:6" x14ac:dyDescent="0.2">
      <c r="B93" s="5" t="s">
        <v>89</v>
      </c>
      <c r="C93" s="5">
        <v>1009</v>
      </c>
      <c r="D93" s="5" t="s">
        <v>38</v>
      </c>
      <c r="E93" s="15">
        <v>0</v>
      </c>
      <c r="F93" s="5">
        <v>2082280000</v>
      </c>
    </row>
    <row r="94" spans="2:6" x14ac:dyDescent="0.2">
      <c r="B94" s="5" t="s">
        <v>89</v>
      </c>
      <c r="C94" s="5">
        <v>1007</v>
      </c>
      <c r="D94" s="5" t="s">
        <v>40</v>
      </c>
      <c r="E94" s="15">
        <v>0</v>
      </c>
      <c r="F94" s="5">
        <v>2082280000</v>
      </c>
    </row>
    <row r="95" spans="2:6" x14ac:dyDescent="0.2">
      <c r="B95" s="5" t="s">
        <v>89</v>
      </c>
      <c r="C95" s="5">
        <v>1008</v>
      </c>
      <c r="D95" s="5" t="s">
        <v>42</v>
      </c>
      <c r="E95" s="15">
        <v>0</v>
      </c>
      <c r="F95" s="5">
        <v>2082280000</v>
      </c>
    </row>
    <row r="96" spans="2:6" x14ac:dyDescent="0.2">
      <c r="B96" s="5" t="s">
        <v>89</v>
      </c>
      <c r="C96" s="5">
        <v>1240</v>
      </c>
      <c r="D96" s="5" t="s">
        <v>47</v>
      </c>
      <c r="E96" s="15">
        <v>0</v>
      </c>
      <c r="F96" s="5">
        <v>2082280000</v>
      </c>
    </row>
    <row r="97" spans="2:6" x14ac:dyDescent="0.2">
      <c r="B97" s="5" t="s">
        <v>89</v>
      </c>
      <c r="C97" s="5">
        <v>1006</v>
      </c>
      <c r="D97" s="5" t="s">
        <v>57</v>
      </c>
      <c r="E97" s="15">
        <v>0</v>
      </c>
      <c r="F97" s="5">
        <v>2082280000</v>
      </c>
    </row>
    <row r="98" spans="2:6" x14ac:dyDescent="0.2">
      <c r="B98" s="5" t="s">
        <v>89</v>
      </c>
      <c r="C98" s="5">
        <v>111111</v>
      </c>
      <c r="D98" s="5" t="s">
        <v>106</v>
      </c>
      <c r="E98" s="15">
        <v>-73809.511999999988</v>
      </c>
      <c r="F98" s="5">
        <v>2082280000</v>
      </c>
    </row>
    <row r="99" spans="2:6" x14ac:dyDescent="0.2">
      <c r="B99" s="2" t="str">
        <f>B98</f>
        <v>Interest income</v>
      </c>
      <c r="C99" s="5" t="s">
        <v>34</v>
      </c>
      <c r="D99" s="2" t="s">
        <v>34</v>
      </c>
      <c r="E99" s="19">
        <f>+E98</f>
        <v>-73809.511999999988</v>
      </c>
      <c r="F99" s="5">
        <f>F98</f>
        <v>2082280000</v>
      </c>
    </row>
    <row r="100" spans="2:6" x14ac:dyDescent="0.2">
      <c r="B100" s="5" t="s">
        <v>90</v>
      </c>
      <c r="C100" s="5">
        <v>111101</v>
      </c>
      <c r="D100" s="5" t="s">
        <v>2</v>
      </c>
      <c r="E100" s="15">
        <v>7173.195999999999</v>
      </c>
      <c r="F100" s="5">
        <v>2082208200</v>
      </c>
    </row>
    <row r="101" spans="2:6" x14ac:dyDescent="0.2">
      <c r="B101" s="2" t="str">
        <f>B100</f>
        <v>Non-recurring costs</v>
      </c>
      <c r="C101" s="5" t="s">
        <v>34</v>
      </c>
      <c r="D101" s="2" t="s">
        <v>34</v>
      </c>
      <c r="E101" s="19">
        <f>+E100</f>
        <v>7173.195999999999</v>
      </c>
      <c r="F101" s="5">
        <f>F100</f>
        <v>2082208200</v>
      </c>
    </row>
    <row r="102" spans="2:6" x14ac:dyDescent="0.2">
      <c r="B102" s="5" t="s">
        <v>91</v>
      </c>
      <c r="C102" s="5">
        <v>88</v>
      </c>
      <c r="D102" s="5" t="s">
        <v>35</v>
      </c>
      <c r="E102" s="15">
        <v>2324465.8859999999</v>
      </c>
      <c r="F102" s="5">
        <v>2082214000</v>
      </c>
    </row>
    <row r="103" spans="2:6" x14ac:dyDescent="0.2">
      <c r="B103" s="5" t="s">
        <v>91</v>
      </c>
      <c r="C103" s="5">
        <v>1007</v>
      </c>
      <c r="D103" s="5" t="s">
        <v>41</v>
      </c>
      <c r="E103" s="15">
        <v>0</v>
      </c>
      <c r="F103" s="5">
        <v>2082214000</v>
      </c>
    </row>
    <row r="104" spans="2:6" x14ac:dyDescent="0.2">
      <c r="B104" s="5" t="s">
        <v>91</v>
      </c>
      <c r="C104" s="5">
        <v>111111</v>
      </c>
      <c r="D104" s="5" t="s">
        <v>106</v>
      </c>
      <c r="E104" s="15">
        <v>51.454999999999998</v>
      </c>
      <c r="F104" s="5">
        <v>2082214000</v>
      </c>
    </row>
    <row r="105" spans="2:6" x14ac:dyDescent="0.2">
      <c r="B105" s="2" t="str">
        <f>B104</f>
        <v>Interest expenses</v>
      </c>
      <c r="C105" s="5" t="s">
        <v>34</v>
      </c>
      <c r="D105" s="2" t="s">
        <v>34</v>
      </c>
      <c r="E105" s="19">
        <f>+E102+E104</f>
        <v>2324517.341</v>
      </c>
      <c r="F105" s="5">
        <f>F104</f>
        <v>2082214000</v>
      </c>
    </row>
    <row r="106" spans="2:6" x14ac:dyDescent="0.2">
      <c r="B106" s="5" t="s">
        <v>109</v>
      </c>
      <c r="C106" s="5">
        <v>111101</v>
      </c>
      <c r="D106" s="5" t="s">
        <v>2</v>
      </c>
      <c r="E106" s="15">
        <v>0</v>
      </c>
      <c r="F106" s="5">
        <v>2082110000</v>
      </c>
    </row>
    <row r="107" spans="2:6" x14ac:dyDescent="0.2">
      <c r="B107" s="2" t="str">
        <f>B106</f>
        <v>Impairment of participation</v>
      </c>
      <c r="C107" s="5" t="s">
        <v>34</v>
      </c>
      <c r="D107" s="2" t="s">
        <v>34</v>
      </c>
      <c r="E107" s="19">
        <f>+E106</f>
        <v>0</v>
      </c>
      <c r="F107" s="5">
        <f>F106</f>
        <v>2082110000</v>
      </c>
    </row>
    <row r="108" spans="2:6" x14ac:dyDescent="0.2">
      <c r="B108" s="5" t="s">
        <v>92</v>
      </c>
      <c r="C108" s="5">
        <v>111101</v>
      </c>
      <c r="D108" s="5" t="s">
        <v>2</v>
      </c>
      <c r="E108" s="15">
        <v>2558.1950000000002</v>
      </c>
      <c r="F108" s="5">
        <v>2091200000</v>
      </c>
    </row>
    <row r="109" spans="2:6" x14ac:dyDescent="0.2">
      <c r="B109" s="2" t="str">
        <f>B108</f>
        <v>Current taxes</v>
      </c>
      <c r="C109" s="5" t="s">
        <v>34</v>
      </c>
      <c r="D109" s="2" t="s">
        <v>34</v>
      </c>
      <c r="E109" s="19">
        <f>+E108</f>
        <v>2558.1950000000002</v>
      </c>
      <c r="F109" s="5">
        <f>F108</f>
        <v>2091200000</v>
      </c>
    </row>
    <row r="110" spans="2:6" x14ac:dyDescent="0.2">
      <c r="B110" s="5" t="s">
        <v>93</v>
      </c>
      <c r="C110" s="5">
        <v>111101</v>
      </c>
      <c r="D110" s="5" t="s">
        <v>2</v>
      </c>
      <c r="E110" s="15">
        <v>522710.353</v>
      </c>
      <c r="F110" s="5">
        <v>2091200001</v>
      </c>
    </row>
    <row r="111" spans="2:6" x14ac:dyDescent="0.2">
      <c r="B111" s="2" t="str">
        <f>B110</f>
        <v>Regional taxes</v>
      </c>
      <c r="C111" s="5" t="s">
        <v>34</v>
      </c>
      <c r="D111" s="2" t="s">
        <v>34</v>
      </c>
      <c r="E111" s="19">
        <f>+E110</f>
        <v>522710.353</v>
      </c>
      <c r="F111" s="5">
        <f>F110</f>
        <v>2091200001</v>
      </c>
    </row>
    <row r="112" spans="2:6" x14ac:dyDescent="0.2">
      <c r="B112" s="5" t="s">
        <v>94</v>
      </c>
      <c r="C112" s="5">
        <v>111101</v>
      </c>
      <c r="D112" s="5" t="s">
        <v>2</v>
      </c>
      <c r="E112" s="15">
        <v>-160303.52199999997</v>
      </c>
      <c r="F112" s="5">
        <v>2092200000</v>
      </c>
    </row>
    <row r="113" spans="2:6" x14ac:dyDescent="0.2">
      <c r="B113" s="2" t="str">
        <f>B112</f>
        <v>Deferred taxes</v>
      </c>
      <c r="C113" s="5" t="s">
        <v>34</v>
      </c>
      <c r="D113" s="2" t="s">
        <v>34</v>
      </c>
      <c r="E113" s="19">
        <f>+E112</f>
        <v>-160303.52199999997</v>
      </c>
      <c r="F113" s="5">
        <f>F112</f>
        <v>2092200000</v>
      </c>
    </row>
    <row r="114" spans="2:6" x14ac:dyDescent="0.2">
      <c r="B114" s="5" t="s">
        <v>30</v>
      </c>
      <c r="C114" s="5">
        <v>111101</v>
      </c>
      <c r="D114" s="5" t="s">
        <v>2</v>
      </c>
      <c r="E114" s="15">
        <v>0</v>
      </c>
      <c r="F114" s="5">
        <v>2111111997</v>
      </c>
    </row>
    <row r="115" spans="2:6" x14ac:dyDescent="0.2">
      <c r="B115" s="16" t="s">
        <v>67</v>
      </c>
      <c r="C115" s="16">
        <v>111101</v>
      </c>
      <c r="D115" s="16" t="s">
        <v>2</v>
      </c>
      <c r="E115" s="17">
        <v>-779290.47600000002</v>
      </c>
      <c r="F115" s="16">
        <v>2111111999</v>
      </c>
    </row>
    <row r="116" spans="2:6" x14ac:dyDescent="0.2">
      <c r="C116" s="5"/>
    </row>
    <row r="117" spans="2:6" x14ac:dyDescent="0.2">
      <c r="C117" s="5"/>
    </row>
    <row r="118" spans="2:6" x14ac:dyDescent="0.2">
      <c r="C118" s="5"/>
    </row>
    <row r="119" spans="2:6" x14ac:dyDescent="0.2">
      <c r="C119" s="5"/>
    </row>
    <row r="120" spans="2:6" x14ac:dyDescent="0.2">
      <c r="C120" s="5"/>
    </row>
    <row r="121" spans="2:6" x14ac:dyDescent="0.2">
      <c r="C121" s="5"/>
    </row>
    <row r="122" spans="2:6" x14ac:dyDescent="0.2">
      <c r="C122" s="5"/>
    </row>
    <row r="123" spans="2:6" x14ac:dyDescent="0.2">
      <c r="C123" s="5"/>
    </row>
    <row r="124" spans="2:6" x14ac:dyDescent="0.2">
      <c r="C124" s="5"/>
    </row>
    <row r="125" spans="2:6" x14ac:dyDescent="0.2">
      <c r="C125" s="5"/>
    </row>
    <row r="126" spans="2:6" x14ac:dyDescent="0.2">
      <c r="C126" s="5"/>
    </row>
    <row r="127" spans="2:6" x14ac:dyDescent="0.2">
      <c r="C127" s="5"/>
    </row>
    <row r="128" spans="2:6" x14ac:dyDescent="0.2">
      <c r="C128" s="5"/>
    </row>
    <row r="129" spans="3:3" x14ac:dyDescent="0.2">
      <c r="C129" s="5"/>
    </row>
    <row r="130" spans="3:3" x14ac:dyDescent="0.2">
      <c r="C130" s="5"/>
    </row>
    <row r="131" spans="3:3" x14ac:dyDescent="0.2">
      <c r="C131" s="5"/>
    </row>
    <row r="132" spans="3:3" x14ac:dyDescent="0.2">
      <c r="C132" s="5"/>
    </row>
    <row r="133" spans="3:3" x14ac:dyDescent="0.2">
      <c r="C133" s="5"/>
    </row>
    <row r="134" spans="3:3" x14ac:dyDescent="0.2">
      <c r="C134" s="5"/>
    </row>
    <row r="135" spans="3:3" x14ac:dyDescent="0.2">
      <c r="C135" s="5"/>
    </row>
    <row r="136" spans="3:3" x14ac:dyDescent="0.2">
      <c r="C136" s="5"/>
    </row>
    <row r="137" spans="3:3" x14ac:dyDescent="0.2">
      <c r="C137" s="5"/>
    </row>
    <row r="138" spans="3:3" x14ac:dyDescent="0.2">
      <c r="C138" s="5"/>
    </row>
    <row r="139" spans="3:3" x14ac:dyDescent="0.2">
      <c r="C139" s="5"/>
    </row>
    <row r="140" spans="3:3" x14ac:dyDescent="0.2">
      <c r="C140" s="5"/>
    </row>
    <row r="141" spans="3:3" x14ac:dyDescent="0.2">
      <c r="C141" s="5"/>
    </row>
    <row r="142" spans="3:3" x14ac:dyDescent="0.2">
      <c r="C142" s="5"/>
    </row>
    <row r="143" spans="3:3" x14ac:dyDescent="0.2">
      <c r="C143" s="5"/>
    </row>
    <row r="144" spans="3:3" x14ac:dyDescent="0.2">
      <c r="C144" s="5"/>
    </row>
    <row r="145" spans="3:3" x14ac:dyDescent="0.2">
      <c r="C145" s="5"/>
    </row>
    <row r="146" spans="3:3" x14ac:dyDescent="0.2">
      <c r="C146" s="5"/>
    </row>
    <row r="147" spans="3:3" x14ac:dyDescent="0.2">
      <c r="C147" s="5"/>
    </row>
    <row r="148" spans="3:3" x14ac:dyDescent="0.2">
      <c r="C148" s="5"/>
    </row>
    <row r="149" spans="3:3" x14ac:dyDescent="0.2">
      <c r="C149" s="5"/>
    </row>
    <row r="150" spans="3:3" x14ac:dyDescent="0.2">
      <c r="C150" s="5"/>
    </row>
    <row r="151" spans="3:3" x14ac:dyDescent="0.2">
      <c r="C151" s="5"/>
    </row>
    <row r="152" spans="3:3" x14ac:dyDescent="0.2">
      <c r="C152" s="5"/>
    </row>
    <row r="153" spans="3:3" x14ac:dyDescent="0.2">
      <c r="C153" s="5"/>
    </row>
    <row r="154" spans="3:3" x14ac:dyDescent="0.2">
      <c r="C154" s="5"/>
    </row>
  </sheetData>
  <autoFilter ref="B4:F115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topLeftCell="A2" workbookViewId="0">
      <selection activeCell="L26" sqref="L26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"/>
  <sheetViews>
    <sheetView workbookViewId="0"/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 t="s">
        <v>59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2024-11-25T18:33:27Z</dcterms:modified>
</cp:coreProperties>
</file>