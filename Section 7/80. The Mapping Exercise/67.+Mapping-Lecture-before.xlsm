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9351B8E1-9728-8E5E-8161-817DCB669FF3}"/>
  <workbookPr filterPrivacy="1" codeName="ThisWorkbook" defaultThemeVersion="124226"/>
  <xr:revisionPtr revIDLastSave="0" documentId="13_ncr:1_{3C88966E-48D8-4FAF-8DBC-4888393E322A}" xr6:coauthVersionLast="47" xr6:coauthVersionMax="47" xr10:uidLastSave="{00000000-0000-0000-0000-000000000000}"/>
  <bookViews>
    <workbookView xWindow="-120" yWindow="-120" windowWidth="29040" windowHeight="15840" firstSheet="1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externalReferences>
    <externalReference r:id="rId16"/>
  </externalReference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6" i="10" l="1"/>
  <c r="M46" i="10" s="1"/>
  <c r="J5" i="10"/>
  <c r="M5" i="10" s="1"/>
  <c r="J6" i="10"/>
  <c r="M6" i="10" s="1"/>
  <c r="J7" i="10"/>
  <c r="M7" i="10" s="1"/>
  <c r="J8" i="10"/>
  <c r="M8" i="10" s="1"/>
  <c r="J9" i="10"/>
  <c r="M9" i="10" s="1"/>
  <c r="J10" i="10"/>
  <c r="M10" i="10" s="1"/>
  <c r="J11" i="10"/>
  <c r="M11" i="10" s="1"/>
  <c r="J12" i="10"/>
  <c r="M12" i="10" s="1"/>
  <c r="J13" i="10"/>
  <c r="M13" i="10" s="1"/>
  <c r="J14" i="10"/>
  <c r="M14" i="10" s="1"/>
  <c r="J15" i="10"/>
  <c r="M15" i="10" s="1"/>
  <c r="J16" i="10"/>
  <c r="M16" i="10" s="1"/>
  <c r="J17" i="10"/>
  <c r="M17" i="10" s="1"/>
  <c r="J18" i="10"/>
  <c r="M18" i="10" s="1"/>
  <c r="J19" i="10"/>
  <c r="M19" i="10" s="1"/>
  <c r="J20" i="10"/>
  <c r="M20" i="10" s="1"/>
  <c r="J21" i="10"/>
  <c r="M21" i="10" s="1"/>
  <c r="J22" i="10"/>
  <c r="M22" i="10" s="1"/>
  <c r="J23" i="10"/>
  <c r="M23" i="10" s="1"/>
  <c r="J24" i="10"/>
  <c r="M24" i="10" s="1"/>
  <c r="J25" i="10"/>
  <c r="M25" i="10" s="1"/>
  <c r="J26" i="10"/>
  <c r="M26" i="10" s="1"/>
  <c r="J27" i="10"/>
  <c r="M27" i="10" s="1"/>
  <c r="J28" i="10"/>
  <c r="M28" i="10" s="1"/>
  <c r="J29" i="10"/>
  <c r="M29" i="10" s="1"/>
  <c r="J30" i="10"/>
  <c r="M30" i="10" s="1"/>
  <c r="J31" i="10"/>
  <c r="M31" i="10" s="1"/>
  <c r="J32" i="10"/>
  <c r="M32" i="10" s="1"/>
  <c r="J33" i="10"/>
  <c r="M33" i="10" s="1"/>
  <c r="J34" i="10"/>
  <c r="M34" i="10" s="1"/>
  <c r="J35" i="10"/>
  <c r="M35" i="10" s="1"/>
  <c r="J36" i="10"/>
  <c r="M36" i="10" s="1"/>
  <c r="J37" i="10"/>
  <c r="M37" i="10" s="1"/>
  <c r="J38" i="10"/>
  <c r="M38" i="10" s="1"/>
  <c r="J39" i="10"/>
  <c r="M39" i="10" s="1"/>
  <c r="J40" i="10"/>
  <c r="M40" i="10" s="1"/>
  <c r="J41" i="10"/>
  <c r="M41" i="10" s="1"/>
  <c r="J42" i="10"/>
  <c r="M42" i="10" s="1"/>
  <c r="J43" i="10"/>
  <c r="M43" i="10" s="1"/>
  <c r="J44" i="10"/>
  <c r="M44" i="10" s="1"/>
  <c r="J45" i="10"/>
  <c r="M45" i="10" s="1"/>
  <c r="J47" i="10"/>
  <c r="M47" i="10" s="1"/>
  <c r="J48" i="10"/>
  <c r="M48" i="10" s="1"/>
  <c r="J49" i="10"/>
  <c r="M49" i="10" s="1"/>
  <c r="J50" i="10"/>
  <c r="M50" i="10" s="1"/>
  <c r="J51" i="10"/>
  <c r="M51" i="10" s="1"/>
  <c r="J52" i="10"/>
  <c r="M52" i="10" s="1"/>
  <c r="J53" i="10"/>
  <c r="M53" i="10" s="1"/>
  <c r="J54" i="10"/>
  <c r="M54" i="10" s="1"/>
  <c r="J55" i="10"/>
  <c r="M55" i="10" s="1"/>
  <c r="J56" i="10"/>
  <c r="M56" i="10" s="1"/>
  <c r="J57" i="10"/>
  <c r="M57" i="10" s="1"/>
  <c r="J58" i="10"/>
  <c r="M58" i="10" s="1"/>
  <c r="J59" i="10"/>
  <c r="M59" i="10" s="1"/>
  <c r="J60" i="10"/>
  <c r="M60" i="10" s="1"/>
  <c r="J61" i="10"/>
  <c r="M61" i="10" s="1"/>
  <c r="J62" i="10"/>
  <c r="M62" i="10" s="1"/>
  <c r="J63" i="10"/>
  <c r="M63" i="10" s="1"/>
  <c r="J64" i="10"/>
  <c r="M64" i="10" s="1"/>
  <c r="J65" i="10"/>
  <c r="M65" i="10" s="1"/>
  <c r="J66" i="10"/>
  <c r="M66" i="10" s="1"/>
  <c r="J67" i="10"/>
  <c r="M67" i="10" s="1"/>
  <c r="J68" i="10"/>
  <c r="M68" i="10" s="1"/>
  <c r="J69" i="10"/>
  <c r="M69" i="10" s="1"/>
  <c r="J70" i="10"/>
  <c r="M70" i="10" s="1"/>
  <c r="J71" i="10"/>
  <c r="M71" i="10" s="1"/>
  <c r="J72" i="10"/>
  <c r="M72" i="10" s="1"/>
  <c r="J73" i="10"/>
  <c r="M73" i="10" s="1"/>
  <c r="J74" i="10"/>
  <c r="M74" i="10" s="1"/>
  <c r="J75" i="10"/>
  <c r="M75" i="10" s="1"/>
  <c r="J76" i="10"/>
  <c r="M76" i="10" s="1"/>
  <c r="J77" i="10"/>
  <c r="M77" i="10" s="1"/>
  <c r="J78" i="10"/>
  <c r="M78" i="10" s="1"/>
  <c r="J79" i="10"/>
  <c r="M79" i="10" s="1"/>
  <c r="J80" i="10"/>
  <c r="M80" i="10" s="1"/>
  <c r="J81" i="10"/>
  <c r="M81" i="10" s="1"/>
  <c r="J82" i="10"/>
  <c r="M82" i="10" s="1"/>
  <c r="J83" i="10"/>
  <c r="M83" i="10" s="1"/>
  <c r="J84" i="10"/>
  <c r="M84" i="10" s="1"/>
  <c r="J85" i="10"/>
  <c r="M85" i="10" s="1"/>
  <c r="J86" i="10"/>
  <c r="M86" i="10" s="1"/>
  <c r="J87" i="10"/>
  <c r="M87" i="10" s="1"/>
  <c r="J88" i="10"/>
  <c r="M88" i="10" s="1"/>
  <c r="J89" i="10"/>
  <c r="M89" i="10" s="1"/>
  <c r="J90" i="10"/>
  <c r="M90" i="10" s="1"/>
  <c r="J91" i="10"/>
  <c r="M91" i="10" s="1"/>
  <c r="J92" i="10"/>
  <c r="M92" i="10" s="1"/>
  <c r="J93" i="10"/>
  <c r="M93" i="10" s="1"/>
  <c r="J94" i="10"/>
  <c r="M94" i="10" s="1"/>
  <c r="J95" i="10"/>
  <c r="M95" i="10" s="1"/>
  <c r="J96" i="10"/>
  <c r="M96" i="10" s="1"/>
  <c r="J97" i="10"/>
  <c r="M97" i="10" s="1"/>
  <c r="J98" i="10"/>
  <c r="M98" i="10" s="1"/>
  <c r="J99" i="10"/>
  <c r="M99" i="10" s="1"/>
  <c r="J100" i="10"/>
  <c r="M100" i="10" s="1"/>
  <c r="J101" i="10"/>
  <c r="M101" i="10" s="1"/>
  <c r="J102" i="10"/>
  <c r="M102" i="10" s="1"/>
  <c r="J103" i="10"/>
  <c r="M103" i="10" s="1"/>
  <c r="J104" i="10"/>
  <c r="M104" i="10" s="1"/>
  <c r="J105" i="10"/>
  <c r="M105" i="10" s="1"/>
  <c r="J106" i="10"/>
  <c r="M106" i="10" s="1"/>
  <c r="J107" i="10"/>
  <c r="M107" i="10" s="1"/>
  <c r="J108" i="10"/>
  <c r="M108" i="10" s="1"/>
  <c r="J4" i="10"/>
  <c r="M4" i="10" s="1"/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<sst xmlns="http://schemas.openxmlformats.org/spreadsheetml/2006/main" count="958" uniqueCount="243">
  <si>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</si>
  <si>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</si>
  <si>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</si>
  <si>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</si>
  <si>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</si>
  <si>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</si>
  <si>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</si>
  <si>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</si>
  <si>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</si>
  <si>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</si>
  <si>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</si>
  <si>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</si>
  <si>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</si>
  <si>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</si>
  <si>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</si>
  <si>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</si>
  <si>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</si>
  <si>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</si>
  <si>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</si>
  <si>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</si>
  <si>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</si>
  <si>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</si>
  <si>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</si>
  <si>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</si>
  <si>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</si>
  <si>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</si>
  <si>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</si>
  <si>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</si>
  <si>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</si>
  <si>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</si>
  <si>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</si>
  <si>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</si>
  <si>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</si>
  <si>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</si>
  <si>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</si>
  <si>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</si>
  <si>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</si>
  <si>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</si>
  <si>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</si>
  <si>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</si>
  <si>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</si>
  <si>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</si>
  <si>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</si>
  <si>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</si>
  <si>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</si>
  <si>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</si>
  <si>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</si>
  <si>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</si>
  <si>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</si>
  <si>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</si>
  <si>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</si>
  <si>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</si>
  <si>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</si>
  <si>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</si>
  <si>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</si>
  <si>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</si>
  <si>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</si>
  <si>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</si>
  <si>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</si>
  <si>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</si>
  <si>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</si>
  <si>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</si>
  <si>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</si>
  <si>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</si>
  <si>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</si>
  <si>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</si>
  <si>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</si>
  <si>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</si>
  <si>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</si>
  <si>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</si>
  <si>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</si>
  <si>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</si>
  <si>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</si>
  <si>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</si>
  <si>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</si>
  <si>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</si>
  <si>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</si>
  <si>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</si>
  <si>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</si>
  <si>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</si>
  <si>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</si>
  <si>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</si>
  <si>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</si>
  <si>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</si>
  <si>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</si>
  <si>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</si>
  <si>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</si>
  <si>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</si>
  <si>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</si>
  <si>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</si>
  <si>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</si>
  <si>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</si>
  <si>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</si>
  <si>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</si>
  <si>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</si>
  <si>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</si>
  <si>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</si>
  <si>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</si>
  <si>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</si>
  <si>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</si>
  <si>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</si>
  <si>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</si>
  <si>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</si>
  <si>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</si>
  <si>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</si>
  <si>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</si>
  <si>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</si>
  <si>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</si>
  <si>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</si>
  <si>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</si>
  <si>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</si>
  <si>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</si>
  <si>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</si>
  <si>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</si>
  <si>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</si>
  <si>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</si>
  <si>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</si>
  <si>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</si>
  <si>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</si>
  <si>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</si>
  <si>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</si>
  <si>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</si>
  <si>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</si>
  <si>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</si>
  <si>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</si>
  <si>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</si>
  <si>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</si>
  <si>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</si>
  <si>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</si>
  <si>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</si>
  <si>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</si>
  <si>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</si>
  <si>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</si>
  <si>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</si>
  <si>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</si>
  <si>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</si>
  <si>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</si>
  <si>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</si>
  <si>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</si>
  <si>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</si>
  <si>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</si>
  <si>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</si>
  <si>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</si>
  <si>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</si>
  <si>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</si>
  <si>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</si>
  <si>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</si>
  <si>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</si>
  <si>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</si>
  <si>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</si>
  <si>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</si>
  <si>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</si>
  <si>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</si>
  <si>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</si>
  <si>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</si>
  <si>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</si>
  <si>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</si>
  <si>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</si>
  <si>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</si>
  <si>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</si>
  <si>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</si>
  <si>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</si>
  <si>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</si>
  <si>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</si>
  <si>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</si>
  <si>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</si>
  <si>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</si>
  <si>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</si>
  <si>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</si>
  <si>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</si>
  <si>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</si>
  <si>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</si>
  <si>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</si>
  <si>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</si>
  <si>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</si>
  <si>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</si>
  <si>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</si>
  <si>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</si>
  <si>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</si>
  <si>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</si>
  <si>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</si>
  <si>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</si>
  <si>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</si>
  <si>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</si>
  <si>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</si>
  <si>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</si>
  <si>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</si>
  <si>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</si>
  <si>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</si>
  <si>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</si>
  <si>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</si>
  <si>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</si>
  <si>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</si>
  <si>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</si>
  <si>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</si>
  <si>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</si>
  <si>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</si>
  <si>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</si>
  <si>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</si>
  <si>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</si>
  <si>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</si>
  <si>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</si>
  <si>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</si>
  <si>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</si>
  <si>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</si>
  <si>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</si>
  <si>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</si>
  <si>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</si>
  <si>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</si>
  <si>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</si>
  <si>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</si>
  <si>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</si>
  <si>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</si>
  <si>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</si>
  <si>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</si>
  <si>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</si>
  <si>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</si>
  <si>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</si>
  <si>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</si>
  <si>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</si>
  <si>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</si>
  <si>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</si>
  <si>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</si>
  <si>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</si>
  <si>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</si>
  <si>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</si>
  <si>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</si>
  <si>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Recharges</t>
  </si>
  <si>
    <t>Total revenues</t>
  </si>
  <si>
    <t>Gross margin</t>
  </si>
  <si>
    <t>Other operating expenses</t>
  </si>
  <si>
    <t>Personnel expenses</t>
  </si>
  <si>
    <t>Leasing</t>
  </si>
  <si>
    <t>Services</t>
  </si>
  <si>
    <t>Travel costs</t>
  </si>
  <si>
    <t>EBITDA</t>
  </si>
  <si>
    <t>EBIT</t>
  </si>
  <si>
    <t>Financial items</t>
  </si>
  <si>
    <t>Extraordinary items</t>
  </si>
  <si>
    <t>EBT</t>
  </si>
  <si>
    <t>Taxes</t>
  </si>
  <si>
    <t>Net Income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</si>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</sst>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0" borderId="0" xfId="0" applyFont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ata_science\udemy_economics\Section%207\80.%20The%20Mapping%20Exercise\67.+Mapping-Lecture-after.xlsm" TargetMode="External"/><Relationship Id="rId1" Type="http://schemas.openxmlformats.org/officeDocument/2006/relationships/externalLinkPath" Target="67.+Mapping-Lecture-af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ex --&gt;"/>
      <sheetName val="Index"/>
      <sheetName val="1. P&amp;L extractions --&gt;"/>
      <sheetName val="1.1 FY2016"/>
      <sheetName val="1.2 FY2017"/>
      <sheetName val="1.3 FY2018"/>
      <sheetName val="2. Building a P&amp;L --&gt;"/>
      <sheetName val="2.1 Database"/>
      <sheetName val="2.2 P&amp;L statement"/>
      <sheetName val="3. Charts"/>
      <sheetName val="Stacked column"/>
      <sheetName val="Dougnut chart"/>
      <sheetName val="Area chart"/>
      <sheetName val="Bridge Chart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4">
          <cell r="J4" t="str">
            <v>Net Sales</v>
          </cell>
        </row>
        <row r="5">
          <cell r="J5" t="str">
            <v>Other revenues</v>
          </cell>
        </row>
        <row r="6">
          <cell r="J6" t="str">
            <v>Capitalized costs</v>
          </cell>
        </row>
        <row r="7">
          <cell r="J7" t="str">
            <v>Capitalized costs</v>
          </cell>
        </row>
        <row r="8">
          <cell r="J8" t="str">
            <v>Capitalized costs</v>
          </cell>
        </row>
        <row r="9">
          <cell r="J9" t="str">
            <v>Capitalized costs</v>
          </cell>
        </row>
        <row r="10">
          <cell r="J10" t="str">
            <v>Direct costs</v>
          </cell>
        </row>
        <row r="11">
          <cell r="J11" t="str">
            <v>Other operating expenses</v>
          </cell>
        </row>
        <row r="12">
          <cell r="J12" t="str">
            <v>Other operating expenses</v>
          </cell>
        </row>
        <row r="13">
          <cell r="J13" t="str">
            <v>Other operating expenses</v>
          </cell>
        </row>
        <row r="14">
          <cell r="J14" t="str">
            <v>Personnel expenses</v>
          </cell>
        </row>
        <row r="15">
          <cell r="J15" t="str">
            <v>Personnel expenses</v>
          </cell>
        </row>
        <row r="16">
          <cell r="J16" t="str">
            <v>Personnel expenses</v>
          </cell>
        </row>
        <row r="17">
          <cell r="J17" t="str">
            <v>Personnel expenses</v>
          </cell>
        </row>
        <row r="18">
          <cell r="J18" t="str">
            <v>D&amp;A</v>
          </cell>
        </row>
        <row r="19">
          <cell r="J19" t="str">
            <v>D&amp;A</v>
          </cell>
        </row>
        <row r="20">
          <cell r="J20" t="str">
            <v>Recharges</v>
          </cell>
        </row>
        <row r="21">
          <cell r="J21" t="str">
            <v>Recharges</v>
          </cell>
        </row>
        <row r="22">
          <cell r="J22" t="str">
            <v>Recharges</v>
          </cell>
        </row>
        <row r="23">
          <cell r="J23" t="str">
            <v>Recharges</v>
          </cell>
        </row>
        <row r="24">
          <cell r="J24" t="str">
            <v>Recharges</v>
          </cell>
        </row>
        <row r="25">
          <cell r="J25" t="str">
            <v>Recharges</v>
          </cell>
        </row>
        <row r="26">
          <cell r="J26" t="str">
            <v>Recharges</v>
          </cell>
        </row>
        <row r="27">
          <cell r="J27" t="str">
            <v>Recharges</v>
          </cell>
        </row>
        <row r="28">
          <cell r="J28" t="str">
            <v>Recharges</v>
          </cell>
        </row>
        <row r="29">
          <cell r="J29" t="str">
            <v>Other income</v>
          </cell>
        </row>
        <row r="30">
          <cell r="J30" t="str">
            <v>Other operating expenses</v>
          </cell>
        </row>
        <row r="31">
          <cell r="J31" t="str">
            <v>Other operating expenses</v>
          </cell>
        </row>
        <row r="32">
          <cell r="J32" t="str">
            <v>Other operating expenses</v>
          </cell>
        </row>
        <row r="33">
          <cell r="J33" t="str">
            <v>Leasing</v>
          </cell>
        </row>
        <row r="34">
          <cell r="J34" t="str">
            <v>Services</v>
          </cell>
        </row>
        <row r="35">
          <cell r="J35" t="str">
            <v>Services</v>
          </cell>
        </row>
        <row r="36">
          <cell r="J36" t="str">
            <v>Services</v>
          </cell>
        </row>
        <row r="37">
          <cell r="J37" t="str">
            <v>Other operating expenses</v>
          </cell>
        </row>
        <row r="38">
          <cell r="J38" t="str">
            <v>Other operating expenses</v>
          </cell>
        </row>
        <row r="39">
          <cell r="J39" t="str">
            <v>Travel costs</v>
          </cell>
        </row>
        <row r="40">
          <cell r="J40" t="str">
            <v>Other operating expenses</v>
          </cell>
        </row>
        <row r="41">
          <cell r="J41" t="str">
            <v>Other operating expenses</v>
          </cell>
        </row>
        <row r="42">
          <cell r="J42" t="str">
            <v>Other operating expenses</v>
          </cell>
        </row>
        <row r="43">
          <cell r="J43" t="str">
            <v>Other operating expenses</v>
          </cell>
        </row>
        <row r="44">
          <cell r="J44" t="str">
            <v>Other operating expenses</v>
          </cell>
        </row>
        <row r="45">
          <cell r="J45" t="str">
            <v>Other operating expenses</v>
          </cell>
        </row>
        <row r="49">
          <cell r="J49" t="str">
            <v>Financial items</v>
          </cell>
        </row>
        <row r="50">
          <cell r="J50" t="str">
            <v>Financial items</v>
          </cell>
        </row>
        <row r="51">
          <cell r="J51" t="str">
            <v>Financial items</v>
          </cell>
        </row>
        <row r="52">
          <cell r="J52" t="str">
            <v>Financial items</v>
          </cell>
        </row>
        <row r="53">
          <cell r="J53" t="str">
            <v>Financial items</v>
          </cell>
        </row>
        <row r="54">
          <cell r="J54" t="str">
            <v>Capitalized costs</v>
          </cell>
        </row>
        <row r="55">
          <cell r="J55" t="str">
            <v>Extraordinary items</v>
          </cell>
        </row>
        <row r="56">
          <cell r="J56" t="str">
            <v>Financial items</v>
          </cell>
        </row>
        <row r="57">
          <cell r="J57" t="str">
            <v>Taxes</v>
          </cell>
        </row>
        <row r="58">
          <cell r="J58" t="str">
            <v>Taxes</v>
          </cell>
        </row>
        <row r="59">
          <cell r="J59" t="str">
            <v>Taxes</v>
          </cell>
        </row>
        <row r="60">
          <cell r="J60" t="str">
            <v>Net Income</v>
          </cell>
        </row>
        <row r="61">
          <cell r="J61" t="str">
            <v>Net sales</v>
          </cell>
        </row>
        <row r="62">
          <cell r="J62" t="str">
            <v>Capitalized costs</v>
          </cell>
        </row>
        <row r="63">
          <cell r="J63" t="str">
            <v>Other operating expenses</v>
          </cell>
        </row>
        <row r="64">
          <cell r="J64" t="str">
            <v>Other operating expenses</v>
          </cell>
        </row>
        <row r="65">
          <cell r="J65" t="str">
            <v>Other operating expenses</v>
          </cell>
        </row>
        <row r="66">
          <cell r="J66" t="str">
            <v>Other operating expenses</v>
          </cell>
        </row>
        <row r="67">
          <cell r="J67" t="str">
            <v>Other operating expenses</v>
          </cell>
        </row>
        <row r="68">
          <cell r="J68" t="str">
            <v>Personnel expenses</v>
          </cell>
        </row>
        <row r="69">
          <cell r="J69" t="str">
            <v>D&amp;A</v>
          </cell>
        </row>
        <row r="70">
          <cell r="J70" t="str">
            <v>Extraordinary items</v>
          </cell>
        </row>
        <row r="71">
          <cell r="J71" t="str">
            <v>Recharges</v>
          </cell>
        </row>
        <row r="72">
          <cell r="J72" t="str">
            <v>Recharges</v>
          </cell>
        </row>
        <row r="73">
          <cell r="J73" t="str">
            <v>Recharges</v>
          </cell>
        </row>
        <row r="74">
          <cell r="J74" t="str">
            <v>Recharges</v>
          </cell>
        </row>
        <row r="75">
          <cell r="J75" t="str">
            <v>Other income</v>
          </cell>
        </row>
        <row r="76">
          <cell r="J76" t="str">
            <v>Other operating expenses</v>
          </cell>
        </row>
        <row r="77">
          <cell r="J77" t="str">
            <v>Services</v>
          </cell>
        </row>
        <row r="79">
          <cell r="J79" t="str">
            <v>Other operating expenses</v>
          </cell>
        </row>
        <row r="80">
          <cell r="J80" t="str">
            <v>Extraordinary items</v>
          </cell>
        </row>
        <row r="81">
          <cell r="J81" t="str">
            <v>Other operating expenses</v>
          </cell>
        </row>
        <row r="82">
          <cell r="J82" t="str">
            <v>Other operating expenses</v>
          </cell>
        </row>
        <row r="83">
          <cell r="J83" t="str">
            <v>Other operating expenses</v>
          </cell>
        </row>
        <row r="84">
          <cell r="J84" t="str">
            <v>Extraordinary items</v>
          </cell>
        </row>
        <row r="85">
          <cell r="J85" t="str">
            <v>Extraordinary items</v>
          </cell>
        </row>
        <row r="86">
          <cell r="J86" t="str">
            <v>Extraordinary items</v>
          </cell>
        </row>
        <row r="88">
          <cell r="J88" t="str">
            <v>Financial items</v>
          </cell>
        </row>
        <row r="89">
          <cell r="J89" t="str">
            <v>Financial items</v>
          </cell>
        </row>
        <row r="90">
          <cell r="J90" t="str">
            <v>Financial items</v>
          </cell>
        </row>
        <row r="91">
          <cell r="J91" t="str">
            <v>Financial items</v>
          </cell>
        </row>
        <row r="92">
          <cell r="J92" t="str">
            <v>Extraordinary items</v>
          </cell>
        </row>
        <row r="94">
          <cell r="J94" t="str">
            <v>Net Income</v>
          </cell>
        </row>
        <row r="95">
          <cell r="J95" t="str">
            <v>Other operating expenses</v>
          </cell>
        </row>
        <row r="96">
          <cell r="J96" t="str">
            <v>Other operating expenses</v>
          </cell>
        </row>
        <row r="97">
          <cell r="J97" t="str">
            <v>Other operating expenses</v>
          </cell>
        </row>
        <row r="98">
          <cell r="J98" t="str">
            <v>Other operating expenses</v>
          </cell>
        </row>
        <row r="99">
          <cell r="J99" t="str">
            <v>Other operating expenses</v>
          </cell>
        </row>
        <row r="100">
          <cell r="J100" t="str">
            <v>Other operating expenses</v>
          </cell>
        </row>
        <row r="101">
          <cell r="J101" t="str">
            <v>Recharges</v>
          </cell>
        </row>
        <row r="102">
          <cell r="J102" t="str">
            <v>Other operating expenses</v>
          </cell>
        </row>
        <row r="103">
          <cell r="J103" t="str">
            <v>Other income</v>
          </cell>
        </row>
        <row r="104">
          <cell r="J104" t="str">
            <v>Leasing</v>
          </cell>
        </row>
        <row r="105">
          <cell r="J105" t="str">
            <v>Other operating expenses</v>
          </cell>
        </row>
        <row r="106">
          <cell r="J106" t="str">
            <v>Other operating expenses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6" t="s">
        <v>57</v>
      </c>
    </row>
    <row r="4" spans="2:4" ht="12.75" thickBot="1" x14ac:dyDescent="0.25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x14ac:dyDescent="0.2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x14ac:dyDescent="0.2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x14ac:dyDescent="0.2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40625" defaultRowHeight="15" x14ac:dyDescent="0.25"/>
  <cols>
    <col min="1" max="1" width="2" style="2" customWidth="1"/>
    <col min="2" max="2" width="11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1" style="2" bestFit="1" customWidth="1"/>
    <col min="9" max="16384" width="9.140625" style="2"/>
  </cols>
  <sheetData>
    <row r="1" spans="2:7" ht="15.75" x14ac:dyDescent="0.25">
      <c r="C1" s="3" t="s">
        <v>112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2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2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2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2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2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2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2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2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2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2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2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2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2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2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2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2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2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2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2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2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2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2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2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2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2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2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2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2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2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2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2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2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2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2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2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2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2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2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2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2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2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2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2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2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2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2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2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2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2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2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2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2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2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2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2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2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25">
      <c r="D62" s="5"/>
    </row>
    <row r="63" spans="2:7" x14ac:dyDescent="0.25">
      <c r="D63" s="5"/>
    </row>
    <row r="64" spans="2:7" x14ac:dyDescent="0.25">
      <c r="D64" s="5"/>
    </row>
    <row r="65" spans="4:4" x14ac:dyDescent="0.25">
      <c r="D65" s="5"/>
    </row>
    <row r="66" spans="4:4" x14ac:dyDescent="0.25">
      <c r="D66" s="5"/>
    </row>
    <row r="67" spans="4:4" x14ac:dyDescent="0.25">
      <c r="D67" s="5"/>
    </row>
    <row r="68" spans="4:4" x14ac:dyDescent="0.25">
      <c r="D68" s="5"/>
    </row>
    <row r="69" spans="4:4" x14ac:dyDescent="0.25">
      <c r="D69" s="5"/>
    </row>
    <row r="70" spans="4:4" x14ac:dyDescent="0.25">
      <c r="D70" s="5"/>
    </row>
    <row r="71" spans="4:4" x14ac:dyDescent="0.25">
      <c r="D71" s="5"/>
    </row>
    <row r="72" spans="4:4" x14ac:dyDescent="0.25">
      <c r="D72" s="5"/>
    </row>
    <row r="73" spans="4:4" x14ac:dyDescent="0.25">
      <c r="D73" s="5"/>
    </row>
    <row r="74" spans="4:4" x14ac:dyDescent="0.25">
      <c r="D74" s="5"/>
    </row>
    <row r="75" spans="4:4" x14ac:dyDescent="0.25">
      <c r="D75" s="5"/>
    </row>
    <row r="76" spans="4:4" x14ac:dyDescent="0.25">
      <c r="D76" s="5"/>
    </row>
    <row r="77" spans="4:4" x14ac:dyDescent="0.25">
      <c r="D77" s="5"/>
    </row>
    <row r="78" spans="4:4" x14ac:dyDescent="0.25">
      <c r="D78" s="5"/>
    </row>
    <row r="79" spans="4:4" x14ac:dyDescent="0.25">
      <c r="D79" s="5"/>
    </row>
    <row r="80" spans="4:4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9" max="16384" width="9.140625" style="2"/>
  </cols>
  <sheetData>
    <row r="1" spans="2:7" ht="15.75" x14ac:dyDescent="0.25">
      <c r="B1" s="3" t="s">
        <v>113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2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2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2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2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2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2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2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2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2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2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2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2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2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2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2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2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2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2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2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2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2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2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2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2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2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2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2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2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2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2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2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2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2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2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2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2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2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2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2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2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2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2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2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2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2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2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2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2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2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2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2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2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2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2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2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2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2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2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2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2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2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2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2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2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2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2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2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2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2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2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2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2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2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2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2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2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2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2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25">
      <c r="D87" s="5"/>
    </row>
    <row r="88" spans="2:7" x14ac:dyDescent="0.25">
      <c r="D88" s="5"/>
    </row>
    <row r="89" spans="2:7" x14ac:dyDescent="0.25">
      <c r="D89" s="5"/>
    </row>
    <row r="90" spans="2:7" x14ac:dyDescent="0.25">
      <c r="D90" s="5"/>
    </row>
    <row r="91" spans="2:7" x14ac:dyDescent="0.25">
      <c r="D91" s="5"/>
    </row>
    <row r="92" spans="2:7" x14ac:dyDescent="0.25">
      <c r="D92" s="5"/>
    </row>
    <row r="93" spans="2:7" x14ac:dyDescent="0.25">
      <c r="D93" s="5"/>
    </row>
    <row r="94" spans="2:7" x14ac:dyDescent="0.25">
      <c r="D94" s="5"/>
    </row>
    <row r="95" spans="2:7" x14ac:dyDescent="0.25">
      <c r="D95" s="5"/>
    </row>
    <row r="96" spans="2:7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9" max="16384" width="9.140625" style="2"/>
  </cols>
  <sheetData>
    <row r="1" spans="2:7" ht="15.75" x14ac:dyDescent="0.25">
      <c r="B1" s="3" t="s">
        <v>114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2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2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2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2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2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2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2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2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2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2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2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2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2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2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2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2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2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2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2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2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2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2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2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2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2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2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2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2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2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2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2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2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2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2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2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2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2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2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2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2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2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2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2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2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2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2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2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2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2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2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2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2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2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2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2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2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2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2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2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2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2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2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2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2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2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2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2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2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2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2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25">
      <c r="D79" s="5"/>
    </row>
    <row r="80" spans="2:7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215"/>
  <sheetViews>
    <sheetView tabSelected="1" topLeftCell="A18" zoomScale="130" zoomScaleNormal="130" workbookViewId="0">
      <selection activeCell="I79" sqref="I79"/>
    </sheetView>
  </sheetViews>
  <sheetFormatPr defaultColWidth="9.140625" defaultRowHeight="12" x14ac:dyDescent="0.2"/>
  <cols>
    <col min="1" max="1" width="2" style="2" customWidth="1"/>
    <col min="2" max="2" width="16.28515625" style="2" customWidth="1"/>
    <col min="3" max="3" width="33.28515625" style="2" customWidth="1"/>
    <col min="4" max="4" width="14.140625" style="2" bestFit="1" customWidth="1"/>
    <col min="5" max="5" width="21.140625" style="2" bestFit="1" customWidth="1"/>
    <col min="6" max="8" width="11" style="2" bestFit="1" customWidth="1"/>
    <col min="9" max="9" width="2" style="2" customWidth="1"/>
    <col min="10" max="16384" width="9.140625" style="2"/>
  </cols>
  <sheetData>
    <row r="1" spans="2:13" ht="15.75" x14ac:dyDescent="0.25">
      <c r="B1" s="3" t="s">
        <v>56</v>
      </c>
    </row>
    <row r="3" spans="2:13" ht="12.75" thickBot="1" x14ac:dyDescent="0.25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3" x14ac:dyDescent="0.2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tr">
        <f>_xlfn.XLOOKUP(C4,'2.2 P&amp;L statement'!$Q$2:$Q$47,'2.2 P&amp;L statement'!$R$2:$R$47)</f>
        <v>Net Sales</v>
      </c>
      <c r="M4" s="2" t="b">
        <f>J4='[1]2.1 Database'!J4</f>
        <v>1</v>
      </c>
    </row>
    <row r="5" spans="2:13" x14ac:dyDescent="0.2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tr">
        <f>_xlfn.XLOOKUP(C5,'2.2 P&amp;L statement'!$Q$2:$Q$47,'2.2 P&amp;L statement'!$R$2:$R$47)</f>
        <v>Other revenues</v>
      </c>
      <c r="M5" s="2" t="b">
        <f>J5='[1]2.1 Database'!J5</f>
        <v>1</v>
      </c>
    </row>
    <row r="6" spans="2:13" x14ac:dyDescent="0.2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tr">
        <f>_xlfn.XLOOKUP(C6,'2.2 P&amp;L statement'!$Q$2:$Q$47,'2.2 P&amp;L statement'!$R$2:$R$47)</f>
        <v>Capitalized costs</v>
      </c>
      <c r="M6" s="2" t="b">
        <f>J6='[1]2.1 Database'!J6</f>
        <v>1</v>
      </c>
    </row>
    <row r="7" spans="2:13" x14ac:dyDescent="0.2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tr">
        <f>_xlfn.XLOOKUP(C7,'2.2 P&amp;L statement'!$Q$2:$Q$47,'2.2 P&amp;L statement'!$R$2:$R$47)</f>
        <v>Capitalized costs</v>
      </c>
      <c r="M7" s="2" t="b">
        <f>J7='[1]2.1 Database'!J7</f>
        <v>1</v>
      </c>
    </row>
    <row r="8" spans="2:13" x14ac:dyDescent="0.2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tr">
        <f>_xlfn.XLOOKUP(C8,'2.2 P&amp;L statement'!$Q$2:$Q$47,'2.2 P&amp;L statement'!$R$2:$R$47)</f>
        <v>Capitalized costs</v>
      </c>
      <c r="M8" s="2" t="b">
        <f>J8='[1]2.1 Database'!J8</f>
        <v>1</v>
      </c>
    </row>
    <row r="9" spans="2:13" x14ac:dyDescent="0.2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tr">
        <f>_xlfn.XLOOKUP(C9,'2.2 P&amp;L statement'!$Q$2:$Q$47,'2.2 P&amp;L statement'!$R$2:$R$47)</f>
        <v>Capitalized costs</v>
      </c>
      <c r="M9" s="2" t="b">
        <f>J9='[1]2.1 Database'!J9</f>
        <v>1</v>
      </c>
    </row>
    <row r="10" spans="2:13" x14ac:dyDescent="0.2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tr">
        <f>_xlfn.XLOOKUP(C10,'2.2 P&amp;L statement'!$Q$2:$Q$47,'2.2 P&amp;L statement'!$R$2:$R$47)</f>
        <v>Direct costs</v>
      </c>
      <c r="M10" s="2" t="b">
        <f>J10='[1]2.1 Database'!J10</f>
        <v>1</v>
      </c>
    </row>
    <row r="11" spans="2:13" x14ac:dyDescent="0.2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tr">
        <f>_xlfn.XLOOKUP(C11,'2.2 P&amp;L statement'!$Q$2:$Q$47,'2.2 P&amp;L statement'!$R$2:$R$47)</f>
        <v>Other operating expenses</v>
      </c>
      <c r="M11" s="2" t="b">
        <f>J11='[1]2.1 Database'!J11</f>
        <v>1</v>
      </c>
    </row>
    <row r="12" spans="2:13" x14ac:dyDescent="0.2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tr">
        <f>_xlfn.XLOOKUP(C12,'2.2 P&amp;L statement'!$Q$2:$Q$47,'2.2 P&amp;L statement'!$R$2:$R$47)</f>
        <v>Other operating expenses</v>
      </c>
      <c r="M12" s="2" t="b">
        <f>J12='[1]2.1 Database'!J12</f>
        <v>1</v>
      </c>
    </row>
    <row r="13" spans="2:13" x14ac:dyDescent="0.2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tr">
        <f>_xlfn.XLOOKUP(C13,'2.2 P&amp;L statement'!$Q$2:$Q$47,'2.2 P&amp;L statement'!$R$2:$R$47)</f>
        <v>Other operating expenses</v>
      </c>
      <c r="M13" s="2" t="b">
        <f>J13='[1]2.1 Database'!J13</f>
        <v>1</v>
      </c>
    </row>
    <row r="14" spans="2:13" x14ac:dyDescent="0.2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tr">
        <f>_xlfn.XLOOKUP(C14,'2.2 P&amp;L statement'!$Q$2:$Q$47,'2.2 P&amp;L statement'!$R$2:$R$47)</f>
        <v>Personnel expenses</v>
      </c>
      <c r="M14" s="2" t="b">
        <f>J14='[1]2.1 Database'!J14</f>
        <v>1</v>
      </c>
    </row>
    <row r="15" spans="2:13" x14ac:dyDescent="0.2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tr">
        <f>_xlfn.XLOOKUP(C15,'2.2 P&amp;L statement'!$Q$2:$Q$47,'2.2 P&amp;L statement'!$R$2:$R$47)</f>
        <v>Personnel expenses</v>
      </c>
      <c r="M15" s="2" t="b">
        <f>J15='[1]2.1 Database'!J15</f>
        <v>1</v>
      </c>
    </row>
    <row r="16" spans="2:13" x14ac:dyDescent="0.2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tr">
        <f>_xlfn.XLOOKUP(C16,'2.2 P&amp;L statement'!$Q$2:$Q$47,'2.2 P&amp;L statement'!$R$2:$R$47)</f>
        <v>Personnel expenses</v>
      </c>
      <c r="M16" s="2" t="b">
        <f>J16='[1]2.1 Database'!J16</f>
        <v>1</v>
      </c>
    </row>
    <row r="17" spans="2:13" x14ac:dyDescent="0.2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tr">
        <f>_xlfn.XLOOKUP(C17,'2.2 P&amp;L statement'!$Q$2:$Q$47,'2.2 P&amp;L statement'!$R$2:$R$47)</f>
        <v>Personnel expenses</v>
      </c>
      <c r="M17" s="2" t="b">
        <f>J17='[1]2.1 Database'!J17</f>
        <v>1</v>
      </c>
    </row>
    <row r="18" spans="2:13" x14ac:dyDescent="0.2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tr">
        <f>_xlfn.XLOOKUP(C18,'2.2 P&amp;L statement'!$Q$2:$Q$47,'2.2 P&amp;L statement'!$R$2:$R$47)</f>
        <v>D&amp;A</v>
      </c>
      <c r="M18" s="2" t="b">
        <f>J18='[1]2.1 Database'!J18</f>
        <v>1</v>
      </c>
    </row>
    <row r="19" spans="2:13" x14ac:dyDescent="0.2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tr">
        <f>_xlfn.XLOOKUP(C19,'2.2 P&amp;L statement'!$Q$2:$Q$47,'2.2 P&amp;L statement'!$R$2:$R$47)</f>
        <v>D&amp;A</v>
      </c>
      <c r="M19" s="2" t="b">
        <f>J19='[1]2.1 Database'!J19</f>
        <v>1</v>
      </c>
    </row>
    <row r="20" spans="2:13" x14ac:dyDescent="0.2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tr">
        <f>_xlfn.XLOOKUP(C20,'2.2 P&amp;L statement'!$Q$2:$Q$47,'2.2 P&amp;L statement'!$R$2:$R$47)</f>
        <v>Recharges</v>
      </c>
      <c r="M20" s="2" t="b">
        <f>J20='[1]2.1 Database'!J20</f>
        <v>1</v>
      </c>
    </row>
    <row r="21" spans="2:13" x14ac:dyDescent="0.2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tr">
        <f>_xlfn.XLOOKUP(C21,'2.2 P&amp;L statement'!$Q$2:$Q$47,'2.2 P&amp;L statement'!$R$2:$R$47)</f>
        <v>Recharges</v>
      </c>
      <c r="M21" s="2" t="b">
        <f>J21='[1]2.1 Database'!J21</f>
        <v>1</v>
      </c>
    </row>
    <row r="22" spans="2:13" x14ac:dyDescent="0.2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tr">
        <f>_xlfn.XLOOKUP(C22,'2.2 P&amp;L statement'!$Q$2:$Q$47,'2.2 P&amp;L statement'!$R$2:$R$47)</f>
        <v>Recharges</v>
      </c>
      <c r="M22" s="2" t="b">
        <f>J22='[1]2.1 Database'!J22</f>
        <v>1</v>
      </c>
    </row>
    <row r="23" spans="2:13" x14ac:dyDescent="0.2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tr">
        <f>_xlfn.XLOOKUP(C23,'2.2 P&amp;L statement'!$Q$2:$Q$47,'2.2 P&amp;L statement'!$R$2:$R$47)</f>
        <v>Recharges</v>
      </c>
      <c r="M23" s="2" t="b">
        <f>J23='[1]2.1 Database'!J23</f>
        <v>1</v>
      </c>
    </row>
    <row r="24" spans="2:13" x14ac:dyDescent="0.2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tr">
        <f>_xlfn.XLOOKUP(C24,'2.2 P&amp;L statement'!$Q$2:$Q$47,'2.2 P&amp;L statement'!$R$2:$R$47)</f>
        <v>Recharges</v>
      </c>
      <c r="M24" s="2" t="b">
        <f>J24='[1]2.1 Database'!J24</f>
        <v>1</v>
      </c>
    </row>
    <row r="25" spans="2:13" x14ac:dyDescent="0.2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tr">
        <f>_xlfn.XLOOKUP(C25,'2.2 P&amp;L statement'!$Q$2:$Q$47,'2.2 P&amp;L statement'!$R$2:$R$47)</f>
        <v>Recharges</v>
      </c>
      <c r="M25" s="2" t="b">
        <f>J25='[1]2.1 Database'!J25</f>
        <v>1</v>
      </c>
    </row>
    <row r="26" spans="2:13" x14ac:dyDescent="0.2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tr">
        <f>_xlfn.XLOOKUP(C26,'2.2 P&amp;L statement'!$Q$2:$Q$47,'2.2 P&amp;L statement'!$R$2:$R$47)</f>
        <v>Recharges</v>
      </c>
      <c r="M26" s="2" t="b">
        <f>J26='[1]2.1 Database'!J26</f>
        <v>1</v>
      </c>
    </row>
    <row r="27" spans="2:13" x14ac:dyDescent="0.2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tr">
        <f>_xlfn.XLOOKUP(C27,'2.2 P&amp;L statement'!$Q$2:$Q$47,'2.2 P&amp;L statement'!$R$2:$R$47)</f>
        <v>Recharges</v>
      </c>
      <c r="M27" s="2" t="b">
        <f>J27='[1]2.1 Database'!J27</f>
        <v>1</v>
      </c>
    </row>
    <row r="28" spans="2:13" x14ac:dyDescent="0.2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tr">
        <f>_xlfn.XLOOKUP(C28,'2.2 P&amp;L statement'!$Q$2:$Q$47,'2.2 P&amp;L statement'!$R$2:$R$47)</f>
        <v>Recharges</v>
      </c>
      <c r="M28" s="2" t="b">
        <f>J28='[1]2.1 Database'!J28</f>
        <v>1</v>
      </c>
    </row>
    <row r="29" spans="2:13" x14ac:dyDescent="0.2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tr">
        <f>_xlfn.XLOOKUP(C29,'2.2 P&amp;L statement'!$Q$2:$Q$47,'2.2 P&amp;L statement'!$R$2:$R$47)</f>
        <v>Other income</v>
      </c>
      <c r="M29" s="2" t="b">
        <f>J29='[1]2.1 Database'!J29</f>
        <v>1</v>
      </c>
    </row>
    <row r="30" spans="2:13" x14ac:dyDescent="0.2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tr">
        <f>_xlfn.XLOOKUP(C30,'2.2 P&amp;L statement'!$Q$2:$Q$47,'2.2 P&amp;L statement'!$R$2:$R$47)</f>
        <v>Other operating expenses</v>
      </c>
      <c r="M30" s="2" t="b">
        <f>J30='[1]2.1 Database'!J30</f>
        <v>1</v>
      </c>
    </row>
    <row r="31" spans="2:13" x14ac:dyDescent="0.2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tr">
        <f>_xlfn.XLOOKUP(C31,'2.2 P&amp;L statement'!$Q$2:$Q$47,'2.2 P&amp;L statement'!$R$2:$R$47)</f>
        <v>Other operating expenses</v>
      </c>
      <c r="M31" s="2" t="b">
        <f>J31='[1]2.1 Database'!J31</f>
        <v>1</v>
      </c>
    </row>
    <row r="32" spans="2:13" x14ac:dyDescent="0.2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tr">
        <f>_xlfn.XLOOKUP(C32,'2.2 P&amp;L statement'!$Q$2:$Q$47,'2.2 P&amp;L statement'!$R$2:$R$47)</f>
        <v>Other operating expenses</v>
      </c>
      <c r="M32" s="2" t="b">
        <f>J32='[1]2.1 Database'!J32</f>
        <v>1</v>
      </c>
    </row>
    <row r="33" spans="2:13" x14ac:dyDescent="0.2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tr">
        <f>_xlfn.XLOOKUP(C33,'2.2 P&amp;L statement'!$Q$2:$Q$47,'2.2 P&amp;L statement'!$R$2:$R$47)</f>
        <v>Leasing</v>
      </c>
      <c r="M33" s="2" t="b">
        <f>J33='[1]2.1 Database'!J33</f>
        <v>1</v>
      </c>
    </row>
    <row r="34" spans="2:13" x14ac:dyDescent="0.2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tr">
        <f>_xlfn.XLOOKUP(C34,'2.2 P&amp;L statement'!$Q$2:$Q$47,'2.2 P&amp;L statement'!$R$2:$R$47)</f>
        <v>Services</v>
      </c>
      <c r="M34" s="2" t="b">
        <f>J34='[1]2.1 Database'!J34</f>
        <v>1</v>
      </c>
    </row>
    <row r="35" spans="2:13" x14ac:dyDescent="0.2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tr">
        <f>_xlfn.XLOOKUP(C35,'2.2 P&amp;L statement'!$Q$2:$Q$47,'2.2 P&amp;L statement'!$R$2:$R$47)</f>
        <v>Services</v>
      </c>
      <c r="M35" s="2" t="b">
        <f>J35='[1]2.1 Database'!J35</f>
        <v>1</v>
      </c>
    </row>
    <row r="36" spans="2:13" x14ac:dyDescent="0.2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tr">
        <f>_xlfn.XLOOKUP(C36,'2.2 P&amp;L statement'!$Q$2:$Q$47,'2.2 P&amp;L statement'!$R$2:$R$47)</f>
        <v>Services</v>
      </c>
      <c r="M36" s="2" t="b">
        <f>J36='[1]2.1 Database'!J36</f>
        <v>1</v>
      </c>
    </row>
    <row r="37" spans="2:13" x14ac:dyDescent="0.2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tr">
        <f>_xlfn.XLOOKUP(C37,'2.2 P&amp;L statement'!$Q$2:$Q$47,'2.2 P&amp;L statement'!$R$2:$R$47)</f>
        <v>Other operating expenses</v>
      </c>
      <c r="M37" s="2" t="b">
        <f>J37='[1]2.1 Database'!J37</f>
        <v>1</v>
      </c>
    </row>
    <row r="38" spans="2:13" x14ac:dyDescent="0.2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tr">
        <f>_xlfn.XLOOKUP(C38,'2.2 P&amp;L statement'!$Q$2:$Q$47,'2.2 P&amp;L statement'!$R$2:$R$47)</f>
        <v>Other operating expenses</v>
      </c>
      <c r="M38" s="2" t="b">
        <f>J38='[1]2.1 Database'!J38</f>
        <v>1</v>
      </c>
    </row>
    <row r="39" spans="2:13" x14ac:dyDescent="0.2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tr">
        <f>_xlfn.XLOOKUP(C39,'2.2 P&amp;L statement'!$Q$2:$Q$47,'2.2 P&amp;L statement'!$R$2:$R$47)</f>
        <v>Travel costs</v>
      </c>
      <c r="M39" s="2" t="b">
        <f>J39='[1]2.1 Database'!J39</f>
        <v>1</v>
      </c>
    </row>
    <row r="40" spans="2:13" x14ac:dyDescent="0.2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tr">
        <f>_xlfn.XLOOKUP(C40,'2.2 P&amp;L statement'!$Q$2:$Q$47,'2.2 P&amp;L statement'!$R$2:$R$47)</f>
        <v>Other operating expenses</v>
      </c>
      <c r="M40" s="2" t="b">
        <f>J40='[1]2.1 Database'!J40</f>
        <v>1</v>
      </c>
    </row>
    <row r="41" spans="2:13" x14ac:dyDescent="0.2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tr">
        <f>_xlfn.XLOOKUP(C41,'2.2 P&amp;L statement'!$Q$2:$Q$47,'2.2 P&amp;L statement'!$R$2:$R$47)</f>
        <v>Other operating expenses</v>
      </c>
      <c r="M41" s="2" t="b">
        <f>J41='[1]2.1 Database'!J41</f>
        <v>1</v>
      </c>
    </row>
    <row r="42" spans="2:13" x14ac:dyDescent="0.2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tr">
        <f>_xlfn.XLOOKUP(C42,'2.2 P&amp;L statement'!$Q$2:$Q$47,'2.2 P&amp;L statement'!$R$2:$R$47)</f>
        <v>Other operating expenses</v>
      </c>
      <c r="M42" s="2" t="b">
        <f>J42='[1]2.1 Database'!J42</f>
        <v>1</v>
      </c>
    </row>
    <row r="43" spans="2:13" x14ac:dyDescent="0.2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tr">
        <f>_xlfn.XLOOKUP(C43,'2.2 P&amp;L statement'!$Q$2:$Q$47,'2.2 P&amp;L statement'!$R$2:$R$47)</f>
        <v>Other operating expenses</v>
      </c>
      <c r="M43" s="2" t="b">
        <f>J43='[1]2.1 Database'!J43</f>
        <v>1</v>
      </c>
    </row>
    <row r="44" spans="2:13" x14ac:dyDescent="0.2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tr">
        <f>_xlfn.XLOOKUP(C44,'2.2 P&amp;L statement'!$Q$2:$Q$47,'2.2 P&amp;L statement'!$R$2:$R$47)</f>
        <v>Other operating expenses</v>
      </c>
      <c r="M44" s="2" t="b">
        <f>J44='[1]2.1 Database'!J44</f>
        <v>1</v>
      </c>
    </row>
    <row r="45" spans="2:13" x14ac:dyDescent="0.2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tr">
        <f>_xlfn.XLOOKUP(C45,'2.2 P&amp;L statement'!$Q$2:$Q$47,'2.2 P&amp;L statement'!$R$2:$R$47)</f>
        <v>Other operating expenses</v>
      </c>
      <c r="M45" s="2" t="b">
        <f>J45='[1]2.1 Database'!J45</f>
        <v>1</v>
      </c>
    </row>
    <row r="46" spans="2:13" x14ac:dyDescent="0.2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  <c r="J46" s="2">
        <f>_xlfn.XLOOKUP(C46,'2.2 P&amp;L statement'!$Q$2:$Q$47,'2.2 P&amp;L statement'!$R$2:$R$47)</f>
        <v>0</v>
      </c>
      <c r="M46" s="2" t="b">
        <f>J46='[1]2.1 Database'!J46</f>
        <v>1</v>
      </c>
    </row>
    <row r="47" spans="2:13" x14ac:dyDescent="0.2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  <c r="J47" s="2">
        <f>_xlfn.XLOOKUP(C47,'2.2 P&amp;L statement'!$Q$2:$Q$47,'2.2 P&amp;L statement'!$R$2:$R$47)</f>
        <v>0</v>
      </c>
      <c r="M47" s="2" t="b">
        <f>J47='[1]2.1 Database'!J47</f>
        <v>1</v>
      </c>
    </row>
    <row r="48" spans="2:13" x14ac:dyDescent="0.2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  <c r="J48" s="2">
        <f>_xlfn.XLOOKUP(C48,'2.2 P&amp;L statement'!$Q$2:$Q$47,'2.2 P&amp;L statement'!$R$2:$R$47)</f>
        <v>0</v>
      </c>
      <c r="M48" s="2" t="b">
        <f>J48='[1]2.1 Database'!J48</f>
        <v>1</v>
      </c>
    </row>
    <row r="49" spans="2:13" x14ac:dyDescent="0.2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tr">
        <f>_xlfn.XLOOKUP(C49,'2.2 P&amp;L statement'!$Q$2:$Q$47,'2.2 P&amp;L statement'!$R$2:$R$47)</f>
        <v>Financial items</v>
      </c>
      <c r="M49" s="2" t="b">
        <f>J49='[1]2.1 Database'!J49</f>
        <v>1</v>
      </c>
    </row>
    <row r="50" spans="2:13" x14ac:dyDescent="0.2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tr">
        <f>_xlfn.XLOOKUP(C50,'2.2 P&amp;L statement'!$Q$2:$Q$47,'2.2 P&amp;L statement'!$R$2:$R$47)</f>
        <v>Financial items</v>
      </c>
      <c r="M50" s="2" t="b">
        <f>J50='[1]2.1 Database'!J50</f>
        <v>1</v>
      </c>
    </row>
    <row r="51" spans="2:13" x14ac:dyDescent="0.2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tr">
        <f>_xlfn.XLOOKUP(C51,'2.2 P&amp;L statement'!$Q$2:$Q$47,'2.2 P&amp;L statement'!$R$2:$R$47)</f>
        <v>Financial items</v>
      </c>
      <c r="M51" s="2" t="b">
        <f>J51='[1]2.1 Database'!J51</f>
        <v>1</v>
      </c>
    </row>
    <row r="52" spans="2:13" x14ac:dyDescent="0.2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tr">
        <f>_xlfn.XLOOKUP(C52,'2.2 P&amp;L statement'!$Q$2:$Q$47,'2.2 P&amp;L statement'!$R$2:$R$47)</f>
        <v>Financial items</v>
      </c>
      <c r="M52" s="2" t="b">
        <f>J52='[1]2.1 Database'!J52</f>
        <v>1</v>
      </c>
    </row>
    <row r="53" spans="2:13" x14ac:dyDescent="0.2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tr">
        <f>_xlfn.XLOOKUP(C53,'2.2 P&amp;L statement'!$Q$2:$Q$47,'2.2 P&amp;L statement'!$R$2:$R$47)</f>
        <v>Financial items</v>
      </c>
      <c r="M53" s="2" t="b">
        <f>J53='[1]2.1 Database'!J53</f>
        <v>1</v>
      </c>
    </row>
    <row r="54" spans="2:13" x14ac:dyDescent="0.2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tr">
        <f>_xlfn.XLOOKUP(C54,'2.2 P&amp;L statement'!$Q$2:$Q$47,'2.2 P&amp;L statement'!$R$2:$R$47)</f>
        <v>Capitalized costs</v>
      </c>
      <c r="M54" s="2" t="b">
        <f>J54='[1]2.1 Database'!J54</f>
        <v>1</v>
      </c>
    </row>
    <row r="55" spans="2:13" x14ac:dyDescent="0.2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tr">
        <f>_xlfn.XLOOKUP(C55,'2.2 P&amp;L statement'!$Q$2:$Q$47,'2.2 P&amp;L statement'!$R$2:$R$47)</f>
        <v>Extraordinary items</v>
      </c>
      <c r="M55" s="2" t="b">
        <f>J55='[1]2.1 Database'!J55</f>
        <v>1</v>
      </c>
    </row>
    <row r="56" spans="2:13" x14ac:dyDescent="0.2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tr">
        <f>_xlfn.XLOOKUP(C56,'2.2 P&amp;L statement'!$Q$2:$Q$47,'2.2 P&amp;L statement'!$R$2:$R$47)</f>
        <v>Financial items</v>
      </c>
      <c r="M56" s="2" t="b">
        <f>J56='[1]2.1 Database'!J56</f>
        <v>1</v>
      </c>
    </row>
    <row r="57" spans="2:13" x14ac:dyDescent="0.2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tr">
        <f>_xlfn.XLOOKUP(C57,'2.2 P&amp;L statement'!$Q$2:$Q$47,'2.2 P&amp;L statement'!$R$2:$R$47)</f>
        <v>Taxes</v>
      </c>
      <c r="M57" s="2" t="b">
        <f>J57='[1]2.1 Database'!J57</f>
        <v>1</v>
      </c>
    </row>
    <row r="58" spans="2:13" x14ac:dyDescent="0.2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tr">
        <f>_xlfn.XLOOKUP(C58,'2.2 P&amp;L statement'!$Q$2:$Q$47,'2.2 P&amp;L statement'!$R$2:$R$47)</f>
        <v>Taxes</v>
      </c>
      <c r="M58" s="2" t="b">
        <f>J58='[1]2.1 Database'!J58</f>
        <v>1</v>
      </c>
    </row>
    <row r="59" spans="2:13" x14ac:dyDescent="0.2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tr">
        <f>_xlfn.XLOOKUP(C59,'2.2 P&amp;L statement'!$Q$2:$Q$47,'2.2 P&amp;L statement'!$R$2:$R$47)</f>
        <v>Taxes</v>
      </c>
      <c r="M59" s="2" t="b">
        <f>J59='[1]2.1 Database'!J59</f>
        <v>1</v>
      </c>
    </row>
    <row r="60" spans="2:13" x14ac:dyDescent="0.2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tr">
        <f>_xlfn.XLOOKUP(C60,'2.2 P&amp;L statement'!$Q$2:$Q$47,'2.2 P&amp;L statement'!$R$2:$R$47)</f>
        <v>Net Income</v>
      </c>
      <c r="M60" s="2" t="b">
        <f>J60='[1]2.1 Database'!J60</f>
        <v>1</v>
      </c>
    </row>
    <row r="61" spans="2:13" x14ac:dyDescent="0.2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tr">
        <f>_xlfn.XLOOKUP(C61,'2.2 P&amp;L statement'!$Q$2:$Q$47,'2.2 P&amp;L statement'!$R$2:$R$47)</f>
        <v>Net Sales</v>
      </c>
      <c r="M61" s="2" t="b">
        <f>J61='[1]2.1 Database'!J61</f>
        <v>1</v>
      </c>
    </row>
    <row r="62" spans="2:13" x14ac:dyDescent="0.2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tr">
        <f>_xlfn.XLOOKUP(C62,'2.2 P&amp;L statement'!$Q$2:$Q$47,'2.2 P&amp;L statement'!$R$2:$R$47)</f>
        <v>Capitalized costs</v>
      </c>
      <c r="M62" s="2" t="b">
        <f>J62='[1]2.1 Database'!J62</f>
        <v>1</v>
      </c>
    </row>
    <row r="63" spans="2:13" x14ac:dyDescent="0.2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tr">
        <f>_xlfn.XLOOKUP(C63,'2.2 P&amp;L statement'!$Q$2:$Q$47,'2.2 P&amp;L statement'!$R$2:$R$47)</f>
        <v>Other operating expenses</v>
      </c>
      <c r="M63" s="2" t="b">
        <f>J63='[1]2.1 Database'!J63</f>
        <v>1</v>
      </c>
    </row>
    <row r="64" spans="2:13" x14ac:dyDescent="0.2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tr">
        <f>_xlfn.XLOOKUP(C64,'2.2 P&amp;L statement'!$Q$2:$Q$47,'2.2 P&amp;L statement'!$R$2:$R$47)</f>
        <v>Other operating expenses</v>
      </c>
      <c r="M64" s="2" t="b">
        <f>J64='[1]2.1 Database'!J64</f>
        <v>1</v>
      </c>
    </row>
    <row r="65" spans="2:13" x14ac:dyDescent="0.2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tr">
        <f>_xlfn.XLOOKUP(C65,'2.2 P&amp;L statement'!$Q$2:$Q$47,'2.2 P&amp;L statement'!$R$2:$R$47)</f>
        <v>Other operating expenses</v>
      </c>
      <c r="M65" s="2" t="b">
        <f>J65='[1]2.1 Database'!J65</f>
        <v>1</v>
      </c>
    </row>
    <row r="66" spans="2:13" x14ac:dyDescent="0.2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tr">
        <f>_xlfn.XLOOKUP(C66,'2.2 P&amp;L statement'!$Q$2:$Q$47,'2.2 P&amp;L statement'!$R$2:$R$47)</f>
        <v>Other operating expenses</v>
      </c>
      <c r="M66" s="2" t="b">
        <f>J66='[1]2.1 Database'!J66</f>
        <v>1</v>
      </c>
    </row>
    <row r="67" spans="2:13" x14ac:dyDescent="0.2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tr">
        <f>_xlfn.XLOOKUP(C67,'2.2 P&amp;L statement'!$Q$2:$Q$47,'2.2 P&amp;L statement'!$R$2:$R$47)</f>
        <v>Other operating expenses</v>
      </c>
      <c r="M67" s="2" t="b">
        <f>J67='[1]2.1 Database'!J67</f>
        <v>1</v>
      </c>
    </row>
    <row r="68" spans="2:13" x14ac:dyDescent="0.2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tr">
        <f>_xlfn.XLOOKUP(C68,'2.2 P&amp;L statement'!$Q$2:$Q$47,'2.2 P&amp;L statement'!$R$2:$R$47)</f>
        <v>Personnel expenses</v>
      </c>
      <c r="M68" s="2" t="b">
        <f>J68='[1]2.1 Database'!J68</f>
        <v>1</v>
      </c>
    </row>
    <row r="69" spans="2:13" x14ac:dyDescent="0.2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tr">
        <f>_xlfn.XLOOKUP(C69,'2.2 P&amp;L statement'!$Q$2:$Q$47,'2.2 P&amp;L statement'!$R$2:$R$47)</f>
        <v>D&amp;A</v>
      </c>
      <c r="M69" s="2" t="b">
        <f>J69='[1]2.1 Database'!J69</f>
        <v>1</v>
      </c>
    </row>
    <row r="70" spans="2:13" x14ac:dyDescent="0.2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tr">
        <f>_xlfn.XLOOKUP(C70,'2.2 P&amp;L statement'!$Q$2:$Q$47,'2.2 P&amp;L statement'!$R$2:$R$47)</f>
        <v>Extraordinary items</v>
      </c>
      <c r="M70" s="2" t="b">
        <f>J70='[1]2.1 Database'!J70</f>
        <v>1</v>
      </c>
    </row>
    <row r="71" spans="2:13" x14ac:dyDescent="0.2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tr">
        <f>_xlfn.XLOOKUP(C71,'2.2 P&amp;L statement'!$Q$2:$Q$47,'2.2 P&amp;L statement'!$R$2:$R$47)</f>
        <v>Recharges</v>
      </c>
      <c r="M71" s="2" t="b">
        <f>J71='[1]2.1 Database'!J71</f>
        <v>1</v>
      </c>
    </row>
    <row r="72" spans="2:13" x14ac:dyDescent="0.2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tr">
        <f>_xlfn.XLOOKUP(C72,'2.2 P&amp;L statement'!$Q$2:$Q$47,'2.2 P&amp;L statement'!$R$2:$R$47)</f>
        <v>Recharges</v>
      </c>
      <c r="M72" s="2" t="b">
        <f>J72='[1]2.1 Database'!J72</f>
        <v>1</v>
      </c>
    </row>
    <row r="73" spans="2:13" x14ac:dyDescent="0.2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tr">
        <f>_xlfn.XLOOKUP(C73,'2.2 P&amp;L statement'!$Q$2:$Q$47,'2.2 P&amp;L statement'!$R$2:$R$47)</f>
        <v>Recharges</v>
      </c>
      <c r="M73" s="2" t="b">
        <f>J73='[1]2.1 Database'!J73</f>
        <v>1</v>
      </c>
    </row>
    <row r="74" spans="2:13" x14ac:dyDescent="0.2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tr">
        <f>_xlfn.XLOOKUP(C74,'2.2 P&amp;L statement'!$Q$2:$Q$47,'2.2 P&amp;L statement'!$R$2:$R$47)</f>
        <v>Recharges</v>
      </c>
      <c r="M74" s="2" t="b">
        <f>J74='[1]2.1 Database'!J74</f>
        <v>1</v>
      </c>
    </row>
    <row r="75" spans="2:13" x14ac:dyDescent="0.2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tr">
        <f>_xlfn.XLOOKUP(C75,'2.2 P&amp;L statement'!$Q$2:$Q$47,'2.2 P&amp;L statement'!$R$2:$R$47)</f>
        <v>Other income</v>
      </c>
      <c r="M75" s="2" t="b">
        <f>J75='[1]2.1 Database'!J75</f>
        <v>1</v>
      </c>
    </row>
    <row r="76" spans="2:13" x14ac:dyDescent="0.2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tr">
        <f>_xlfn.XLOOKUP(C76,'2.2 P&amp;L statement'!$Q$2:$Q$47,'2.2 P&amp;L statement'!$R$2:$R$47)</f>
        <v>Other operating expenses</v>
      </c>
      <c r="M76" s="2" t="b">
        <f>J76='[1]2.1 Database'!J76</f>
        <v>1</v>
      </c>
    </row>
    <row r="77" spans="2:13" x14ac:dyDescent="0.2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tr">
        <f>_xlfn.XLOOKUP(C77,'2.2 P&amp;L statement'!$Q$2:$Q$47,'2.2 P&amp;L statement'!$R$2:$R$47)</f>
        <v>Services</v>
      </c>
      <c r="M77" s="2" t="b">
        <f>J77='[1]2.1 Database'!J77</f>
        <v>1</v>
      </c>
    </row>
    <row r="78" spans="2:13" x14ac:dyDescent="0.2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  <c r="J78" s="2" t="str">
        <f>_xlfn.XLOOKUP(C78,'2.2 P&amp;L statement'!$Q$2:$Q$47,'2.2 P&amp;L statement'!$R$2:$R$47)</f>
        <v>Other operating expenses</v>
      </c>
      <c r="M78" s="2" t="b">
        <f>J78='[1]2.1 Database'!J78</f>
        <v>0</v>
      </c>
    </row>
    <row r="79" spans="2:13" x14ac:dyDescent="0.2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tr">
        <f>_xlfn.XLOOKUP(C79,'2.2 P&amp;L statement'!$Q$2:$Q$47,'2.2 P&amp;L statement'!$R$2:$R$47)</f>
        <v>Travel costs</v>
      </c>
      <c r="M79" s="2" t="b">
        <f>J79='[1]2.1 Database'!J79</f>
        <v>0</v>
      </c>
    </row>
    <row r="80" spans="2:13" x14ac:dyDescent="0.2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tr">
        <f>_xlfn.XLOOKUP(C80,'2.2 P&amp;L statement'!$Q$2:$Q$47,'2.2 P&amp;L statement'!$R$2:$R$47)</f>
        <v>Extraordinary items</v>
      </c>
      <c r="M80" s="2" t="b">
        <f>J80='[1]2.1 Database'!J80</f>
        <v>1</v>
      </c>
    </row>
    <row r="81" spans="2:13" x14ac:dyDescent="0.2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tr">
        <f>_xlfn.XLOOKUP(C81,'2.2 P&amp;L statement'!$Q$2:$Q$47,'2.2 P&amp;L statement'!$R$2:$R$47)</f>
        <v>Other operating expenses</v>
      </c>
      <c r="M81" s="2" t="b">
        <f>J81='[1]2.1 Database'!J81</f>
        <v>1</v>
      </c>
    </row>
    <row r="82" spans="2:13" x14ac:dyDescent="0.2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tr">
        <f>_xlfn.XLOOKUP(C82,'2.2 P&amp;L statement'!$Q$2:$Q$47,'2.2 P&amp;L statement'!$R$2:$R$47)</f>
        <v>Other operating expenses</v>
      </c>
      <c r="M82" s="2" t="b">
        <f>J82='[1]2.1 Database'!J82</f>
        <v>1</v>
      </c>
    </row>
    <row r="83" spans="2:13" x14ac:dyDescent="0.2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tr">
        <f>_xlfn.XLOOKUP(C83,'2.2 P&amp;L statement'!$Q$2:$Q$47,'2.2 P&amp;L statement'!$R$2:$R$47)</f>
        <v>Other operating expenses</v>
      </c>
      <c r="M83" s="2" t="b">
        <f>J83='[1]2.1 Database'!J83</f>
        <v>1</v>
      </c>
    </row>
    <row r="84" spans="2:13" x14ac:dyDescent="0.2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tr">
        <f>_xlfn.XLOOKUP(C84,'2.2 P&amp;L statement'!$Q$2:$Q$47,'2.2 P&amp;L statement'!$R$2:$R$47)</f>
        <v>Other operating expenses</v>
      </c>
      <c r="M84" s="2" t="b">
        <f>J84='[1]2.1 Database'!J84</f>
        <v>0</v>
      </c>
    </row>
    <row r="85" spans="2:13" x14ac:dyDescent="0.2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tr">
        <f>_xlfn.XLOOKUP(C85,'2.2 P&amp;L statement'!$Q$2:$Q$47,'2.2 P&amp;L statement'!$R$2:$R$47)</f>
        <v>Other operating expenses</v>
      </c>
      <c r="M85" s="2" t="b">
        <f>J85='[1]2.1 Database'!J85</f>
        <v>0</v>
      </c>
    </row>
    <row r="86" spans="2:13" x14ac:dyDescent="0.2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tr">
        <f>_xlfn.XLOOKUP(C86,'2.2 P&amp;L statement'!$Q$2:$Q$47,'2.2 P&amp;L statement'!$R$2:$R$47)</f>
        <v>Other operating expenses</v>
      </c>
      <c r="M86" s="2" t="b">
        <f>J86='[1]2.1 Database'!J86</f>
        <v>0</v>
      </c>
    </row>
    <row r="87" spans="2:13" x14ac:dyDescent="0.2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  <c r="J87" s="2">
        <f>_xlfn.XLOOKUP(C87,'2.2 P&amp;L statement'!$Q$2:$Q$47,'2.2 P&amp;L statement'!$R$2:$R$47)</f>
        <v>0</v>
      </c>
      <c r="M87" s="2" t="b">
        <f>J87='[1]2.1 Database'!J87</f>
        <v>1</v>
      </c>
    </row>
    <row r="88" spans="2:13" x14ac:dyDescent="0.2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tr">
        <f>_xlfn.XLOOKUP(C88,'2.2 P&amp;L statement'!$Q$2:$Q$47,'2.2 P&amp;L statement'!$R$2:$R$47)</f>
        <v>Financial items</v>
      </c>
      <c r="M88" s="2" t="b">
        <f>J88='[1]2.1 Database'!J88</f>
        <v>1</v>
      </c>
    </row>
    <row r="89" spans="2:13" x14ac:dyDescent="0.2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tr">
        <f>_xlfn.XLOOKUP(C89,'2.2 P&amp;L statement'!$Q$2:$Q$47,'2.2 P&amp;L statement'!$R$2:$R$47)</f>
        <v>Financial items</v>
      </c>
      <c r="M89" s="2" t="b">
        <f>J89='[1]2.1 Database'!J89</f>
        <v>1</v>
      </c>
    </row>
    <row r="90" spans="2:13" x14ac:dyDescent="0.2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tr">
        <f>_xlfn.XLOOKUP(C90,'2.2 P&amp;L statement'!$Q$2:$Q$47,'2.2 P&amp;L statement'!$R$2:$R$47)</f>
        <v>Financial items</v>
      </c>
      <c r="M90" s="2" t="b">
        <f>J90='[1]2.1 Database'!J90</f>
        <v>1</v>
      </c>
    </row>
    <row r="91" spans="2:13" x14ac:dyDescent="0.2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tr">
        <f>_xlfn.XLOOKUP(C91,'2.2 P&amp;L statement'!$Q$2:$Q$47,'2.2 P&amp;L statement'!$R$2:$R$47)</f>
        <v>Financial items</v>
      </c>
      <c r="M91" s="2" t="b">
        <f>J91='[1]2.1 Database'!J91</f>
        <v>1</v>
      </c>
    </row>
    <row r="92" spans="2:13" x14ac:dyDescent="0.2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tr">
        <f>_xlfn.XLOOKUP(C92,'2.2 P&amp;L statement'!$Q$2:$Q$47,'2.2 P&amp;L statement'!$R$2:$R$47)</f>
        <v>Extraordinary items</v>
      </c>
      <c r="M92" s="2" t="b">
        <f>J92='[1]2.1 Database'!J92</f>
        <v>1</v>
      </c>
    </row>
    <row r="93" spans="2:13" x14ac:dyDescent="0.2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  <c r="J93" s="2" t="str">
        <f>_xlfn.XLOOKUP(C93,'2.2 P&amp;L statement'!$Q$2:$Q$47,'2.2 P&amp;L statement'!$R$2:$R$47)</f>
        <v>-</v>
      </c>
      <c r="M93" s="2" t="b">
        <f>J93='[1]2.1 Database'!J93</f>
        <v>0</v>
      </c>
    </row>
    <row r="94" spans="2:13" x14ac:dyDescent="0.2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tr">
        <f>_xlfn.XLOOKUP(C94,'2.2 P&amp;L statement'!$Q$2:$Q$47,'2.2 P&amp;L statement'!$R$2:$R$47)</f>
        <v>Net Income</v>
      </c>
      <c r="M94" s="2" t="b">
        <f>J94='[1]2.1 Database'!J94</f>
        <v>1</v>
      </c>
    </row>
    <row r="95" spans="2:13" x14ac:dyDescent="0.2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tr">
        <f>_xlfn.XLOOKUP(C95,'2.2 P&amp;L statement'!$Q$2:$Q$47,'2.2 P&amp;L statement'!$R$2:$R$47)</f>
        <v>Other operating expenses</v>
      </c>
      <c r="M95" s="2" t="b">
        <f>J95='[1]2.1 Database'!J95</f>
        <v>1</v>
      </c>
    </row>
    <row r="96" spans="2:13" x14ac:dyDescent="0.2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tr">
        <f>_xlfn.XLOOKUP(C96,'2.2 P&amp;L statement'!$Q$2:$Q$47,'2.2 P&amp;L statement'!$R$2:$R$47)</f>
        <v>Other operating expenses</v>
      </c>
      <c r="M96" s="2" t="b">
        <f>J96='[1]2.1 Database'!J96</f>
        <v>1</v>
      </c>
    </row>
    <row r="97" spans="2:13" x14ac:dyDescent="0.2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tr">
        <f>_xlfn.XLOOKUP(C97,'2.2 P&amp;L statement'!$Q$2:$Q$47,'2.2 P&amp;L statement'!$R$2:$R$47)</f>
        <v>Other operating expenses</v>
      </c>
      <c r="M97" s="2" t="b">
        <f>J97='[1]2.1 Database'!J97</f>
        <v>1</v>
      </c>
    </row>
    <row r="98" spans="2:13" x14ac:dyDescent="0.2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tr">
        <f>_xlfn.XLOOKUP(C98,'2.2 P&amp;L statement'!$Q$2:$Q$47,'2.2 P&amp;L statement'!$R$2:$R$47)</f>
        <v>Other operating expenses</v>
      </c>
      <c r="M98" s="2" t="b">
        <f>J98='[1]2.1 Database'!J98</f>
        <v>1</v>
      </c>
    </row>
    <row r="99" spans="2:13" x14ac:dyDescent="0.2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tr">
        <f>_xlfn.XLOOKUP(C99,'2.2 P&amp;L statement'!$Q$2:$Q$47,'2.2 P&amp;L statement'!$R$2:$R$47)</f>
        <v>Other operating expenses</v>
      </c>
      <c r="M99" s="2" t="b">
        <f>J99='[1]2.1 Database'!J99</f>
        <v>1</v>
      </c>
    </row>
    <row r="100" spans="2:13" x14ac:dyDescent="0.2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tr">
        <f>_xlfn.XLOOKUP(C100,'2.2 P&amp;L statement'!$Q$2:$Q$47,'2.2 P&amp;L statement'!$R$2:$R$47)</f>
        <v>Other operating expenses</v>
      </c>
      <c r="M100" s="2" t="b">
        <f>J100='[1]2.1 Database'!J100</f>
        <v>1</v>
      </c>
    </row>
    <row r="101" spans="2:13" x14ac:dyDescent="0.2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tr">
        <f>_xlfn.XLOOKUP(C101,'2.2 P&amp;L statement'!$Q$2:$Q$47,'2.2 P&amp;L statement'!$R$2:$R$47)</f>
        <v>Recharges</v>
      </c>
      <c r="M101" s="2" t="b">
        <f>J101='[1]2.1 Database'!J101</f>
        <v>1</v>
      </c>
    </row>
    <row r="102" spans="2:13" x14ac:dyDescent="0.2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tr">
        <f>_xlfn.XLOOKUP(C102,'2.2 P&amp;L statement'!$Q$2:$Q$47,'2.2 P&amp;L statement'!$R$2:$R$47)</f>
        <v>Other operating expenses</v>
      </c>
      <c r="M102" s="2" t="b">
        <f>J102='[1]2.1 Database'!J102</f>
        <v>1</v>
      </c>
    </row>
    <row r="103" spans="2:13" x14ac:dyDescent="0.2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tr">
        <f>_xlfn.XLOOKUP(C103,'2.2 P&amp;L statement'!$Q$2:$Q$47,'2.2 P&amp;L statement'!$R$2:$R$47)</f>
        <v>Other income</v>
      </c>
      <c r="M103" s="2" t="b">
        <f>J103='[1]2.1 Database'!J103</f>
        <v>1</v>
      </c>
    </row>
    <row r="104" spans="2:13" x14ac:dyDescent="0.2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tr">
        <f>_xlfn.XLOOKUP(C104,'2.2 P&amp;L statement'!$Q$2:$Q$47,'2.2 P&amp;L statement'!$R$2:$R$47)</f>
        <v>Leasing</v>
      </c>
      <c r="M104" s="2" t="b">
        <f>J104='[1]2.1 Database'!J104</f>
        <v>1</v>
      </c>
    </row>
    <row r="105" spans="2:13" x14ac:dyDescent="0.2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tr">
        <f>_xlfn.XLOOKUP(C105,'2.2 P&amp;L statement'!$Q$2:$Q$47,'2.2 P&amp;L statement'!$R$2:$R$47)</f>
        <v>Other operating expenses</v>
      </c>
      <c r="M105" s="2" t="b">
        <f>J105='[1]2.1 Database'!J105</f>
        <v>1</v>
      </c>
    </row>
    <row r="106" spans="2:13" x14ac:dyDescent="0.2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tr">
        <f>_xlfn.XLOOKUP(C106,'2.2 P&amp;L statement'!$Q$2:$Q$47,'2.2 P&amp;L statement'!$R$2:$R$47)</f>
        <v>Other operating expenses</v>
      </c>
      <c r="M106" s="2" t="b">
        <f>J106='[1]2.1 Database'!J106</f>
        <v>1</v>
      </c>
    </row>
    <row r="107" spans="2:13" x14ac:dyDescent="0.2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  <c r="J107" s="2" t="str">
        <f>_xlfn.XLOOKUP(C107,'2.2 P&amp;L statement'!$Q$2:$Q$47,'2.2 P&amp;L statement'!$R$2:$R$47)</f>
        <v>Extraordinary items</v>
      </c>
      <c r="M107" s="2" t="b">
        <f>J107='[1]2.1 Database'!J107</f>
        <v>0</v>
      </c>
    </row>
    <row r="108" spans="2:13" x14ac:dyDescent="0.2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  <c r="J108" s="2">
        <f>_xlfn.XLOOKUP(C108,'2.2 P&amp;L statement'!$Q$2:$Q$47,'2.2 P&amp;L statement'!$R$2:$R$47)</f>
        <v>0</v>
      </c>
      <c r="M108" s="2" t="b">
        <f>J108='[1]2.1 Database'!J108</f>
        <v>1</v>
      </c>
    </row>
    <row r="109" spans="2:13" ht="15" x14ac:dyDescent="0.25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13" ht="15" x14ac:dyDescent="0.25">
      <c r="B110"/>
    </row>
    <row r="111" spans="2:13" ht="15" x14ac:dyDescent="0.25">
      <c r="B111"/>
    </row>
    <row r="112" spans="2:13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C1DDC5E-80A1-4C9B-8FA2-60FF680196F3}">
          <x14:formula1>
            <xm:f>'2.2 P&amp;L statement'!$B$1048561:$B$1048576</xm:f>
          </x14:formula1>
          <xm:sqref>J4:J109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R1048576"/>
  <sheetViews>
    <sheetView topLeftCell="A16" workbookViewId="0">
      <selection activeCell="Q19" sqref="Q19:R19"/>
    </sheetView>
  </sheetViews>
  <sheetFormatPr defaultRowHeight="15" x14ac:dyDescent="0.25"/>
  <cols>
    <col min="2" max="2" width="24.42578125" bestFit="1" customWidth="1"/>
    <col min="17" max="17" width="42.140625" bestFit="1" customWidth="1"/>
  </cols>
  <sheetData>
    <row r="2" spans="2:18" x14ac:dyDescent="0.25">
      <c r="B2" t="s">
        <v>226</v>
      </c>
      <c r="Q2" t="s">
        <v>65</v>
      </c>
      <c r="R2" t="s">
        <v>226</v>
      </c>
    </row>
    <row r="3" spans="2:18" x14ac:dyDescent="0.25">
      <c r="B3" t="s">
        <v>66</v>
      </c>
      <c r="Q3" t="s">
        <v>66</v>
      </c>
      <c r="R3" t="s">
        <v>66</v>
      </c>
    </row>
    <row r="4" spans="2:18" x14ac:dyDescent="0.25">
      <c r="B4" t="s">
        <v>227</v>
      </c>
      <c r="Q4" t="s">
        <v>67</v>
      </c>
      <c r="R4" t="s">
        <v>67</v>
      </c>
    </row>
    <row r="5" spans="2:18" x14ac:dyDescent="0.25">
      <c r="B5" t="s">
        <v>228</v>
      </c>
      <c r="Q5" t="s">
        <v>104</v>
      </c>
      <c r="R5" t="s">
        <v>104</v>
      </c>
    </row>
    <row r="6" spans="2:18" x14ac:dyDescent="0.25">
      <c r="B6" t="s">
        <v>104</v>
      </c>
      <c r="Q6" t="s">
        <v>69</v>
      </c>
      <c r="R6" t="s">
        <v>230</v>
      </c>
    </row>
    <row r="7" spans="2:18" x14ac:dyDescent="0.25">
      <c r="B7" t="s">
        <v>229</v>
      </c>
      <c r="Q7" t="s">
        <v>68</v>
      </c>
      <c r="R7" t="s">
        <v>230</v>
      </c>
    </row>
    <row r="8" spans="2:18" x14ac:dyDescent="0.25">
      <c r="B8" t="s">
        <v>230</v>
      </c>
      <c r="Q8" t="s">
        <v>1</v>
      </c>
      <c r="R8" t="s">
        <v>231</v>
      </c>
    </row>
    <row r="9" spans="2:18" x14ac:dyDescent="0.25">
      <c r="B9" t="s">
        <v>231</v>
      </c>
      <c r="Q9" t="s">
        <v>70</v>
      </c>
      <c r="R9" t="s">
        <v>231</v>
      </c>
    </row>
    <row r="10" spans="2:18" x14ac:dyDescent="0.25">
      <c r="B10" t="s">
        <v>232</v>
      </c>
      <c r="Q10" t="s">
        <v>71</v>
      </c>
      <c r="R10" t="s">
        <v>231</v>
      </c>
    </row>
    <row r="11" spans="2:18" x14ac:dyDescent="0.25">
      <c r="B11" t="s">
        <v>233</v>
      </c>
      <c r="Q11" t="s">
        <v>72</v>
      </c>
      <c r="R11" t="s">
        <v>72</v>
      </c>
    </row>
    <row r="12" spans="2:18" x14ac:dyDescent="0.25">
      <c r="B12" t="s">
        <v>234</v>
      </c>
      <c r="Q12" t="s">
        <v>73</v>
      </c>
      <c r="R12" t="s">
        <v>227</v>
      </c>
    </row>
    <row r="13" spans="2:18" x14ac:dyDescent="0.25">
      <c r="B13" t="s">
        <v>74</v>
      </c>
      <c r="Q13" t="s">
        <v>74</v>
      </c>
      <c r="R13" t="s">
        <v>74</v>
      </c>
    </row>
    <row r="14" spans="2:18" x14ac:dyDescent="0.25">
      <c r="B14" t="s">
        <v>67</v>
      </c>
      <c r="Q14" t="s">
        <v>75</v>
      </c>
      <c r="R14" t="s">
        <v>230</v>
      </c>
    </row>
    <row r="15" spans="2:18" x14ac:dyDescent="0.25">
      <c r="B15" t="s">
        <v>235</v>
      </c>
      <c r="Q15" t="s">
        <v>76</v>
      </c>
      <c r="R15" t="s">
        <v>230</v>
      </c>
    </row>
    <row r="16" spans="2:18" x14ac:dyDescent="0.25">
      <c r="B16" t="s">
        <v>72</v>
      </c>
      <c r="Q16" t="s">
        <v>77</v>
      </c>
      <c r="R16" t="s">
        <v>232</v>
      </c>
    </row>
    <row r="17" spans="2:18" x14ac:dyDescent="0.25">
      <c r="B17" t="s">
        <v>236</v>
      </c>
      <c r="Q17" t="s">
        <v>78</v>
      </c>
      <c r="R17" t="s">
        <v>233</v>
      </c>
    </row>
    <row r="18" spans="2:18" x14ac:dyDescent="0.25">
      <c r="B18" t="s">
        <v>237</v>
      </c>
      <c r="Q18" t="s">
        <v>7</v>
      </c>
      <c r="R18" t="s">
        <v>230</v>
      </c>
    </row>
    <row r="19" spans="2:18" x14ac:dyDescent="0.25">
      <c r="B19" t="s">
        <v>238</v>
      </c>
      <c r="Q19" t="s">
        <v>79</v>
      </c>
      <c r="R19" t="s">
        <v>230</v>
      </c>
    </row>
    <row r="20" spans="2:18" x14ac:dyDescent="0.25">
      <c r="B20" t="s">
        <v>239</v>
      </c>
      <c r="Q20" t="s">
        <v>8</v>
      </c>
      <c r="R20" t="s">
        <v>234</v>
      </c>
    </row>
    <row r="21" spans="2:18" x14ac:dyDescent="0.25">
      <c r="B21" t="s">
        <v>240</v>
      </c>
      <c r="Q21" t="s">
        <v>80</v>
      </c>
      <c r="R21" t="s">
        <v>230</v>
      </c>
    </row>
    <row r="22" spans="2:18" x14ac:dyDescent="0.25">
      <c r="B22" t="s">
        <v>241</v>
      </c>
      <c r="Q22" t="s">
        <v>81</v>
      </c>
      <c r="R22" t="s">
        <v>230</v>
      </c>
    </row>
    <row r="23" spans="2:18" x14ac:dyDescent="0.25">
      <c r="Q23" t="s">
        <v>82</v>
      </c>
      <c r="R23" t="s">
        <v>230</v>
      </c>
    </row>
    <row r="24" spans="2:18" x14ac:dyDescent="0.25">
      <c r="Q24" t="s">
        <v>83</v>
      </c>
      <c r="R24" t="s">
        <v>230</v>
      </c>
    </row>
    <row r="25" spans="2:18" x14ac:dyDescent="0.25">
      <c r="Q25" t="s">
        <v>84</v>
      </c>
      <c r="R25" t="s">
        <v>230</v>
      </c>
    </row>
    <row r="26" spans="2:18" x14ac:dyDescent="0.25">
      <c r="Q26" t="s">
        <v>85</v>
      </c>
    </row>
    <row r="27" spans="2:18" x14ac:dyDescent="0.25">
      <c r="Q27" t="s">
        <v>86</v>
      </c>
      <c r="R27" t="s">
        <v>237</v>
      </c>
    </row>
    <row r="28" spans="2:18" x14ac:dyDescent="0.25">
      <c r="Q28" t="s">
        <v>9</v>
      </c>
      <c r="R28" t="s">
        <v>67</v>
      </c>
    </row>
    <row r="29" spans="2:18" x14ac:dyDescent="0.25">
      <c r="Q29" t="s">
        <v>87</v>
      </c>
      <c r="R29" t="s">
        <v>238</v>
      </c>
    </row>
    <row r="30" spans="2:18" x14ac:dyDescent="0.25">
      <c r="Q30" t="s">
        <v>88</v>
      </c>
      <c r="R30" t="s">
        <v>237</v>
      </c>
    </row>
    <row r="31" spans="2:18" x14ac:dyDescent="0.25">
      <c r="Q31" t="s">
        <v>89</v>
      </c>
      <c r="R31" t="s">
        <v>240</v>
      </c>
    </row>
    <row r="32" spans="2:18" x14ac:dyDescent="0.25">
      <c r="Q32" t="s">
        <v>90</v>
      </c>
      <c r="R32" t="s">
        <v>240</v>
      </c>
    </row>
    <row r="33" spans="17:18" x14ac:dyDescent="0.25">
      <c r="Q33" t="s">
        <v>91</v>
      </c>
      <c r="R33" t="s">
        <v>240</v>
      </c>
    </row>
    <row r="34" spans="17:18" x14ac:dyDescent="0.25">
      <c r="Q34" t="s">
        <v>64</v>
      </c>
      <c r="R34" t="s">
        <v>241</v>
      </c>
    </row>
    <row r="35" spans="17:18" x14ac:dyDescent="0.25">
      <c r="Q35" t="s">
        <v>105</v>
      </c>
      <c r="R35" t="s">
        <v>230</v>
      </c>
    </row>
    <row r="36" spans="17:18" x14ac:dyDescent="0.25">
      <c r="Q36" t="s">
        <v>14</v>
      </c>
      <c r="R36" t="s">
        <v>231</v>
      </c>
    </row>
    <row r="37" spans="17:18" x14ac:dyDescent="0.25">
      <c r="Q37" t="s">
        <v>15</v>
      </c>
      <c r="R37" t="s">
        <v>238</v>
      </c>
    </row>
    <row r="38" spans="17:18" x14ac:dyDescent="0.25">
      <c r="Q38" t="s">
        <v>18</v>
      </c>
      <c r="R38" t="s">
        <v>230</v>
      </c>
    </row>
    <row r="39" spans="17:18" x14ac:dyDescent="0.25">
      <c r="Q39" t="s">
        <v>20</v>
      </c>
      <c r="R39" t="s">
        <v>238</v>
      </c>
    </row>
    <row r="40" spans="17:18" x14ac:dyDescent="0.25">
      <c r="Q40" t="s">
        <v>21</v>
      </c>
      <c r="R40" t="s">
        <v>230</v>
      </c>
    </row>
    <row r="41" spans="17:18" x14ac:dyDescent="0.25">
      <c r="Q41" t="s">
        <v>22</v>
      </c>
      <c r="R41" t="s">
        <v>230</v>
      </c>
    </row>
    <row r="42" spans="17:18" x14ac:dyDescent="0.25">
      <c r="Q42" t="s">
        <v>106</v>
      </c>
      <c r="R42" t="s">
        <v>238</v>
      </c>
    </row>
    <row r="43" spans="17:18" x14ac:dyDescent="0.25">
      <c r="Q43" t="s">
        <v>23</v>
      </c>
      <c r="R43" t="s">
        <v>242</v>
      </c>
    </row>
    <row r="44" spans="17:18" x14ac:dyDescent="0.25">
      <c r="Q44" t="s">
        <v>24</v>
      </c>
      <c r="R44" t="s">
        <v>230</v>
      </c>
    </row>
    <row r="45" spans="17:18" x14ac:dyDescent="0.25">
      <c r="Q45" t="s">
        <v>26</v>
      </c>
      <c r="R45" t="s">
        <v>230</v>
      </c>
    </row>
    <row r="46" spans="17:18" x14ac:dyDescent="0.25">
      <c r="Q46" t="s">
        <v>27</v>
      </c>
      <c r="R46" t="s">
        <v>230</v>
      </c>
    </row>
    <row r="47" spans="17:18" x14ac:dyDescent="0.25">
      <c r="Q47" t="s">
        <v>28</v>
      </c>
    </row>
    <row r="48" spans="17:18" x14ac:dyDescent="0.25">
      <c r="Q48" t="s">
        <v>224</v>
      </c>
    </row>
    <row r="1048561" spans="2:2" x14ac:dyDescent="0.25">
      <c r="B1048561" s="28" t="s">
        <v>226</v>
      </c>
    </row>
    <row r="1048562" spans="2:2" x14ac:dyDescent="0.25">
      <c r="B1048562" s="28" t="s">
        <v>66</v>
      </c>
    </row>
    <row r="1048563" spans="2:2" x14ac:dyDescent="0.25">
      <c r="B1048563" s="28" t="s">
        <v>227</v>
      </c>
    </row>
    <row r="1048564" spans="2:2" x14ac:dyDescent="0.25">
      <c r="B1048564" s="28" t="s">
        <v>104</v>
      </c>
    </row>
    <row r="1048565" spans="2:2" x14ac:dyDescent="0.25">
      <c r="B1048565" s="28" t="s">
        <v>229</v>
      </c>
    </row>
    <row r="1048566" spans="2:2" x14ac:dyDescent="0.25">
      <c r="B1048566" s="28" t="s">
        <v>230</v>
      </c>
    </row>
    <row r="1048567" spans="2:2" x14ac:dyDescent="0.25">
      <c r="B1048567" s="28" t="s">
        <v>231</v>
      </c>
    </row>
    <row r="1048568" spans="2:2" x14ac:dyDescent="0.25">
      <c r="B1048568" s="28" t="s">
        <v>232</v>
      </c>
    </row>
    <row r="1048569" spans="2:2" x14ac:dyDescent="0.25">
      <c r="B1048569" s="28" t="s">
        <v>233</v>
      </c>
    </row>
    <row r="1048570" spans="2:2" x14ac:dyDescent="0.25">
      <c r="B1048570" s="28" t="s">
        <v>234</v>
      </c>
    </row>
    <row r="1048571" spans="2:2" x14ac:dyDescent="0.25">
      <c r="B1048571" s="28" t="s">
        <v>74</v>
      </c>
    </row>
    <row r="1048572" spans="2:2" x14ac:dyDescent="0.25">
      <c r="B1048572" s="28" t="s">
        <v>67</v>
      </c>
    </row>
    <row r="1048573" spans="2:2" x14ac:dyDescent="0.25">
      <c r="B1048573" s="28" t="s">
        <v>72</v>
      </c>
    </row>
    <row r="1048574" spans="2:2" x14ac:dyDescent="0.25">
      <c r="B1048574" s="28" t="s">
        <v>237</v>
      </c>
    </row>
    <row r="1048575" spans="2:2" x14ac:dyDescent="0.25">
      <c r="B1048575" s="28" t="s">
        <v>238</v>
      </c>
    </row>
    <row r="1048576" spans="2:2" x14ac:dyDescent="0.25">
      <c r="B1048576" s="28" t="s">
        <v>240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2024-12-04T19:27:15Z</dcterms:modified>
</cp:coreProperties>
</file>