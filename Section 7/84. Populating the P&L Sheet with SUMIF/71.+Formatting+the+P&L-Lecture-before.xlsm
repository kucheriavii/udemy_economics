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22E68647-3C60-695B-3CA0-4895CD717B8A}"/>
  <workbookPr filterPrivacy="1" codeName="ThisWorkbook" defaultThemeVersion="124226"/>
  <xr:revisionPtr revIDLastSave="0" documentId="13_ncr:1_{7206741E-C62A-4B45-82D1-1BC1D191E3CD}" xr6:coauthVersionLast="47" xr6:coauthVersionMax="47" xr10:uidLastSave="{00000000-0000-0000-0000-000000000000}"/>
  <bookViews>
    <workbookView xWindow="28680" yWindow="270" windowWidth="29040" windowHeight="17640" firstSheet="2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21" l="1"/>
  <c r="D27" i="21"/>
  <c r="C27" i="21"/>
  <c r="E23" i="21"/>
  <c r="D23" i="21"/>
  <c r="C23" i="21"/>
  <c r="E21" i="21"/>
  <c r="D21" i="21"/>
  <c r="C21" i="21"/>
  <c r="E20" i="21"/>
  <c r="D20" i="21"/>
  <c r="C20" i="21"/>
  <c r="E18" i="21"/>
  <c r="D18" i="21"/>
  <c r="C18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10" i="21"/>
  <c r="D10" i="21"/>
  <c r="C10" i="21"/>
  <c r="E8" i="21"/>
  <c r="D8" i="21"/>
  <c r="C8" i="21"/>
  <c r="E6" i="21"/>
  <c r="D6" i="21"/>
  <c r="C6" i="21"/>
  <c r="E5" i="21"/>
  <c r="D5" i="21"/>
  <c r="C5" i="21"/>
  <c r="E4" i="21"/>
  <c r="E7" i="21" s="1"/>
  <c r="E9" i="21" s="1"/>
  <c r="E17" i="21" s="1"/>
  <c r="E19" i="21" s="1"/>
  <c r="E22" i="21" s="1"/>
  <c r="E24" i="21" s="1"/>
  <c r="D4" i="21"/>
  <c r="D7" i="21" s="1"/>
  <c r="D9" i="21" s="1"/>
  <c r="D17" i="21" s="1"/>
  <c r="C4" i="21"/>
  <c r="D19" i="21" l="1"/>
  <c r="D22" i="21" s="1"/>
  <c r="D24" i="21" s="1"/>
  <c r="C7" i="21"/>
  <c r="C9" i="21" s="1"/>
  <c r="C17" i="21" s="1"/>
  <c r="C19" i="21" s="1"/>
  <c r="C22" i="21" s="1"/>
  <c r="C24" i="21" s="1"/>
  <c r="H94" i="10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<sst xmlns="http://schemas.openxmlformats.org/spreadsheetml/2006/main" count="955" uniqueCount="246">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</sst>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5" fontId="1" fillId="2" borderId="0" xfId="0" applyNumberFormat="1" applyFont="1" applyFill="1"/>
    <xf numFmtId="165" fontId="22" fillId="2" borderId="3" xfId="0" applyNumberFormat="1" applyFont="1" applyFill="1" applyBorder="1"/>
    <xf numFmtId="165" fontId="10" fillId="3" borderId="3" xfId="0" applyNumberFormat="1" applyFont="1" applyFill="1" applyBorder="1"/>
    <xf numFmtId="165" fontId="22" fillId="2" borderId="4" xfId="0" applyNumberFormat="1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topLeftCell="A45" workbookViewId="0">
      <selection activeCell="H5" sqref="H1:H1048576"/>
    </sheetView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2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2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2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2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2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2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2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2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2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2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2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2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2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2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2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2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2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2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2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2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2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2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2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2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2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2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2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2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2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2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2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2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2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2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2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2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2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2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2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2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2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2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2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2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2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2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2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2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2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2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2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2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2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2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2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2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25">
      <c r="D62" s="5"/>
    </row>
    <row r="63" spans="2:7" x14ac:dyDescent="0.25">
      <c r="D63" s="5"/>
    </row>
    <row r="64" spans="2:7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2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2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2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2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2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2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2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2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2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2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2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2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2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2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2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2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2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2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2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2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2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2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2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2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2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2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2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2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2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2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25">
      <c r="D87" s="5"/>
    </row>
    <row r="88" spans="2:7" x14ac:dyDescent="0.25">
      <c r="D88" s="5"/>
    </row>
    <row r="89" spans="2:7" x14ac:dyDescent="0.25">
      <c r="D89" s="5"/>
    </row>
    <row r="90" spans="2:7" x14ac:dyDescent="0.25">
      <c r="D90" s="5"/>
    </row>
    <row r="91" spans="2:7" x14ac:dyDescent="0.25">
      <c r="D91" s="5"/>
    </row>
    <row r="92" spans="2:7" x14ac:dyDescent="0.25">
      <c r="D92" s="5"/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2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2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2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2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2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2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2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2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2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2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2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2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2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2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2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2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2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2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2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2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2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2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2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2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2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2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2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2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2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2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25">
      <c r="D79" s="5"/>
    </row>
    <row r="80" spans="2:7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>
      <selection activeCell="B1" sqref="B1"/>
    </sheetView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4.140625" style="2" bestFit="1" customWidth="1"/>
    <col min="5" max="5" width="21.140625" style="2" customWidth="1"/>
    <col min="6" max="8" width="9.85546875" style="2" bestFit="1" customWidth="1"/>
    <col min="9" max="9" width="2" style="2" customWidth="1"/>
    <col min="10" max="16384" width="9.140625" style="2"/>
  </cols>
  <sheetData>
    <row r="1" spans="2:10" ht="15.75" x14ac:dyDescent="0.25">
      <c r="B1" s="3" t="s">
        <v>56</v>
      </c>
    </row>
    <row r="3" spans="2:10" ht="12.75" thickBot="1" x14ac:dyDescent="0.25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10" ht="15" x14ac:dyDescent="0.2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5" x14ac:dyDescent="0.25">
      <c r="B110"/>
    </row>
    <row r="111" spans="2:10" ht="15" x14ac:dyDescent="0.25">
      <c r="B111"/>
    </row>
    <row r="112" spans="2:10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27"/>
  <sheetViews>
    <sheetView tabSelected="1" zoomScale="140" zoomScaleNormal="140" workbookViewId="0">
      <selection activeCell="C24" sqref="C24"/>
    </sheetView>
  </sheetViews>
  <sheetFormatPr defaultColWidth="8.85546875" defaultRowHeight="12" x14ac:dyDescent="0.2"/>
  <cols>
    <col min="1" max="1" width="2" style="28" customWidth="1"/>
    <col min="2" max="2" width="20" style="28" bestFit="1" customWidth="1"/>
    <col min="3" max="3" width="12.42578125" style="28" bestFit="1" customWidth="1"/>
    <col min="4" max="16384" width="8.85546875" style="28"/>
  </cols>
  <sheetData>
    <row r="1" spans="2:5" ht="15.75" x14ac:dyDescent="0.25">
      <c r="B1" s="29" t="s">
        <v>238</v>
      </c>
    </row>
    <row r="3" spans="2:5" ht="12.75" thickBot="1" x14ac:dyDescent="0.25">
      <c r="B3" s="25" t="s">
        <v>244</v>
      </c>
      <c r="C3" s="26" t="s">
        <v>221</v>
      </c>
      <c r="D3" s="26" t="s">
        <v>222</v>
      </c>
      <c r="E3" s="26" t="s">
        <v>223</v>
      </c>
    </row>
    <row r="4" spans="2:5" x14ac:dyDescent="0.2">
      <c r="B4" s="28" t="s">
        <v>226</v>
      </c>
      <c r="C4" s="33">
        <f>SUMIF('2.1 Database'!$J:$J,'2.2 P&amp;L statement'!$B:$B,'2.1 Database'!F:F)/1000000</f>
        <v>14.500341000000001</v>
      </c>
      <c r="D4" s="33">
        <f>SUMIF('2.1 Database'!$J:$J,'2.2 P&amp;L statement'!$B:$B,'2.1 Database'!G:G)/1000000</f>
        <v>16.148295364999999</v>
      </c>
      <c r="E4" s="33">
        <f>SUMIF('2.1 Database'!$J:$J,'2.2 P&amp;L statement'!$B:$B,'2.1 Database'!H:H)/1000000</f>
        <v>15.047803019</v>
      </c>
    </row>
    <row r="5" spans="2:5" x14ac:dyDescent="0.2">
      <c r="B5" s="28" t="s">
        <v>66</v>
      </c>
      <c r="C5" s="33">
        <f>SUMIF('2.1 Database'!$J:$J,'2.2 P&amp;L statement'!$B:$B,'2.1 Database'!F:F)/1000000</f>
        <v>4.7948561920000001</v>
      </c>
      <c r="D5" s="33">
        <f>SUMIF('2.1 Database'!$J:$J,'2.2 P&amp;L statement'!$B:$B,'2.1 Database'!G:G)/1000000</f>
        <v>6.9602176449999993</v>
      </c>
      <c r="E5" s="33">
        <f>SUMIF('2.1 Database'!$J:$J,'2.2 P&amp;L statement'!$B:$B,'2.1 Database'!H:H)/1000000</f>
        <v>6.3736175140000002</v>
      </c>
    </row>
    <row r="6" spans="2:5" x14ac:dyDescent="0.2">
      <c r="B6" s="28" t="s">
        <v>229</v>
      </c>
      <c r="C6" s="33">
        <f>SUMIF('2.1 Database'!$J:$J,'2.2 P&amp;L statement'!$B:$B,'2.1 Database'!F:F)/1000000</f>
        <v>3.2200542519999997</v>
      </c>
      <c r="D6" s="33">
        <f>SUMIF('2.1 Database'!$J:$J,'2.2 P&amp;L statement'!$B:$B,'2.1 Database'!G:G)/1000000</f>
        <v>2.9240919949999999</v>
      </c>
      <c r="E6" s="33">
        <f>SUMIF('2.1 Database'!$J:$J,'2.2 P&amp;L statement'!$B:$B,'2.1 Database'!H:H)/1000000</f>
        <v>4.8931777299999997</v>
      </c>
    </row>
    <row r="7" spans="2:5" x14ac:dyDescent="0.2">
      <c r="B7" s="30" t="s">
        <v>239</v>
      </c>
      <c r="C7" s="34">
        <f>+SUM(C4:C6)</f>
        <v>22.515251444</v>
      </c>
      <c r="D7" s="34">
        <f>+SUM(D4:D6)</f>
        <v>26.032605005000001</v>
      </c>
      <c r="E7" s="34">
        <f>+SUM(E4:E6)</f>
        <v>26.314598263000001</v>
      </c>
    </row>
    <row r="8" spans="2:5" x14ac:dyDescent="0.2">
      <c r="B8" s="28" t="s">
        <v>104</v>
      </c>
      <c r="C8" s="33">
        <f>SUMIF('2.1 Database'!$J:$J,'2.2 P&amp;L statement'!$B:$B,'2.1 Database'!F:F)/1000000</f>
        <v>-4.4289117640000004</v>
      </c>
      <c r="D8" s="33">
        <f>SUMIF('2.1 Database'!$J:$J,'2.2 P&amp;L statement'!$B:$B,'2.1 Database'!G:G)/1000000</f>
        <v>-5.4631888250000005</v>
      </c>
      <c r="E8" s="33">
        <f>SUMIF('2.1 Database'!$J:$J,'2.2 P&amp;L statement'!$B:$B,'2.1 Database'!H:H)/1000000</f>
        <v>-5.6741520669999996</v>
      </c>
    </row>
    <row r="9" spans="2:5" x14ac:dyDescent="0.2">
      <c r="B9" s="30" t="s">
        <v>240</v>
      </c>
      <c r="C9" s="34">
        <f>+SUM(C7:C8)</f>
        <v>18.086339680000002</v>
      </c>
      <c r="D9" s="34">
        <f>+SUM(D7:D8)</f>
        <v>20.569416180000001</v>
      </c>
      <c r="E9" s="34">
        <f>+SUM(E7:E8)</f>
        <v>20.640446195999999</v>
      </c>
    </row>
    <row r="10" spans="2:5" x14ac:dyDescent="0.2">
      <c r="B10" s="28" t="s">
        <v>227</v>
      </c>
      <c r="C10" s="33">
        <f>SUMIF('2.1 Database'!$J:$J,'2.2 P&amp;L statement'!$B:$B,'2.1 Database'!F:F)/1000000</f>
        <v>-3.3966489799999997</v>
      </c>
      <c r="D10" s="33">
        <f>SUMIF('2.1 Database'!$J:$J,'2.2 P&amp;L statement'!$B:$B,'2.1 Database'!G:G)/1000000</f>
        <v>-3.7048433449999996</v>
      </c>
      <c r="E10" s="33">
        <f>SUMIF('2.1 Database'!$J:$J,'2.2 P&amp;L statement'!$B:$B,'2.1 Database'!H:H)/1000000</f>
        <v>-6.6874830379999999</v>
      </c>
    </row>
    <row r="11" spans="2:5" x14ac:dyDescent="0.2">
      <c r="B11" s="28" t="s">
        <v>228</v>
      </c>
      <c r="C11" s="33">
        <f>SUMIF('2.1 Database'!$J:$J,'2.2 P&amp;L statement'!$B:$B,'2.1 Database'!F:F)/1000000</f>
        <v>-6.17073904</v>
      </c>
      <c r="D11" s="33">
        <f>SUMIF('2.1 Database'!$J:$J,'2.2 P&amp;L statement'!$B:$B,'2.1 Database'!G:G)/1000000</f>
        <v>-8.0718589449999989</v>
      </c>
      <c r="E11" s="33">
        <f>SUMIF('2.1 Database'!$J:$J,'2.2 P&amp;L statement'!$B:$B,'2.1 Database'!H:H)/1000000</f>
        <v>-5.8358881759999992</v>
      </c>
    </row>
    <row r="12" spans="2:5" x14ac:dyDescent="0.2">
      <c r="B12" s="28" t="s">
        <v>230</v>
      </c>
      <c r="C12" s="33">
        <f>SUMIF('2.1 Database'!$J:$J,'2.2 P&amp;L statement'!$B:$B,'2.1 Database'!F:F)/1000000</f>
        <v>-1.127445872</v>
      </c>
      <c r="D12" s="33">
        <f>SUMIF('2.1 Database'!$J:$J,'2.2 P&amp;L statement'!$B:$B,'2.1 Database'!G:G)/1000000</f>
        <v>-1.0553814750000001</v>
      </c>
      <c r="E12" s="33">
        <f>SUMIF('2.1 Database'!$J:$J,'2.2 P&amp;L statement'!$B:$B,'2.1 Database'!H:H)/1000000</f>
        <v>1.596053449</v>
      </c>
    </row>
    <row r="13" spans="2:5" x14ac:dyDescent="0.2">
      <c r="B13" s="28" t="s">
        <v>231</v>
      </c>
      <c r="C13" s="33">
        <f>SUMIF('2.1 Database'!$J:$J,'2.2 P&amp;L statement'!$B:$B,'2.1 Database'!F:F)/1000000</f>
        <v>-2.5430882079999995</v>
      </c>
      <c r="D13" s="33">
        <f>SUMIF('2.1 Database'!$J:$J,'2.2 P&amp;L statement'!$B:$B,'2.1 Database'!G:G)/1000000</f>
        <v>-1.837786345</v>
      </c>
      <c r="E13" s="33">
        <f>SUMIF('2.1 Database'!$J:$J,'2.2 P&amp;L statement'!$B:$B,'2.1 Database'!H:H)/1000000</f>
        <v>-1.9549839309999999</v>
      </c>
    </row>
    <row r="14" spans="2:5" x14ac:dyDescent="0.2">
      <c r="B14" s="28" t="s">
        <v>232</v>
      </c>
      <c r="C14" s="33">
        <f>SUMIF('2.1 Database'!$J:$J,'2.2 P&amp;L statement'!$B:$B,'2.1 Database'!F:F)/1000000</f>
        <v>-1.8135250039999999</v>
      </c>
      <c r="D14" s="33">
        <f>SUMIF('2.1 Database'!$J:$J,'2.2 P&amp;L statement'!$B:$B,'2.1 Database'!G:G)/1000000</f>
        <v>-2.3932591899999998</v>
      </c>
      <c r="E14" s="33">
        <f>SUMIF('2.1 Database'!$J:$J,'2.2 P&amp;L statement'!$B:$B,'2.1 Database'!H:H)/1000000</f>
        <v>-2.5144318869999998</v>
      </c>
    </row>
    <row r="15" spans="2:5" x14ac:dyDescent="0.2">
      <c r="B15" s="28" t="s">
        <v>74</v>
      </c>
      <c r="C15" s="33">
        <f>SUMIF('2.1 Database'!$J:$J,'2.2 P&amp;L statement'!$B:$B,'2.1 Database'!F:F)/1000000</f>
        <v>5.7221999999999995E-5</v>
      </c>
      <c r="D15" s="33">
        <f>SUMIF('2.1 Database'!$J:$J,'2.2 P&amp;L statement'!$B:$B,'2.1 Database'!G:G)/1000000</f>
        <v>-7.3574899999999995E-3</v>
      </c>
      <c r="E15" s="33">
        <f>SUMIF('2.1 Database'!$J:$J,'2.2 P&amp;L statement'!$B:$B,'2.1 Database'!H:H)/1000000</f>
        <v>4.678542799999999E-2</v>
      </c>
    </row>
    <row r="16" spans="2:5" x14ac:dyDescent="0.2">
      <c r="B16" s="28" t="s">
        <v>67</v>
      </c>
      <c r="C16" s="33">
        <f>SUMIF('2.1 Database'!$J:$J,'2.2 P&amp;L statement'!$B:$B,'2.1 Database'!F:F)/1000000</f>
        <v>5.2683321979999995</v>
      </c>
      <c r="D16" s="33">
        <f>SUMIF('2.1 Database'!$J:$J,'2.2 P&amp;L statement'!$B:$B,'2.1 Database'!G:G)/1000000</f>
        <v>0.74482694999999999</v>
      </c>
      <c r="E16" s="33">
        <f>SUMIF('2.1 Database'!$J:$J,'2.2 P&amp;L statement'!$B:$B,'2.1 Database'!H:H)/1000000</f>
        <v>0</v>
      </c>
    </row>
    <row r="17" spans="2:5" x14ac:dyDescent="0.2">
      <c r="B17" s="31" t="s">
        <v>241</v>
      </c>
      <c r="C17" s="35">
        <f>+SUM(C9:C16)</f>
        <v>8.3032819960000026</v>
      </c>
      <c r="D17" s="35">
        <f>+SUM(D9:D16)</f>
        <v>4.2437563400000018</v>
      </c>
      <c r="E17" s="35">
        <f>+SUM(E9:E16)</f>
        <v>5.2904980409999993</v>
      </c>
    </row>
    <row r="18" spans="2:5" x14ac:dyDescent="0.2">
      <c r="B18" s="28" t="s">
        <v>72</v>
      </c>
      <c r="C18" s="33">
        <f>SUMIF('2.1 Database'!$J:$J,'2.2 P&amp;L statement'!$B:$B,'2.1 Database'!F:F)/1000000</f>
        <v>-2.045243514</v>
      </c>
      <c r="D18" s="33">
        <f>SUMIF('2.1 Database'!$J:$J,'2.2 P&amp;L statement'!$B:$B,'2.1 Database'!G:G)/1000000</f>
        <v>-2.0440058150000002</v>
      </c>
      <c r="E18" s="33">
        <f>SUMIF('2.1 Database'!$J:$J,'2.2 P&amp;L statement'!$B:$B,'2.1 Database'!H:H)/1000000</f>
        <v>-1.8883615140000001</v>
      </c>
    </row>
    <row r="19" spans="2:5" x14ac:dyDescent="0.2">
      <c r="B19" s="30" t="s">
        <v>242</v>
      </c>
      <c r="C19" s="34">
        <f>+SUM(C17:C18)</f>
        <v>6.2580384820000026</v>
      </c>
      <c r="D19" s="34">
        <f>+SUM(D17:D18)</f>
        <v>2.1997505250000016</v>
      </c>
      <c r="E19" s="34">
        <f>+SUM(E17:E18)</f>
        <v>3.4021365269999992</v>
      </c>
    </row>
    <row r="20" spans="2:5" x14ac:dyDescent="0.2">
      <c r="B20" s="28" t="s">
        <v>233</v>
      </c>
      <c r="C20" s="33">
        <f>SUMIF('2.1 Database'!$J:$J,'2.2 P&amp;L statement'!$B:$B,'2.1 Database'!F:F)/1000000</f>
        <v>-2.8426923660000001</v>
      </c>
      <c r="D20" s="33">
        <f>SUMIF('2.1 Database'!$J:$J,'2.2 P&amp;L statement'!$B:$B,'2.1 Database'!G:G)/1000000</f>
        <v>-2.7107469200000001</v>
      </c>
      <c r="E20" s="33">
        <f>SUMIF('2.1 Database'!$J:$J,'2.2 P&amp;L statement'!$B:$B,'2.1 Database'!H:H)/1000000</f>
        <v>-2.250707829</v>
      </c>
    </row>
    <row r="21" spans="2:5" x14ac:dyDescent="0.2">
      <c r="B21" s="28" t="s">
        <v>234</v>
      </c>
      <c r="C21" s="33">
        <f>SUMIF('2.1 Database'!$J:$J,'2.2 P&amp;L statement'!$B:$B,'2.1 Database'!F:F)/1000000</f>
        <v>-2.2762999999999999E-2</v>
      </c>
      <c r="D21" s="33">
        <f>SUMIF('2.1 Database'!$J:$J,'2.2 P&amp;L statement'!$B:$B,'2.1 Database'!G:G)/1000000</f>
        <v>-4.5786198000000002</v>
      </c>
      <c r="E21" s="33">
        <f>SUMIF('2.1 Database'!$J:$J,'2.2 P&amp;L statement'!$B:$B,'2.1 Database'!H:H)/1000000</f>
        <v>-7.1731959999999989E-3</v>
      </c>
    </row>
    <row r="22" spans="2:5" x14ac:dyDescent="0.2">
      <c r="B22" s="30" t="s">
        <v>243</v>
      </c>
      <c r="C22" s="34">
        <f>+SUM(C19:C21)</f>
        <v>3.3925831160000026</v>
      </c>
      <c r="D22" s="34">
        <f>+SUM(D19:D21)</f>
        <v>-5.0896161949999987</v>
      </c>
      <c r="E22" s="34">
        <f>+SUM(E19:E21)</f>
        <v>1.1442555019999991</v>
      </c>
    </row>
    <row r="23" spans="2:5" x14ac:dyDescent="0.2">
      <c r="B23" s="28" t="s">
        <v>235</v>
      </c>
      <c r="C23" s="33">
        <f>SUMIF('2.1 Database'!$J:$J,'2.2 P&amp;L statement'!$B:$B,'2.1 Database'!F:F)/1000000</f>
        <v>-0.48846512199999997</v>
      </c>
      <c r="D23" s="33">
        <f>SUMIF('2.1 Database'!$J:$J,'2.2 P&amp;L statement'!$B:$B,'2.1 Database'!G:G)/1000000</f>
        <v>-0.98419196500000017</v>
      </c>
      <c r="E23" s="33">
        <f>SUMIF('2.1 Database'!$J:$J,'2.2 P&amp;L statement'!$B:$B,'2.1 Database'!H:H)/1000000</f>
        <v>-0.36496502599999997</v>
      </c>
    </row>
    <row r="24" spans="2:5" ht="12.75" thickBot="1" x14ac:dyDescent="0.25">
      <c r="B24" s="32" t="s">
        <v>236</v>
      </c>
      <c r="C24" s="36">
        <f>+SUM(C22:C23)</f>
        <v>2.9041179940000026</v>
      </c>
      <c r="D24" s="36">
        <f>+SUM(D22:D23)</f>
        <v>-6.0738081599999987</v>
      </c>
      <c r="E24" s="36">
        <f>+SUM(E22:E23)</f>
        <v>0.77929047599999923</v>
      </c>
    </row>
    <row r="27" spans="2:5" x14ac:dyDescent="0.2">
      <c r="B27" s="28" t="s">
        <v>245</v>
      </c>
      <c r="C27" s="33">
        <f>SUMIF('2.1 Database'!$J:$J,'2.2 P&amp;L statement'!$B:$B,'2.1 Database'!F:F)/1000000</f>
        <v>-2.9041179939999986</v>
      </c>
      <c r="D27" s="33">
        <f>SUMIF('2.1 Database'!$J:$J,'2.2 P&amp;L statement'!$B:$B,'2.1 Database'!G:G)/1000000</f>
        <v>6.0738081600000005</v>
      </c>
      <c r="E27" s="33">
        <f>SUMIF('2.1 Database'!$J:$J,'2.2 P&amp;L statement'!$B:$B,'2.1 Database'!H:H)/1000000</f>
        <v>-0.77929047600000001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2024-12-05T19:41:46Z</dcterms:modified>
</cp:coreProperties>
</file>