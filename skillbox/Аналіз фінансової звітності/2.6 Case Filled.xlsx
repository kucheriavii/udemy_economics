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onomics\udemy_economics\skillbox\Аналіз фінансової звітності\"/>
    </mc:Choice>
  </mc:AlternateContent>
  <xr:revisionPtr revIDLastSave="0" documentId="13_ncr:1_{43FD74F1-0C7F-4844-BFE9-725574467CFB}" xr6:coauthVersionLast="47" xr6:coauthVersionMax="47" xr10:uidLastSave="{00000000-0000-0000-0000-000000000000}"/>
  <bookViews>
    <workbookView xWindow="28680" yWindow="270" windowWidth="29040" windowHeight="17640" activeTab="1" xr2:uid="{482D618F-8C85-4E49-97A1-CC42797B563C}"/>
  </bookViews>
  <sheets>
    <sheet name="Sheet1" sheetId="1" r:id="rId1"/>
    <sheet name="handm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3" i="2" l="1"/>
  <c r="I43" i="2"/>
  <c r="G43" i="2"/>
  <c r="H42" i="2"/>
  <c r="I42" i="2"/>
  <c r="G42" i="2"/>
  <c r="H41" i="2"/>
  <c r="I41" i="2"/>
  <c r="G41" i="2"/>
  <c r="H40" i="2"/>
  <c r="I40" i="2"/>
  <c r="G40" i="2"/>
  <c r="G5" i="1"/>
  <c r="H5" i="1"/>
  <c r="I5" i="1"/>
  <c r="G6" i="1"/>
  <c r="H6" i="1"/>
  <c r="I6" i="1"/>
  <c r="G7" i="1"/>
  <c r="H7" i="1"/>
  <c r="I7" i="1"/>
  <c r="G8" i="1"/>
  <c r="H8" i="1"/>
  <c r="I8" i="1"/>
  <c r="G19" i="1"/>
  <c r="H19" i="1"/>
  <c r="I19" i="1"/>
  <c r="G20" i="1"/>
  <c r="H20" i="1"/>
  <c r="I20" i="1"/>
  <c r="G21" i="1"/>
  <c r="H21" i="1"/>
  <c r="I21" i="1"/>
  <c r="G28" i="1"/>
  <c r="H28" i="1"/>
  <c r="I28" i="1"/>
  <c r="G29" i="1"/>
  <c r="H29" i="1"/>
  <c r="I29" i="1"/>
  <c r="G30" i="1"/>
  <c r="G31" i="1" s="1"/>
  <c r="H30" i="1"/>
  <c r="I30" i="1"/>
  <c r="H31" i="1"/>
  <c r="I31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D60" i="2"/>
  <c r="C60" i="2"/>
  <c r="B60" i="2"/>
</calcChain>
</file>

<file path=xl/sharedStrings.xml><?xml version="1.0" encoding="utf-8"?>
<sst xmlns="http://schemas.openxmlformats.org/spreadsheetml/2006/main" count="116" uniqueCount="70">
  <si>
    <t>Земельные участки</t>
  </si>
  <si>
    <t>Здания и сооружения</t>
  </si>
  <si>
    <t>Оборудование и прочие активы</t>
  </si>
  <si>
    <t>Прочие внеоборотные активы</t>
  </si>
  <si>
    <t>Суммарные внеоборотные активы</t>
  </si>
  <si>
    <t>Запасы материалов и комплектующих</t>
  </si>
  <si>
    <t>Готовая продукция на складе</t>
  </si>
  <si>
    <t>НДС на приобретенные товары</t>
  </si>
  <si>
    <t>Дебиторская задолженность</t>
  </si>
  <si>
    <t>Авансы уплаченные поставщикам</t>
  </si>
  <si>
    <t>Краткосрочные финансовые вложения</t>
  </si>
  <si>
    <t>Денежные средства</t>
  </si>
  <si>
    <t>Прочие оборотные активы</t>
  </si>
  <si>
    <t>Суммарные оборотные активы</t>
  </si>
  <si>
    <t>ИТОГО АКТИВОВ</t>
  </si>
  <si>
    <t>Акционерный капитал</t>
  </si>
  <si>
    <t>Нераспределенная прибыль</t>
  </si>
  <si>
    <t>Прочий собственный капитал</t>
  </si>
  <si>
    <t>Суммарный собственный капитал</t>
  </si>
  <si>
    <t>Долгосрочные кредиты</t>
  </si>
  <si>
    <t>Прочие долгосрочные обязательства</t>
  </si>
  <si>
    <t>Суммарные долгосрочные обязательства</t>
  </si>
  <si>
    <t>Краткосрочные кредиты</t>
  </si>
  <si>
    <t>Суммарные краткосрочные обязательства</t>
  </si>
  <si>
    <t>ИТОГО ПАССИВОВ</t>
  </si>
  <si>
    <t>Выручка</t>
  </si>
  <si>
    <t>Себестоимость:</t>
  </si>
  <si>
    <t>сырье и материалы</t>
  </si>
  <si>
    <t>производственный персонал</t>
  </si>
  <si>
    <t>производственные расходы</t>
  </si>
  <si>
    <t>Валовая прибыль</t>
  </si>
  <si>
    <t>Административный и коммерческий персонал</t>
  </si>
  <si>
    <t>Коммерческие расходы</t>
  </si>
  <si>
    <t>Управленческие расходы</t>
  </si>
  <si>
    <t>Амортизация</t>
  </si>
  <si>
    <t>Проценты к уплате</t>
  </si>
  <si>
    <t>Прибыль (убыток) от операционной деятельности</t>
  </si>
  <si>
    <t>Прочие доходы</t>
  </si>
  <si>
    <t>Прочие расходы</t>
  </si>
  <si>
    <t>Прибыль до налогообложения</t>
  </si>
  <si>
    <t>Чистая прибыль (убыток)</t>
  </si>
  <si>
    <t>БАЛАНС</t>
  </si>
  <si>
    <t>ОТЧЕТ О ПРИБЫЛЯХ И УБЫТКАХ</t>
  </si>
  <si>
    <t>Налог на прибыль</t>
  </si>
  <si>
    <t>Кредиторская задолженность</t>
  </si>
  <si>
    <t>EBITDA</t>
  </si>
  <si>
    <t>Рентабельность продаж</t>
  </si>
  <si>
    <t>Рентабельность по EBITDA</t>
  </si>
  <si>
    <t>Рентабельность активов</t>
  </si>
  <si>
    <t>Рентабельность собственного капитала</t>
  </si>
  <si>
    <t>Текущая ликвидность</t>
  </si>
  <si>
    <t>Чистый оборотный капитал</t>
  </si>
  <si>
    <t>Быстрая ликвидность</t>
  </si>
  <si>
    <t>Оборач. запасов</t>
  </si>
  <si>
    <t>Оборач. дебиторской задолженности</t>
  </si>
  <si>
    <t>Оборач. кредиторской задолженности</t>
  </si>
  <si>
    <t>Оборачиваемость постоянных активов</t>
  </si>
  <si>
    <t>Финансовый рычаг</t>
  </si>
  <si>
    <t>Суммарный долг</t>
  </si>
  <si>
    <t>TD / EBITDA</t>
  </si>
  <si>
    <t>Операционный рычаг</t>
  </si>
  <si>
    <t>Урок 2</t>
  </si>
  <si>
    <t>Урок 3</t>
  </si>
  <si>
    <t>Урок 4</t>
  </si>
  <si>
    <t>Урок 5</t>
  </si>
  <si>
    <t>Коэффициент автономии</t>
  </si>
  <si>
    <t>Рентабільність по чистому прибутку</t>
  </si>
  <si>
    <t>Рентабільність по EBITDA</t>
  </si>
  <si>
    <t>Рентабільність активів</t>
  </si>
  <si>
    <t>Рентабельність власного капітала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</si>
</sst>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9" x14ac:knownFonts="1"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9"/>
      <color theme="1" tint="0.499984740745262"/>
      <name val="Calibri"/>
      <family val="2"/>
      <charset val="204"/>
    </font>
    <font>
      <sz val="11"/>
      <color theme="0" tint="-0.249977111117893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 indent="1"/>
    </xf>
    <xf numFmtId="3" fontId="2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/>
    <xf numFmtId="0" fontId="3" fillId="0" borderId="0" xfId="0" applyFont="1" applyAlignment="1">
      <alignment horizontal="left"/>
    </xf>
    <xf numFmtId="3" fontId="3" fillId="0" borderId="0" xfId="0" applyNumberFormat="1" applyFont="1"/>
    <xf numFmtId="3" fontId="1" fillId="0" borderId="0" xfId="0" applyNumberFormat="1" applyFont="1"/>
    <xf numFmtId="0" fontId="3" fillId="0" borderId="3" xfId="0" applyFont="1" applyBorder="1" applyAlignment="1">
      <alignment horizontal="left"/>
    </xf>
    <xf numFmtId="3" fontId="3" fillId="0" borderId="3" xfId="0" applyNumberFormat="1" applyFont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164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0" fontId="5" fillId="0" borderId="0" xfId="0" applyFont="1"/>
    <xf numFmtId="0" fontId="6" fillId="0" borderId="0" xfId="0" applyFont="1"/>
    <xf numFmtId="0" fontId="7" fillId="3" borderId="0" xfId="0" applyFont="1" applyFill="1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3" fontId="3" fillId="4" borderId="2" xfId="0" applyNumberFormat="1" applyFont="1" applyFill="1" applyBorder="1"/>
    <xf numFmtId="3" fontId="2" fillId="4" borderId="0" xfId="0" applyNumberFormat="1" applyFont="1" applyFill="1" applyAlignment="1">
      <alignment horizontal="right"/>
    </xf>
    <xf numFmtId="165" fontId="0" fillId="0" borderId="0" xfId="0" applyNumberFormat="1" applyAlignment="1">
      <alignment horizont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90AB-01E7-4F2E-9375-5F52B60A573E}">
  <dimension ref="A1:I61"/>
  <sheetViews>
    <sheetView workbookViewId="0">
      <pane ySplit="1" topLeftCell="A4" activePane="bottomLeft" state="frozen"/>
      <selection pane="bottomLeft" activeCell="F4" sqref="F4:I50"/>
    </sheetView>
  </sheetViews>
  <sheetFormatPr defaultRowHeight="15" x14ac:dyDescent="0.25"/>
  <cols>
    <col min="1" max="1" width="39.5703125" customWidth="1"/>
    <col min="2" max="4" width="12.5703125" customWidth="1"/>
    <col min="5" max="5" width="2.42578125" customWidth="1"/>
    <col min="6" max="6" width="34.5703125" customWidth="1"/>
    <col min="7" max="9" width="12.5703125" customWidth="1"/>
  </cols>
  <sheetData>
    <row r="1" spans="1:9" s="18" customFormat="1" ht="12" x14ac:dyDescent="0.2">
      <c r="A1" s="19"/>
      <c r="B1" s="19">
        <v>2017</v>
      </c>
      <c r="C1" s="19">
        <v>2018</v>
      </c>
      <c r="D1" s="19">
        <v>2019</v>
      </c>
      <c r="E1" s="19"/>
      <c r="F1" s="19"/>
      <c r="G1" s="19">
        <v>2017</v>
      </c>
      <c r="H1" s="19">
        <v>2018</v>
      </c>
      <c r="I1" s="19">
        <v>2019</v>
      </c>
    </row>
    <row r="3" spans="1:9" ht="26.45" customHeight="1" thickBot="1" x14ac:dyDescent="0.3">
      <c r="A3" s="12" t="s">
        <v>41</v>
      </c>
      <c r="B3" s="13">
        <v>2017</v>
      </c>
      <c r="C3" s="13">
        <v>2018</v>
      </c>
      <c r="D3" s="13">
        <v>2019</v>
      </c>
    </row>
    <row r="4" spans="1:9" ht="15.75" thickTop="1" x14ac:dyDescent="0.25">
      <c r="A4" s="1"/>
      <c r="B4" s="2"/>
      <c r="C4" s="2"/>
      <c r="D4" s="2"/>
      <c r="F4" s="17" t="s">
        <v>63</v>
      </c>
    </row>
    <row r="5" spans="1:9" x14ac:dyDescent="0.25">
      <c r="A5" s="3" t="s">
        <v>0</v>
      </c>
      <c r="B5" s="4">
        <v>16139</v>
      </c>
      <c r="C5" s="4">
        <v>16139</v>
      </c>
      <c r="D5" s="4">
        <v>0</v>
      </c>
      <c r="F5" t="s">
        <v>54</v>
      </c>
      <c r="G5" s="15">
        <f>(B14+B15)/B40*365</f>
        <v>79.08060694147926</v>
      </c>
      <c r="H5" s="15">
        <f t="shared" ref="H5:I5" si="0">(C14+C15)/C40*365</f>
        <v>40.422407512626968</v>
      </c>
      <c r="I5" s="15">
        <f t="shared" si="0"/>
        <v>6.6128921494504587</v>
      </c>
    </row>
    <row r="6" spans="1:9" x14ac:dyDescent="0.25">
      <c r="A6" s="3" t="s">
        <v>1</v>
      </c>
      <c r="B6" s="4">
        <v>151163</v>
      </c>
      <c r="C6" s="4">
        <v>179540</v>
      </c>
      <c r="D6" s="4">
        <v>188542</v>
      </c>
      <c r="F6" t="s">
        <v>53</v>
      </c>
      <c r="G6" s="15">
        <f>(B11+B12+B13)/B40*365</f>
        <v>28.283936681881571</v>
      </c>
      <c r="H6" s="15">
        <f t="shared" ref="H6:I6" si="1">(C11+C12+C13)/C40*365</f>
        <v>19.219517289237935</v>
      </c>
      <c r="I6" s="15">
        <f t="shared" si="1"/>
        <v>21.571478109289597</v>
      </c>
    </row>
    <row r="7" spans="1:9" x14ac:dyDescent="0.25">
      <c r="A7" s="3" t="s">
        <v>2</v>
      </c>
      <c r="B7" s="4">
        <v>71980</v>
      </c>
      <c r="C7" s="4">
        <v>148620</v>
      </c>
      <c r="D7" s="4">
        <v>167750</v>
      </c>
      <c r="F7" t="s">
        <v>55</v>
      </c>
      <c r="G7" s="15">
        <f>B33/B40*365</f>
        <v>45.940622400407264</v>
      </c>
      <c r="H7" s="15">
        <f t="shared" ref="H7:I7" si="2">C33/C40*365</f>
        <v>55.849769918500165</v>
      </c>
      <c r="I7" s="15">
        <f t="shared" si="2"/>
        <v>92.622932024880086</v>
      </c>
    </row>
    <row r="8" spans="1:9" x14ac:dyDescent="0.25">
      <c r="A8" s="3" t="s">
        <v>3</v>
      </c>
      <c r="B8" s="4">
        <v>4767</v>
      </c>
      <c r="C8" s="4">
        <v>5470</v>
      </c>
      <c r="D8" s="4">
        <v>15615</v>
      </c>
      <c r="F8" t="s">
        <v>56</v>
      </c>
      <c r="G8" s="15">
        <f>B40/B9</f>
        <v>3.5005841769341819</v>
      </c>
      <c r="H8" s="15">
        <f t="shared" ref="H8:I8" si="3">C40/C9</f>
        <v>2.1577291860085284</v>
      </c>
      <c r="I8" s="15">
        <f t="shared" si="3"/>
        <v>1.3411932352506755</v>
      </c>
    </row>
    <row r="9" spans="1:9" x14ac:dyDescent="0.25">
      <c r="A9" s="5" t="s">
        <v>4</v>
      </c>
      <c r="B9" s="6">
        <v>244049</v>
      </c>
      <c r="C9" s="6">
        <v>349769</v>
      </c>
      <c r="D9" s="6">
        <v>371907</v>
      </c>
    </row>
    <row r="10" spans="1:9" x14ac:dyDescent="0.25">
      <c r="A10" s="7"/>
      <c r="B10" s="8"/>
      <c r="C10" s="8"/>
      <c r="D10" s="8"/>
    </row>
    <row r="11" spans="1:9" x14ac:dyDescent="0.25">
      <c r="A11" s="3" t="s">
        <v>5</v>
      </c>
      <c r="B11" s="4">
        <v>58217</v>
      </c>
      <c r="C11" s="4">
        <v>35470</v>
      </c>
      <c r="D11" s="4">
        <v>26951</v>
      </c>
    </row>
    <row r="12" spans="1:9" x14ac:dyDescent="0.25">
      <c r="A12" s="3" t="s">
        <v>6</v>
      </c>
      <c r="B12" s="4">
        <v>7578</v>
      </c>
      <c r="C12" s="4">
        <v>3950</v>
      </c>
      <c r="D12" s="4">
        <v>2419</v>
      </c>
    </row>
    <row r="13" spans="1:9" x14ac:dyDescent="0.25">
      <c r="A13" s="3" t="s">
        <v>7</v>
      </c>
      <c r="B13" s="4">
        <v>406</v>
      </c>
      <c r="C13" s="4">
        <v>320</v>
      </c>
      <c r="D13" s="4">
        <v>109</v>
      </c>
    </row>
    <row r="14" spans="1:9" x14ac:dyDescent="0.25">
      <c r="A14" s="3" t="s">
        <v>8</v>
      </c>
      <c r="B14" s="4">
        <v>132266</v>
      </c>
      <c r="C14" s="4">
        <v>57801</v>
      </c>
      <c r="D14" s="4">
        <v>4047</v>
      </c>
    </row>
    <row r="15" spans="1:9" x14ac:dyDescent="0.25">
      <c r="A15" s="3" t="s">
        <v>9</v>
      </c>
      <c r="B15" s="4">
        <v>52829</v>
      </c>
      <c r="C15" s="4">
        <v>25780</v>
      </c>
      <c r="D15" s="4">
        <v>4990</v>
      </c>
    </row>
    <row r="16" spans="1:9" x14ac:dyDescent="0.25">
      <c r="A16" s="3" t="s">
        <v>10</v>
      </c>
      <c r="B16" s="4">
        <v>4364</v>
      </c>
      <c r="C16" s="4">
        <v>2420</v>
      </c>
      <c r="D16" s="4">
        <v>1667</v>
      </c>
    </row>
    <row r="17" spans="1:9" x14ac:dyDescent="0.25">
      <c r="A17" s="3" t="s">
        <v>11</v>
      </c>
      <c r="B17" s="4">
        <v>341</v>
      </c>
      <c r="C17" s="4">
        <v>354</v>
      </c>
      <c r="D17" s="4">
        <v>203</v>
      </c>
    </row>
    <row r="18" spans="1:9" x14ac:dyDescent="0.25">
      <c r="A18" s="3" t="s">
        <v>12</v>
      </c>
      <c r="B18" s="4">
        <v>1565</v>
      </c>
      <c r="C18" s="4">
        <v>950</v>
      </c>
      <c r="D18" s="4">
        <v>1232</v>
      </c>
      <c r="F18" s="17" t="s">
        <v>62</v>
      </c>
    </row>
    <row r="19" spans="1:9" x14ac:dyDescent="0.25">
      <c r="A19" s="5" t="s">
        <v>13</v>
      </c>
      <c r="B19" s="6">
        <v>257566</v>
      </c>
      <c r="C19" s="6">
        <v>127045</v>
      </c>
      <c r="D19" s="6">
        <v>41618</v>
      </c>
      <c r="F19" t="s">
        <v>51</v>
      </c>
      <c r="G19" s="16">
        <f>B19-B34</f>
        <v>77916</v>
      </c>
      <c r="H19" s="16">
        <f t="shared" ref="H19:I19" si="4">C19-C34</f>
        <v>-87185</v>
      </c>
      <c r="I19" s="16">
        <f t="shared" si="4"/>
        <v>-191794</v>
      </c>
    </row>
    <row r="20" spans="1:9" x14ac:dyDescent="0.25">
      <c r="A20" s="1"/>
      <c r="B20" s="9"/>
      <c r="C20" s="9"/>
      <c r="D20" s="9"/>
      <c r="F20" t="s">
        <v>50</v>
      </c>
      <c r="G20" s="15">
        <f>B19/B34</f>
        <v>1.4337099916504314</v>
      </c>
      <c r="H20" s="15">
        <f>C19/C34</f>
        <v>0.59303085468888572</v>
      </c>
      <c r="I20" s="15">
        <f>D19/D34</f>
        <v>0.17830274364642779</v>
      </c>
    </row>
    <row r="21" spans="1:9" x14ac:dyDescent="0.25">
      <c r="A21" s="10" t="s">
        <v>14</v>
      </c>
      <c r="B21" s="11">
        <v>501615</v>
      </c>
      <c r="C21" s="11">
        <v>476814</v>
      </c>
      <c r="D21" s="11">
        <v>413525</v>
      </c>
      <c r="F21" t="s">
        <v>52</v>
      </c>
      <c r="G21" s="15">
        <f>SUM(B14:B18)/B34</f>
        <v>1.0652101308099082</v>
      </c>
      <c r="H21" s="15">
        <f t="shared" ref="H21:I21" si="5">SUM(C14:C18)/C34</f>
        <v>0.40752929094898005</v>
      </c>
      <c r="I21" s="15">
        <f t="shared" si="5"/>
        <v>5.2006752009322574E-2</v>
      </c>
    </row>
    <row r="22" spans="1:9" x14ac:dyDescent="0.25">
      <c r="A22" s="1"/>
      <c r="B22" s="9"/>
      <c r="C22" s="9"/>
      <c r="D22" s="9"/>
    </row>
    <row r="23" spans="1:9" x14ac:dyDescent="0.25">
      <c r="A23" s="3" t="s">
        <v>15</v>
      </c>
      <c r="B23" s="4">
        <v>237</v>
      </c>
      <c r="C23" s="4">
        <v>237</v>
      </c>
      <c r="D23" s="4">
        <v>237</v>
      </c>
    </row>
    <row r="24" spans="1:9" x14ac:dyDescent="0.25">
      <c r="A24" s="3" t="s">
        <v>16</v>
      </c>
      <c r="B24" s="4">
        <v>-34962</v>
      </c>
      <c r="C24" s="4">
        <v>-83353</v>
      </c>
      <c r="D24" s="4">
        <v>-96114</v>
      </c>
    </row>
    <row r="25" spans="1:9" x14ac:dyDescent="0.25">
      <c r="A25" s="3" t="s">
        <v>17</v>
      </c>
      <c r="B25" s="4">
        <v>65097</v>
      </c>
      <c r="C25" s="4">
        <v>87320</v>
      </c>
      <c r="D25" s="4">
        <v>95939</v>
      </c>
    </row>
    <row r="26" spans="1:9" x14ac:dyDescent="0.25">
      <c r="A26" s="5" t="s">
        <v>18</v>
      </c>
      <c r="B26" s="6">
        <v>30372</v>
      </c>
      <c r="C26" s="6">
        <v>4204</v>
      </c>
      <c r="D26" s="6">
        <v>62</v>
      </c>
    </row>
    <row r="27" spans="1:9" x14ac:dyDescent="0.25">
      <c r="A27" s="7"/>
      <c r="B27" s="8"/>
      <c r="C27" s="8"/>
      <c r="D27" s="8"/>
      <c r="F27" s="17" t="s">
        <v>64</v>
      </c>
    </row>
    <row r="28" spans="1:9" x14ac:dyDescent="0.25">
      <c r="A28" s="3" t="s">
        <v>19</v>
      </c>
      <c r="B28" s="4">
        <v>289188</v>
      </c>
      <c r="C28" s="4">
        <v>256840</v>
      </c>
      <c r="D28" s="4">
        <v>178058</v>
      </c>
      <c r="F28" t="s">
        <v>57</v>
      </c>
      <c r="G28" s="20">
        <f>B36/B26</f>
        <v>16.515705254839983</v>
      </c>
      <c r="H28" s="20">
        <f t="shared" ref="H28:I28" si="6">C36/C26</f>
        <v>113.41912464319695</v>
      </c>
      <c r="I28" s="20">
        <f t="shared" si="6"/>
        <v>6669.7580645161288</v>
      </c>
    </row>
    <row r="29" spans="1:9" x14ac:dyDescent="0.25">
      <c r="A29" s="3" t="s">
        <v>20</v>
      </c>
      <c r="B29" s="4">
        <v>2405</v>
      </c>
      <c r="C29" s="4">
        <v>1540</v>
      </c>
      <c r="D29" s="4">
        <v>1993</v>
      </c>
      <c r="F29" t="s">
        <v>65</v>
      </c>
      <c r="G29" s="14">
        <f>B26/B36</f>
        <v>6.0548428575700489E-2</v>
      </c>
      <c r="H29" s="14">
        <f t="shared" ref="H29:I29" si="7">C26/C36</f>
        <v>8.8168552097883032E-3</v>
      </c>
      <c r="I29" s="14">
        <f t="shared" si="7"/>
        <v>1.4993047578743728E-4</v>
      </c>
    </row>
    <row r="30" spans="1:9" x14ac:dyDescent="0.25">
      <c r="A30" s="5" t="s">
        <v>21</v>
      </c>
      <c r="B30" s="6">
        <v>291593</v>
      </c>
      <c r="C30" s="6">
        <v>258380</v>
      </c>
      <c r="D30" s="6">
        <v>180051</v>
      </c>
      <c r="F30" t="s">
        <v>58</v>
      </c>
      <c r="G30" s="16">
        <f>B28+B32</f>
        <v>361310</v>
      </c>
      <c r="H30" s="16">
        <f t="shared" ref="H30:I30" si="8">C28+C32</f>
        <v>355590</v>
      </c>
      <c r="I30" s="16">
        <f t="shared" si="8"/>
        <v>284801</v>
      </c>
    </row>
    <row r="31" spans="1:9" x14ac:dyDescent="0.25">
      <c r="A31" s="7"/>
      <c r="B31" s="8"/>
      <c r="C31" s="8"/>
      <c r="D31" s="8"/>
      <c r="F31" t="s">
        <v>59</v>
      </c>
      <c r="G31" s="15">
        <f>G30/B50</f>
        <v>-8.0962320769285423</v>
      </c>
      <c r="H31" s="15">
        <f t="shared" ref="H31:I31" si="9">H30/C50</f>
        <v>12.056849306408786</v>
      </c>
      <c r="I31" s="15">
        <f t="shared" si="9"/>
        <v>5.5332159070178468</v>
      </c>
    </row>
    <row r="32" spans="1:9" x14ac:dyDescent="0.25">
      <c r="A32" s="3" t="s">
        <v>22</v>
      </c>
      <c r="B32" s="4">
        <v>72122</v>
      </c>
      <c r="C32" s="4">
        <v>98750</v>
      </c>
      <c r="D32" s="4">
        <v>106743</v>
      </c>
    </row>
    <row r="33" spans="1:9" x14ac:dyDescent="0.25">
      <c r="A33" s="3" t="s">
        <v>44</v>
      </c>
      <c r="B33" s="4">
        <v>107528</v>
      </c>
      <c r="C33" s="4">
        <v>115480</v>
      </c>
      <c r="D33" s="4">
        <v>126576</v>
      </c>
    </row>
    <row r="34" spans="1:9" x14ac:dyDescent="0.25">
      <c r="A34" s="5" t="s">
        <v>23</v>
      </c>
      <c r="B34" s="6">
        <v>179650</v>
      </c>
      <c r="C34" s="6">
        <v>214230</v>
      </c>
      <c r="D34" s="6">
        <v>233412</v>
      </c>
    </row>
    <row r="35" spans="1:9" x14ac:dyDescent="0.25">
      <c r="A35" s="1"/>
      <c r="B35" s="9"/>
      <c r="C35" s="9"/>
      <c r="D35" s="9"/>
    </row>
    <row r="36" spans="1:9" x14ac:dyDescent="0.25">
      <c r="A36" s="10" t="s">
        <v>24</v>
      </c>
      <c r="B36" s="11">
        <v>501615</v>
      </c>
      <c r="C36" s="11">
        <v>476814</v>
      </c>
      <c r="D36" s="11">
        <v>413525</v>
      </c>
    </row>
    <row r="37" spans="1:9" x14ac:dyDescent="0.25">
      <c r="A37" s="2"/>
      <c r="B37" s="2"/>
      <c r="C37" s="2"/>
      <c r="D37" s="2"/>
    </row>
    <row r="38" spans="1:9" ht="26.45" customHeight="1" thickBot="1" x14ac:dyDescent="0.3">
      <c r="A38" s="12" t="s">
        <v>42</v>
      </c>
      <c r="B38" s="13">
        <v>2017</v>
      </c>
      <c r="C38" s="13">
        <v>2018</v>
      </c>
      <c r="D38" s="13">
        <v>2019</v>
      </c>
    </row>
    <row r="39" spans="1:9" ht="15.75" thickTop="1" x14ac:dyDescent="0.25">
      <c r="A39" s="1"/>
      <c r="B39" s="2"/>
      <c r="C39" s="2"/>
      <c r="D39" s="2"/>
      <c r="F39" s="17" t="s">
        <v>61</v>
      </c>
    </row>
    <row r="40" spans="1:9" x14ac:dyDescent="0.25">
      <c r="A40" s="1" t="s">
        <v>25</v>
      </c>
      <c r="B40" s="4">
        <v>854314.06779661018</v>
      </c>
      <c r="C40" s="4">
        <v>754706.779661017</v>
      </c>
      <c r="D40" s="4">
        <v>498799.15254237293</v>
      </c>
      <c r="F40" t="s">
        <v>46</v>
      </c>
      <c r="G40" s="14">
        <f>B60/B40</f>
        <v>-4.9301461594820906E-2</v>
      </c>
      <c r="H40" s="14">
        <f t="shared" ref="H40:I40" si="10">C60/C40</f>
        <v>-2.466550035146654E-2</v>
      </c>
      <c r="I40" s="14">
        <f t="shared" si="10"/>
        <v>6.2072129164451916E-3</v>
      </c>
    </row>
    <row r="41" spans="1:9" x14ac:dyDescent="0.25">
      <c r="A41" s="1" t="s">
        <v>26</v>
      </c>
      <c r="B41" s="9">
        <v>-691058</v>
      </c>
      <c r="C41" s="9">
        <v>-565912</v>
      </c>
      <c r="D41" s="9">
        <v>-351394</v>
      </c>
      <c r="F41" t="s">
        <v>47</v>
      </c>
      <c r="G41" s="14">
        <f>B50/B40</f>
        <v>-5.2237150113293378E-2</v>
      </c>
      <c r="H41" s="14">
        <f t="shared" ref="H41:I41" si="11">C50/C40</f>
        <v>3.9078461272421504E-2</v>
      </c>
      <c r="I41" s="14">
        <f t="shared" si="11"/>
        <v>0.10319013631042701</v>
      </c>
    </row>
    <row r="42" spans="1:9" x14ac:dyDescent="0.25">
      <c r="A42" s="3" t="s">
        <v>27</v>
      </c>
      <c r="B42" s="4">
        <v>-404523.45</v>
      </c>
      <c r="C42" s="4">
        <v>-340850.58</v>
      </c>
      <c r="D42" s="4">
        <v>-204735</v>
      </c>
      <c r="F42" t="s">
        <v>48</v>
      </c>
      <c r="G42" s="14">
        <f>B60/B21</f>
        <v>-8.3966652120430613E-2</v>
      </c>
      <c r="H42" s="14">
        <f t="shared" ref="H42:I42" si="12">C60/C21</f>
        <v>-3.9040842632521271E-2</v>
      </c>
      <c r="I42" s="14">
        <f t="shared" si="12"/>
        <v>7.4872197385235052E-3</v>
      </c>
    </row>
    <row r="43" spans="1:9" x14ac:dyDescent="0.25">
      <c r="A43" s="3" t="s">
        <v>28</v>
      </c>
      <c r="B43" s="4">
        <v>-180532.55</v>
      </c>
      <c r="C43" s="4">
        <v>-142094.42000000001</v>
      </c>
      <c r="D43" s="4">
        <v>-85357</v>
      </c>
      <c r="F43" t="s">
        <v>49</v>
      </c>
      <c r="G43" s="14">
        <f>B60/B26</f>
        <v>-1.3867684776567166</v>
      </c>
      <c r="H43" s="14">
        <f t="shared" ref="H43:I43" si="13">C60/C26</f>
        <v>-4.4279781967133669</v>
      </c>
      <c r="I43" s="14">
        <f t="shared" si="13"/>
        <v>49.937944231821497</v>
      </c>
    </row>
    <row r="44" spans="1:9" x14ac:dyDescent="0.25">
      <c r="A44" s="3" t="s">
        <v>29</v>
      </c>
      <c r="B44" s="4">
        <v>-106002</v>
      </c>
      <c r="C44" s="4">
        <v>-82967</v>
      </c>
      <c r="D44" s="4">
        <v>-61302</v>
      </c>
      <c r="F44" t="s">
        <v>60</v>
      </c>
      <c r="G44" s="15">
        <f>(B41+B47+B48+B49)/B42</f>
        <v>2.2222222222222223</v>
      </c>
      <c r="H44" s="15">
        <f t="shared" ref="H44:I44" si="14">(C41+C47+C48+C49)/C42</f>
        <v>2.1276595744680851</v>
      </c>
      <c r="I44" s="15">
        <f t="shared" si="14"/>
        <v>2.1849122035802377</v>
      </c>
    </row>
    <row r="45" spans="1:9" x14ac:dyDescent="0.25">
      <c r="A45" s="5" t="s">
        <v>30</v>
      </c>
      <c r="B45" s="6">
        <v>163256.06779661018</v>
      </c>
      <c r="C45" s="6">
        <v>188794.779661017</v>
      </c>
      <c r="D45" s="6">
        <v>147405.15254237293</v>
      </c>
    </row>
    <row r="46" spans="1:9" x14ac:dyDescent="0.25">
      <c r="A46" s="1"/>
      <c r="B46" s="9"/>
      <c r="C46" s="9"/>
      <c r="D46" s="9"/>
    </row>
    <row r="47" spans="1:9" x14ac:dyDescent="0.25">
      <c r="A47" s="3" t="s">
        <v>31</v>
      </c>
      <c r="B47" s="4">
        <v>-53192.11</v>
      </c>
      <c r="C47" s="4">
        <v>-68217.64</v>
      </c>
      <c r="D47" s="4">
        <v>-46893</v>
      </c>
    </row>
    <row r="48" spans="1:9" x14ac:dyDescent="0.25">
      <c r="A48" s="3" t="s">
        <v>32</v>
      </c>
      <c r="B48" s="4">
        <v>-90016.89</v>
      </c>
      <c r="C48" s="4">
        <v>-59055.360000000001</v>
      </c>
      <c r="D48" s="4">
        <v>-26139</v>
      </c>
    </row>
    <row r="49" spans="1:4" x14ac:dyDescent="0.25">
      <c r="A49" s="3" t="s">
        <v>33</v>
      </c>
      <c r="B49" s="4">
        <v>-64674</v>
      </c>
      <c r="C49" s="4">
        <v>-32029</v>
      </c>
      <c r="D49" s="4">
        <v>-22902</v>
      </c>
    </row>
    <row r="50" spans="1:4" x14ac:dyDescent="0.25">
      <c r="A50" s="5" t="s">
        <v>45</v>
      </c>
      <c r="B50" s="6">
        <v>-44626.932203389821</v>
      </c>
      <c r="C50" s="6">
        <v>29492.779661017004</v>
      </c>
      <c r="D50" s="6">
        <v>51471.152542372933</v>
      </c>
    </row>
    <row r="51" spans="1:4" x14ac:dyDescent="0.25">
      <c r="A51" s="1"/>
      <c r="B51" s="9"/>
      <c r="C51" s="9"/>
      <c r="D51" s="9"/>
    </row>
    <row r="52" spans="1:4" x14ac:dyDescent="0.25">
      <c r="A52" s="3" t="s">
        <v>34</v>
      </c>
      <c r="B52" s="4">
        <v>-7540</v>
      </c>
      <c r="C52" s="4">
        <v>-13580</v>
      </c>
      <c r="D52" s="4">
        <v>-10353</v>
      </c>
    </row>
    <row r="53" spans="1:4" x14ac:dyDescent="0.25">
      <c r="A53" s="3" t="s">
        <v>35</v>
      </c>
      <c r="B53" s="4">
        <v>-32802</v>
      </c>
      <c r="C53" s="4">
        <v>-25487</v>
      </c>
      <c r="D53" s="4">
        <v>-23145</v>
      </c>
    </row>
    <row r="54" spans="1:4" x14ac:dyDescent="0.25">
      <c r="A54" s="1" t="s">
        <v>36</v>
      </c>
      <c r="B54" s="9">
        <v>-84968.932203389821</v>
      </c>
      <c r="C54" s="9">
        <v>-9574.2203389829956</v>
      </c>
      <c r="D54" s="9">
        <v>17973.152542372933</v>
      </c>
    </row>
    <row r="55" spans="1:4" x14ac:dyDescent="0.25">
      <c r="A55" s="1"/>
      <c r="B55" s="9"/>
      <c r="C55" s="9"/>
      <c r="D55" s="9"/>
    </row>
    <row r="56" spans="1:4" x14ac:dyDescent="0.25">
      <c r="A56" s="3" t="s">
        <v>37</v>
      </c>
      <c r="B56" s="4">
        <v>131858</v>
      </c>
      <c r="C56" s="4">
        <v>34570</v>
      </c>
      <c r="D56" s="4">
        <v>20820</v>
      </c>
    </row>
    <row r="57" spans="1:4" x14ac:dyDescent="0.25">
      <c r="A57" s="3" t="s">
        <v>38</v>
      </c>
      <c r="B57" s="4">
        <v>-89000</v>
      </c>
      <c r="C57" s="4">
        <v>-43582</v>
      </c>
      <c r="D57" s="4">
        <v>-35624</v>
      </c>
    </row>
    <row r="58" spans="1:4" x14ac:dyDescent="0.25">
      <c r="A58" s="1" t="s">
        <v>39</v>
      </c>
      <c r="B58" s="9">
        <v>-42110.932203389821</v>
      </c>
      <c r="C58" s="9">
        <v>-18586.220338982996</v>
      </c>
      <c r="D58" s="9">
        <v>3169.1525423729327</v>
      </c>
    </row>
    <row r="59" spans="1:4" x14ac:dyDescent="0.25">
      <c r="A59" s="3" t="s">
        <v>43</v>
      </c>
      <c r="B59" s="4">
        <v>-8</v>
      </c>
      <c r="C59" s="4">
        <v>-29</v>
      </c>
      <c r="D59" s="4">
        <v>-73</v>
      </c>
    </row>
    <row r="60" spans="1:4" x14ac:dyDescent="0.25">
      <c r="A60" s="5" t="s">
        <v>40</v>
      </c>
      <c r="B60" s="6">
        <v>-42118.932203389799</v>
      </c>
      <c r="C60" s="6">
        <v>-18615.220338982996</v>
      </c>
      <c r="D60" s="6">
        <v>3096.1525423729327</v>
      </c>
    </row>
    <row r="61" spans="1:4" x14ac:dyDescent="0.25">
      <c r="A61" s="1"/>
      <c r="B61" s="9"/>
      <c r="C61" s="9"/>
      <c r="D61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0508-712D-44A5-A577-D0AF71E35919}">
  <dimension ref="A1:J61"/>
  <sheetViews>
    <sheetView tabSelected="1" workbookViewId="0">
      <pane ySplit="1" topLeftCell="A16" activePane="bottomLeft" state="frozen"/>
      <selection pane="bottomLeft" activeCell="L37" sqref="L37"/>
    </sheetView>
  </sheetViews>
  <sheetFormatPr defaultRowHeight="15" x14ac:dyDescent="0.25"/>
  <cols>
    <col min="1" max="1" width="39.5703125" customWidth="1"/>
    <col min="2" max="4" width="12.5703125" customWidth="1"/>
    <col min="5" max="5" width="2.42578125" customWidth="1"/>
    <col min="6" max="6" width="38.140625" bestFit="1" customWidth="1"/>
    <col min="7" max="7" width="11.85546875" customWidth="1"/>
    <col min="8" max="8" width="12.28515625" customWidth="1"/>
    <col min="9" max="9" width="10.5703125" customWidth="1"/>
  </cols>
  <sheetData>
    <row r="1" spans="1:10" s="18" customFormat="1" ht="12" x14ac:dyDescent="0.2">
      <c r="A1" s="19"/>
      <c r="B1" s="19">
        <v>2017</v>
      </c>
      <c r="C1" s="19">
        <v>2018</v>
      </c>
      <c r="D1" s="19">
        <v>2019</v>
      </c>
      <c r="E1" s="19"/>
      <c r="F1" s="19"/>
      <c r="G1" s="19">
        <v>2017</v>
      </c>
      <c r="H1" s="19">
        <v>2018</v>
      </c>
      <c r="I1" s="19">
        <v>2019</v>
      </c>
    </row>
    <row r="3" spans="1:10" ht="26.45" customHeight="1" thickBot="1" x14ac:dyDescent="0.3">
      <c r="A3" s="12" t="s">
        <v>41</v>
      </c>
      <c r="B3" s="13">
        <v>2017</v>
      </c>
      <c r="C3" s="13">
        <v>2018</v>
      </c>
      <c r="D3" s="13">
        <v>2019</v>
      </c>
    </row>
    <row r="4" spans="1:10" ht="15.75" thickTop="1" x14ac:dyDescent="0.25">
      <c r="A4" s="1"/>
      <c r="B4" s="2"/>
      <c r="C4" s="2"/>
      <c r="D4" s="2"/>
      <c r="F4" s="17"/>
    </row>
    <row r="5" spans="1:10" x14ac:dyDescent="0.25">
      <c r="A5" s="3" t="s">
        <v>0</v>
      </c>
      <c r="B5" s="4">
        <v>16139</v>
      </c>
      <c r="C5" s="4">
        <v>16139</v>
      </c>
      <c r="D5" s="4">
        <v>0</v>
      </c>
      <c r="G5" s="23"/>
      <c r="H5" s="23"/>
      <c r="I5" s="23"/>
      <c r="J5" s="24"/>
    </row>
    <row r="6" spans="1:10" x14ac:dyDescent="0.25">
      <c r="A6" s="3" t="s">
        <v>1</v>
      </c>
      <c r="B6" s="4">
        <v>151163</v>
      </c>
      <c r="C6" s="4">
        <v>179540</v>
      </c>
      <c r="D6" s="4">
        <v>188542</v>
      </c>
      <c r="G6" s="23"/>
      <c r="H6" s="23"/>
      <c r="I6" s="23"/>
      <c r="J6" s="24"/>
    </row>
    <row r="7" spans="1:10" x14ac:dyDescent="0.25">
      <c r="A7" s="3" t="s">
        <v>2</v>
      </c>
      <c r="B7" s="4">
        <v>71980</v>
      </c>
      <c r="C7" s="4">
        <v>148620</v>
      </c>
      <c r="D7" s="4">
        <v>167750</v>
      </c>
      <c r="G7" s="23"/>
      <c r="H7" s="23"/>
      <c r="I7" s="23"/>
      <c r="J7" s="24"/>
    </row>
    <row r="8" spans="1:10" x14ac:dyDescent="0.25">
      <c r="A8" s="3" t="s">
        <v>3</v>
      </c>
      <c r="B8" s="4">
        <v>4767</v>
      </c>
      <c r="C8" s="4">
        <v>5470</v>
      </c>
      <c r="D8" s="4">
        <v>15615</v>
      </c>
      <c r="G8" s="23"/>
      <c r="H8" s="23"/>
      <c r="I8" s="23"/>
      <c r="J8" s="24"/>
    </row>
    <row r="9" spans="1:10" x14ac:dyDescent="0.25">
      <c r="A9" s="5" t="s">
        <v>4</v>
      </c>
      <c r="B9" s="6">
        <v>244049</v>
      </c>
      <c r="C9" s="6">
        <v>349769</v>
      </c>
      <c r="D9" s="6">
        <v>371907</v>
      </c>
    </row>
    <row r="10" spans="1:10" x14ac:dyDescent="0.25">
      <c r="A10" s="7"/>
      <c r="B10" s="8"/>
      <c r="C10" s="8"/>
      <c r="D10" s="8"/>
    </row>
    <row r="11" spans="1:10" x14ac:dyDescent="0.25">
      <c r="A11" s="3" t="s">
        <v>5</v>
      </c>
      <c r="B11" s="4">
        <v>58217</v>
      </c>
      <c r="C11" s="4">
        <v>35470</v>
      </c>
      <c r="D11" s="4">
        <v>26951</v>
      </c>
    </row>
    <row r="12" spans="1:10" x14ac:dyDescent="0.25">
      <c r="A12" s="3" t="s">
        <v>6</v>
      </c>
      <c r="B12" s="4">
        <v>7578</v>
      </c>
      <c r="C12" s="4">
        <v>3950</v>
      </c>
      <c r="D12" s="4">
        <v>2419</v>
      </c>
    </row>
    <row r="13" spans="1:10" x14ac:dyDescent="0.25">
      <c r="A13" s="3" t="s">
        <v>7</v>
      </c>
      <c r="B13" s="4">
        <v>406</v>
      </c>
      <c r="C13" s="4">
        <v>320</v>
      </c>
      <c r="D13" s="4">
        <v>109</v>
      </c>
    </row>
    <row r="14" spans="1:10" x14ac:dyDescent="0.25">
      <c r="A14" s="3" t="s">
        <v>8</v>
      </c>
      <c r="B14" s="4">
        <v>132266</v>
      </c>
      <c r="C14" s="4">
        <v>57801</v>
      </c>
      <c r="D14" s="4">
        <v>4047</v>
      </c>
    </row>
    <row r="15" spans="1:10" x14ac:dyDescent="0.25">
      <c r="A15" s="3" t="s">
        <v>9</v>
      </c>
      <c r="B15" s="4">
        <v>52829</v>
      </c>
      <c r="C15" s="4">
        <v>25780</v>
      </c>
      <c r="D15" s="4">
        <v>4990</v>
      </c>
    </row>
    <row r="16" spans="1:10" x14ac:dyDescent="0.25">
      <c r="A16" s="3" t="s">
        <v>10</v>
      </c>
      <c r="B16" s="4">
        <v>4364</v>
      </c>
      <c r="C16" s="4">
        <v>2420</v>
      </c>
      <c r="D16" s="4">
        <v>1667</v>
      </c>
    </row>
    <row r="17" spans="1:10" x14ac:dyDescent="0.25">
      <c r="A17" s="3" t="s">
        <v>11</v>
      </c>
      <c r="B17" s="4">
        <v>341</v>
      </c>
      <c r="C17" s="4">
        <v>354</v>
      </c>
      <c r="D17" s="4">
        <v>203</v>
      </c>
    </row>
    <row r="18" spans="1:10" x14ac:dyDescent="0.25">
      <c r="A18" s="3" t="s">
        <v>12</v>
      </c>
      <c r="B18" s="4">
        <v>1565</v>
      </c>
      <c r="C18" s="4">
        <v>950</v>
      </c>
      <c r="D18" s="4">
        <v>1232</v>
      </c>
      <c r="F18" s="17"/>
    </row>
    <row r="19" spans="1:10" x14ac:dyDescent="0.25">
      <c r="A19" s="5" t="s">
        <v>13</v>
      </c>
      <c r="B19" s="6">
        <v>257566</v>
      </c>
      <c r="C19" s="6">
        <v>127045</v>
      </c>
      <c r="D19" s="6">
        <v>41618</v>
      </c>
      <c r="G19" s="25"/>
      <c r="H19" s="25"/>
      <c r="I19" s="25"/>
    </row>
    <row r="20" spans="1:10" x14ac:dyDescent="0.25">
      <c r="A20" s="1"/>
      <c r="B20" s="9"/>
      <c r="C20" s="9"/>
      <c r="D20" s="9"/>
      <c r="G20" s="22"/>
      <c r="H20" s="22"/>
      <c r="I20" s="22"/>
    </row>
    <row r="21" spans="1:10" x14ac:dyDescent="0.25">
      <c r="A21" s="10" t="s">
        <v>14</v>
      </c>
      <c r="B21" s="11">
        <v>501615</v>
      </c>
      <c r="C21" s="11">
        <v>476814</v>
      </c>
      <c r="D21" s="11">
        <v>413525</v>
      </c>
      <c r="G21" s="26"/>
      <c r="H21" s="26"/>
      <c r="I21" s="26"/>
      <c r="J21" s="26"/>
    </row>
    <row r="22" spans="1:10" x14ac:dyDescent="0.25">
      <c r="A22" s="1"/>
      <c r="B22" s="9"/>
      <c r="C22" s="9"/>
      <c r="D22" s="9"/>
      <c r="G22" s="21"/>
      <c r="H22" s="21"/>
      <c r="I22" s="21"/>
    </row>
    <row r="23" spans="1:10" x14ac:dyDescent="0.25">
      <c r="A23" s="3" t="s">
        <v>15</v>
      </c>
      <c r="B23" s="4">
        <v>237</v>
      </c>
      <c r="C23" s="4">
        <v>237</v>
      </c>
      <c r="D23" s="4">
        <v>237</v>
      </c>
      <c r="G23" s="21"/>
      <c r="H23" s="21"/>
      <c r="I23" s="21"/>
    </row>
    <row r="24" spans="1:10" x14ac:dyDescent="0.25">
      <c r="A24" s="3" t="s">
        <v>16</v>
      </c>
      <c r="B24" s="4">
        <v>-34962</v>
      </c>
      <c r="C24" s="4">
        <v>-83353</v>
      </c>
      <c r="D24" s="4">
        <v>-96114</v>
      </c>
      <c r="G24" s="21"/>
      <c r="H24" s="21"/>
      <c r="I24" s="21"/>
    </row>
    <row r="25" spans="1:10" x14ac:dyDescent="0.25">
      <c r="A25" s="3" t="s">
        <v>17</v>
      </c>
      <c r="B25" s="4">
        <v>65097</v>
      </c>
      <c r="C25" s="4">
        <v>87320</v>
      </c>
      <c r="D25" s="4">
        <v>95939</v>
      </c>
      <c r="G25" s="21"/>
      <c r="H25" s="21"/>
      <c r="I25" s="21"/>
    </row>
    <row r="26" spans="1:10" x14ac:dyDescent="0.25">
      <c r="A26" s="5" t="s">
        <v>18</v>
      </c>
      <c r="B26" s="6">
        <v>30372</v>
      </c>
      <c r="C26" s="6">
        <v>4204</v>
      </c>
      <c r="D26" s="6">
        <v>62</v>
      </c>
      <c r="G26" s="21"/>
      <c r="H26" s="21"/>
      <c r="I26" s="21"/>
    </row>
    <row r="27" spans="1:10" x14ac:dyDescent="0.25">
      <c r="A27" s="7"/>
      <c r="B27" s="8"/>
      <c r="C27" s="8"/>
      <c r="D27" s="8"/>
      <c r="F27" s="17"/>
      <c r="G27" s="21"/>
      <c r="H27" s="21"/>
      <c r="I27" s="21"/>
    </row>
    <row r="28" spans="1:10" x14ac:dyDescent="0.25">
      <c r="A28" s="3" t="s">
        <v>19</v>
      </c>
      <c r="B28" s="4">
        <v>289188</v>
      </c>
      <c r="C28" s="4">
        <v>256840</v>
      </c>
      <c r="D28" s="4">
        <v>178058</v>
      </c>
      <c r="G28" s="32"/>
      <c r="H28" s="32"/>
      <c r="I28" s="32"/>
    </row>
    <row r="29" spans="1:10" x14ac:dyDescent="0.25">
      <c r="A29" s="3" t="s">
        <v>20</v>
      </c>
      <c r="B29" s="4">
        <v>2405</v>
      </c>
      <c r="C29" s="4">
        <v>1540</v>
      </c>
      <c r="D29" s="4">
        <v>1993</v>
      </c>
      <c r="G29" s="14"/>
      <c r="H29" s="14"/>
      <c r="I29" s="14"/>
    </row>
    <row r="30" spans="1:10" x14ac:dyDescent="0.25">
      <c r="A30" s="5" t="s">
        <v>21</v>
      </c>
      <c r="B30" s="6">
        <v>291593</v>
      </c>
      <c r="C30" s="6">
        <v>258380</v>
      </c>
      <c r="D30" s="6">
        <v>180051</v>
      </c>
      <c r="G30" s="16"/>
      <c r="H30" s="16"/>
      <c r="I30" s="16"/>
    </row>
    <row r="31" spans="1:10" x14ac:dyDescent="0.25">
      <c r="A31" s="7"/>
      <c r="B31" s="8"/>
      <c r="C31" s="8"/>
      <c r="D31" s="8"/>
      <c r="G31" s="15"/>
      <c r="H31" s="15"/>
      <c r="I31" s="15"/>
    </row>
    <row r="32" spans="1:10" x14ac:dyDescent="0.25">
      <c r="A32" s="3" t="s">
        <v>22</v>
      </c>
      <c r="B32" s="4">
        <v>72122</v>
      </c>
      <c r="C32" s="4">
        <v>98750</v>
      </c>
      <c r="D32" s="4">
        <v>106743</v>
      </c>
      <c r="G32" s="21"/>
      <c r="H32" s="21"/>
      <c r="I32" s="21"/>
    </row>
    <row r="33" spans="1:9" x14ac:dyDescent="0.25">
      <c r="A33" s="3" t="s">
        <v>44</v>
      </c>
      <c r="B33" s="4">
        <v>107528</v>
      </c>
      <c r="C33" s="4">
        <v>115480</v>
      </c>
      <c r="D33" s="4">
        <v>126576</v>
      </c>
      <c r="G33" s="21"/>
      <c r="H33" s="21"/>
      <c r="I33" s="21"/>
    </row>
    <row r="34" spans="1:9" x14ac:dyDescent="0.25">
      <c r="A34" s="5" t="s">
        <v>23</v>
      </c>
      <c r="B34" s="6">
        <v>179650</v>
      </c>
      <c r="C34" s="6">
        <v>214230</v>
      </c>
      <c r="D34" s="6">
        <v>233412</v>
      </c>
      <c r="G34" s="21"/>
      <c r="H34" s="21"/>
      <c r="I34" s="21"/>
    </row>
    <row r="35" spans="1:9" x14ac:dyDescent="0.25">
      <c r="A35" s="1"/>
      <c r="B35" s="9"/>
      <c r="C35" s="9"/>
      <c r="D35" s="9"/>
      <c r="G35" s="21"/>
      <c r="H35" s="21"/>
      <c r="I35" s="21"/>
    </row>
    <row r="36" spans="1:9" x14ac:dyDescent="0.25">
      <c r="A36" s="10" t="s">
        <v>24</v>
      </c>
      <c r="B36" s="11">
        <v>501615</v>
      </c>
      <c r="C36" s="11">
        <v>476814</v>
      </c>
      <c r="D36" s="11">
        <v>413525</v>
      </c>
      <c r="G36" s="21"/>
      <c r="H36" s="21"/>
      <c r="I36" s="21"/>
    </row>
    <row r="37" spans="1:9" x14ac:dyDescent="0.25">
      <c r="A37" s="2"/>
      <c r="B37" s="2"/>
      <c r="C37" s="2"/>
      <c r="D37" s="2"/>
      <c r="G37" s="21"/>
      <c r="H37" s="21"/>
      <c r="I37" s="21"/>
    </row>
    <row r="38" spans="1:9" ht="26.45" customHeight="1" thickBot="1" x14ac:dyDescent="0.3">
      <c r="A38" s="12" t="s">
        <v>42</v>
      </c>
      <c r="B38" s="13">
        <v>2017</v>
      </c>
      <c r="C38" s="13">
        <v>2018</v>
      </c>
      <c r="D38" s="13">
        <v>2019</v>
      </c>
      <c r="G38" s="21"/>
      <c r="H38" s="21"/>
      <c r="I38" s="21"/>
    </row>
    <row r="39" spans="1:9" ht="15.75" thickTop="1" x14ac:dyDescent="0.25">
      <c r="A39" s="1"/>
      <c r="B39" s="2"/>
      <c r="C39" s="2"/>
      <c r="D39" s="2"/>
      <c r="F39" s="17"/>
      <c r="G39" s="21"/>
      <c r="H39" s="21"/>
      <c r="I39" s="21"/>
    </row>
    <row r="40" spans="1:9" x14ac:dyDescent="0.25">
      <c r="A40" s="1" t="s">
        <v>25</v>
      </c>
      <c r="B40" s="4">
        <v>854314.06779661018</v>
      </c>
      <c r="C40" s="4">
        <v>754706.779661017</v>
      </c>
      <c r="D40" s="4">
        <v>498799.15254237293</v>
      </c>
      <c r="F40" t="s">
        <v>66</v>
      </c>
      <c r="G40" s="27">
        <f>B60/B40</f>
        <v>-4.9301461594820926E-2</v>
      </c>
      <c r="H40" s="27">
        <f t="shared" ref="H40:I40" si="0">C60/C40</f>
        <v>-2.466550035146654E-2</v>
      </c>
      <c r="I40" s="27">
        <f t="shared" si="0"/>
        <v>6.2072129164451916E-3</v>
      </c>
    </row>
    <row r="41" spans="1:9" x14ac:dyDescent="0.25">
      <c r="A41" s="1" t="s">
        <v>26</v>
      </c>
      <c r="B41" s="9">
        <v>-691058</v>
      </c>
      <c r="C41" s="9">
        <v>-565912</v>
      </c>
      <c r="D41" s="9">
        <v>-351394</v>
      </c>
      <c r="F41" t="s">
        <v>67</v>
      </c>
      <c r="G41" s="27">
        <f>B50/B40</f>
        <v>-5.2237150113293378E-2</v>
      </c>
      <c r="H41" s="27">
        <f t="shared" ref="H41:I41" si="1">C50/C40</f>
        <v>3.9078461272421504E-2</v>
      </c>
      <c r="I41" s="27">
        <f t="shared" si="1"/>
        <v>0.10319013631042701</v>
      </c>
    </row>
    <row r="42" spans="1:9" x14ac:dyDescent="0.25">
      <c r="A42" s="3" t="s">
        <v>27</v>
      </c>
      <c r="B42" s="4">
        <v>-404523.45</v>
      </c>
      <c r="C42" s="4">
        <v>-340850.58</v>
      </c>
      <c r="D42" s="4">
        <v>-204735</v>
      </c>
      <c r="F42" t="s">
        <v>68</v>
      </c>
      <c r="G42" s="28">
        <f>B60/B36</f>
        <v>-8.3966652120430654E-2</v>
      </c>
      <c r="H42" s="28">
        <f t="shared" ref="H42:I42" si="2">C60/C36</f>
        <v>-3.9040842632521271E-2</v>
      </c>
      <c r="I42" s="28">
        <f t="shared" si="2"/>
        <v>7.4872197385235052E-3</v>
      </c>
    </row>
    <row r="43" spans="1:9" x14ac:dyDescent="0.25">
      <c r="A43" s="3" t="s">
        <v>28</v>
      </c>
      <c r="B43" s="4">
        <v>-180532.55</v>
      </c>
      <c r="C43" s="4">
        <v>-142094.42000000001</v>
      </c>
      <c r="D43" s="4">
        <v>-85357</v>
      </c>
      <c r="F43" s="33" t="s">
        <v>69</v>
      </c>
      <c r="G43" s="29">
        <f>B60/B26</f>
        <v>-1.3867684776567173</v>
      </c>
      <c r="H43" s="29">
        <f t="shared" ref="H43:I43" si="3">C60/C26</f>
        <v>-4.4279781967133669</v>
      </c>
      <c r="I43" s="29">
        <f t="shared" si="3"/>
        <v>49.937944231821497</v>
      </c>
    </row>
    <row r="44" spans="1:9" x14ac:dyDescent="0.25">
      <c r="A44" s="3" t="s">
        <v>29</v>
      </c>
      <c r="B44" s="4">
        <v>-106002</v>
      </c>
      <c r="C44" s="4">
        <v>-82967</v>
      </c>
      <c r="D44" s="4">
        <v>-61302</v>
      </c>
    </row>
    <row r="45" spans="1:9" x14ac:dyDescent="0.25">
      <c r="A45" s="5" t="s">
        <v>30</v>
      </c>
      <c r="B45" s="6">
        <v>163256.06779661018</v>
      </c>
      <c r="C45" s="6">
        <v>188794.779661017</v>
      </c>
      <c r="D45" s="6">
        <v>147405.15254237293</v>
      </c>
      <c r="F45" s="16"/>
    </row>
    <row r="46" spans="1:9" x14ac:dyDescent="0.25">
      <c r="A46" s="1"/>
      <c r="B46" s="9"/>
      <c r="C46" s="9"/>
      <c r="D46" s="9"/>
    </row>
    <row r="47" spans="1:9" x14ac:dyDescent="0.25">
      <c r="A47" s="3" t="s">
        <v>31</v>
      </c>
      <c r="B47" s="4">
        <v>-53192.11</v>
      </c>
      <c r="C47" s="4">
        <v>-68217.64</v>
      </c>
      <c r="D47" s="4">
        <v>-46893</v>
      </c>
    </row>
    <row r="48" spans="1:9" x14ac:dyDescent="0.25">
      <c r="A48" s="3" t="s">
        <v>32</v>
      </c>
      <c r="B48" s="4">
        <v>-90016.89</v>
      </c>
      <c r="C48" s="4">
        <v>-59055.360000000001</v>
      </c>
      <c r="D48" s="4">
        <v>-26139</v>
      </c>
    </row>
    <row r="49" spans="1:7" x14ac:dyDescent="0.25">
      <c r="A49" s="3" t="s">
        <v>33</v>
      </c>
      <c r="B49" s="4">
        <v>-64674</v>
      </c>
      <c r="C49" s="4">
        <v>-32029</v>
      </c>
      <c r="D49" s="4">
        <v>-22902</v>
      </c>
    </row>
    <row r="50" spans="1:7" x14ac:dyDescent="0.25">
      <c r="A50" s="5" t="s">
        <v>45</v>
      </c>
      <c r="B50" s="30">
        <v>-44626.932203389821</v>
      </c>
      <c r="C50" s="30">
        <v>29492.779661017004</v>
      </c>
      <c r="D50" s="30">
        <v>51471.152542372933</v>
      </c>
    </row>
    <row r="51" spans="1:7" x14ac:dyDescent="0.25">
      <c r="A51" s="1"/>
      <c r="B51" s="9"/>
      <c r="C51" s="9"/>
      <c r="D51" s="9"/>
    </row>
    <row r="52" spans="1:7" x14ac:dyDescent="0.25">
      <c r="A52" s="3" t="s">
        <v>34</v>
      </c>
      <c r="B52" s="31">
        <v>-7540</v>
      </c>
      <c r="C52" s="31">
        <v>-13580</v>
      </c>
      <c r="D52" s="31">
        <v>-10353</v>
      </c>
    </row>
    <row r="53" spans="1:7" x14ac:dyDescent="0.25">
      <c r="A53" s="3" t="s">
        <v>35</v>
      </c>
      <c r="B53" s="31">
        <v>-32802</v>
      </c>
      <c r="C53" s="31">
        <v>-25487</v>
      </c>
      <c r="D53" s="31">
        <v>-23145</v>
      </c>
    </row>
    <row r="54" spans="1:7" x14ac:dyDescent="0.25">
      <c r="A54" s="1" t="s">
        <v>36</v>
      </c>
      <c r="B54" s="9">
        <v>-84968.932203389821</v>
      </c>
      <c r="C54" s="9">
        <v>-9574.2203389829956</v>
      </c>
      <c r="D54" s="9">
        <v>17973.152542372933</v>
      </c>
    </row>
    <row r="55" spans="1:7" x14ac:dyDescent="0.25">
      <c r="A55" s="1"/>
      <c r="B55" s="9"/>
      <c r="C55" s="9"/>
      <c r="D55" s="9"/>
      <c r="F55" s="16"/>
      <c r="G55" s="16"/>
    </row>
    <row r="56" spans="1:7" x14ac:dyDescent="0.25">
      <c r="A56" s="3" t="s">
        <v>37</v>
      </c>
      <c r="B56" s="31">
        <v>131858</v>
      </c>
      <c r="C56" s="31">
        <v>34570</v>
      </c>
      <c r="D56" s="31">
        <v>20820</v>
      </c>
      <c r="F56" s="16"/>
      <c r="G56" s="16"/>
    </row>
    <row r="57" spans="1:7" x14ac:dyDescent="0.25">
      <c r="A57" s="3" t="s">
        <v>38</v>
      </c>
      <c r="B57" s="31">
        <v>-89000</v>
      </c>
      <c r="C57" s="31">
        <v>-43582</v>
      </c>
      <c r="D57" s="31">
        <v>-35624</v>
      </c>
    </row>
    <row r="58" spans="1:7" x14ac:dyDescent="0.25">
      <c r="A58" s="1" t="s">
        <v>39</v>
      </c>
      <c r="B58" s="9">
        <v>-42110.932203389821</v>
      </c>
      <c r="C58" s="9">
        <v>-18586.220338982996</v>
      </c>
      <c r="D58" s="9">
        <v>3169.1525423729327</v>
      </c>
    </row>
    <row r="59" spans="1:7" x14ac:dyDescent="0.25">
      <c r="A59" s="3" t="s">
        <v>43</v>
      </c>
      <c r="B59" s="31">
        <v>-8</v>
      </c>
      <c r="C59" s="31">
        <v>-29</v>
      </c>
      <c r="D59" s="31">
        <v>-73</v>
      </c>
    </row>
    <row r="60" spans="1:7" x14ac:dyDescent="0.25">
      <c r="A60" s="5" t="s">
        <v>40</v>
      </c>
      <c r="B60" s="6">
        <f>B50+B52+B53+B56+B57+B59</f>
        <v>-42118.932203389821</v>
      </c>
      <c r="C60" s="6">
        <f>C50+C52+C53+C56+C57+C59</f>
        <v>-18615.220338982996</v>
      </c>
      <c r="D60" s="6">
        <f>D50+D52+D53+D56+D57+D59</f>
        <v>3096.1525423729327</v>
      </c>
    </row>
    <row r="61" spans="1:7" x14ac:dyDescent="0.25">
      <c r="A61" s="1"/>
      <c r="B61" s="9"/>
      <c r="C61" s="9"/>
      <c r="D61" s="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handmade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Ria-Notebook</dc:creator>
  <cp:lastModifiedBy>Roman Ostapchuk</cp:lastModifiedBy>
  <dcterms:created xsi:type="dcterms:W3CDTF">2020-06-24T10:57:20Z</dcterms:created>
  <dcterms:modified xsi:type="dcterms:W3CDTF">2024-10-06T19:12:03Z</dcterms:modified>
</cp:coreProperties>
</file>