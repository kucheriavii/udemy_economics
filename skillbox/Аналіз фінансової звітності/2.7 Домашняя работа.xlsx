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ы" sheetId="1" r:id="rId4"/>
  </sheets>
  <definedNames/>
  <calcPr/>
  <extLst>
    <ext uri="GoogleSheetsCustomDataVersion1">
      <go:sheetsCustomData xmlns:go="http://customooxmlschemas.google.com/" r:id="rId5" roundtripDataSignature="AMtx7miVb3sFQIui6QptDW3FcCZnJkF7YQ=="/>
    </ext>
  </extLst>
</workbook>
</file>

<file path=xl/sharedStrings.xml><?xml version="1.0" encoding="utf-8"?>
<sst xmlns="http://schemas.openxmlformats.org/spreadsheetml/2006/main" count="45" uniqueCount="45">
  <si>
    <t>Решите задание, запишите ответ справа от условия задачи в таблице или укажите его в текстовом поле при отправке домашней работы преподавателю.
Если будете выполнять задание в таблице, скопируйте её через «Файл → Создать копию». Отправьте преподавателю ссылку на таблицу с выполненным заданием, предварительно установив настройки доступа с правом редактирования или комментирования «Для всех, у кого есть ссылка».</t>
  </si>
  <si>
    <t>ЗАДАНИЕ</t>
  </si>
  <si>
    <t>ОТВЕТ</t>
  </si>
  <si>
    <t>ВЫВОДЫ</t>
  </si>
  <si>
    <t>Проанализируйте отчётность компании ниже. Рассчитайте следующие значения за каждый период по данной отчётности:
1) Текущая ликвидность.
2) Оборачиваемость дебиторской задолженности.
3) Коэффициент автономии.
4) TD / EBITDA.
Сделайте выводы о том, что происходит с финансовым состоянием компании по каждому из рассчитанных показателей.</t>
  </si>
  <si>
    <t xml:space="preserve">Текущая ликвидность </t>
  </si>
  <si>
    <t xml:space="preserve">Оборачиваемость дебиторской задолженности </t>
  </si>
  <si>
    <t xml:space="preserve">Коэффициент автономии </t>
  </si>
  <si>
    <t>TD / EBITDA</t>
  </si>
  <si>
    <t>БАЛАНС</t>
  </si>
  <si>
    <t>Основные средства</t>
  </si>
  <si>
    <t>Отложенные налоговые активы</t>
  </si>
  <si>
    <t>Прочие внеоборотные активы</t>
  </si>
  <si>
    <t>Суммарные внеоборотные активы</t>
  </si>
  <si>
    <t>Запасы</t>
  </si>
  <si>
    <t>НДС по приобретенным ценностям</t>
  </si>
  <si>
    <t>Дебиторская задолженность</t>
  </si>
  <si>
    <t>Денежные средства и денежные эквиваленты</t>
  </si>
  <si>
    <t>Суммарные оборотные активы</t>
  </si>
  <si>
    <t>ИТОГО АКТИВОВ</t>
  </si>
  <si>
    <t xml:space="preserve">Уставный капитал </t>
  </si>
  <si>
    <t>Переоценка внеоборотных активов</t>
  </si>
  <si>
    <t>Нераспределенная прибыль</t>
  </si>
  <si>
    <t>Суммарный собственный капитал</t>
  </si>
  <si>
    <t xml:space="preserve">Займы и кредиты </t>
  </si>
  <si>
    <t>Отложенные налоговые обязательства</t>
  </si>
  <si>
    <t>Суммарные долгосрочные обязательства</t>
  </si>
  <si>
    <t>Краткосрочные кредиты</t>
  </si>
  <si>
    <t>Кредиторская задолженность</t>
  </si>
  <si>
    <t>Суммарные краткосрочные обязательства</t>
  </si>
  <si>
    <t>ИТОГО ПАССИВОВ</t>
  </si>
  <si>
    <t>ОТЧЕТ О ПРИБЫЛЯХ И УБЫТКАХ</t>
  </si>
  <si>
    <t>Выручка</t>
  </si>
  <si>
    <t>Себестоимость продаж</t>
  </si>
  <si>
    <t>Валовая прибыль (убыток)</t>
  </si>
  <si>
    <t>Коммерческие расходы</t>
  </si>
  <si>
    <t>Управленческие расходы</t>
  </si>
  <si>
    <t>Прибыль (убыток) от продаж</t>
  </si>
  <si>
    <t xml:space="preserve">Проценты к уплате </t>
  </si>
  <si>
    <t>Прочие доходы</t>
  </si>
  <si>
    <t>Прочие расходы</t>
  </si>
  <si>
    <t xml:space="preserve">Прибыль (убыток) до налогообложения </t>
  </si>
  <si>
    <t>Текущий налог на прибыль</t>
  </si>
  <si>
    <t xml:space="preserve">Чистая прибыль (убыток) </t>
  </si>
  <si>
    <t>Справочно: Амортизация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</si>
</sst>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#,##0.0"/>
  </numFmts>
  <fonts count="10">
    <font>
      <sz val="11.0"/>
      <color theme="1"/>
      <name val="Calibri"/>
    </font>
    <font>
      <color theme="1"/>
      <name val="Helvetica Neue"/>
    </font>
    <font>
      <b/>
      <sz val="10.0"/>
      <color rgb="FF000000"/>
      <name val="Helvetica Neue"/>
    </font>
    <font/>
    <font>
      <b/>
      <sz val="10.0"/>
      <color theme="1"/>
      <name val="Helvetica Neue"/>
    </font>
    <font>
      <name val="Helvetica Neue"/>
    </font>
    <font>
      <color theme="1"/>
      <name val="Calibri"/>
    </font>
    <font>
      <sz val="10.0"/>
      <color theme="1"/>
      <name val="Helvetica Neue"/>
    </font>
    <font>
      <sz val="10.0"/>
      <color rgb="FF000000"/>
      <name val="Helvetica Neue"/>
    </font>
    <font>
      <sz val="10.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11">
    <border/>
    <border>
      <left/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/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left" readingOrder="0" vertical="center"/>
    </xf>
    <xf borderId="5" fillId="2" fontId="4" numFmtId="0" xfId="0" applyAlignment="1" applyBorder="1" applyFont="1">
      <alignment horizontal="left" vertical="center"/>
    </xf>
    <xf borderId="6" fillId="2" fontId="2" numFmtId="0" xfId="0" applyAlignment="1" applyBorder="1" applyFont="1">
      <alignment horizontal="left" readingOrder="0" vertical="center"/>
    </xf>
    <xf borderId="7" fillId="0" fontId="1" numFmtId="0" xfId="0" applyAlignment="1" applyBorder="1" applyFont="1">
      <alignment horizontal="left" readingOrder="0" vertical="top"/>
    </xf>
    <xf borderId="7" fillId="0" fontId="5" numFmtId="4" xfId="0" applyAlignment="1" applyBorder="1" applyFont="1" applyNumberFormat="1">
      <alignment horizontal="center" readingOrder="0" vertical="top"/>
    </xf>
    <xf borderId="7" fillId="0" fontId="1" numFmtId="4" xfId="0" applyAlignment="1" applyBorder="1" applyFont="1" applyNumberFormat="1">
      <alignment horizontal="center" readingOrder="0" vertical="top"/>
    </xf>
    <xf borderId="8" fillId="0" fontId="1" numFmtId="0" xfId="0" applyAlignment="1" applyBorder="1" applyFont="1">
      <alignment horizontal="left" readingOrder="0" shrinkToFit="0" wrapText="1"/>
    </xf>
    <xf borderId="8" fillId="0" fontId="5" numFmtId="164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horizontal="left" readingOrder="0"/>
    </xf>
    <xf borderId="8" fillId="0" fontId="5" numFmtId="10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readingOrder="0" shrinkToFit="0" wrapText="1"/>
    </xf>
    <xf borderId="9" fillId="0" fontId="3" numFmtId="0" xfId="0" applyBorder="1" applyFont="1"/>
    <xf borderId="8" fillId="0" fontId="1" numFmtId="0" xfId="0" applyAlignment="1" applyBorder="1" applyFont="1">
      <alignment readingOrder="0"/>
    </xf>
    <xf borderId="8" fillId="0" fontId="6" numFmtId="4" xfId="0" applyBorder="1" applyFont="1" applyNumberFormat="1"/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5" fillId="2" fontId="4" numFmtId="0" xfId="0" applyAlignment="1" applyBorder="1" applyFont="1">
      <alignment horizontal="right" vertical="center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3" xfId="0" applyAlignment="1" applyFont="1" applyNumberFormat="1">
      <alignment horizontal="right"/>
    </xf>
    <xf borderId="10" fillId="0" fontId="4" numFmtId="0" xfId="0" applyAlignment="1" applyBorder="1" applyFont="1">
      <alignment horizontal="left"/>
    </xf>
    <xf borderId="10" fillId="0" fontId="4" numFmtId="3" xfId="0" applyBorder="1" applyFont="1" applyNumberFormat="1"/>
    <xf borderId="0" fillId="0" fontId="4" numFmtId="0" xfId="0" applyAlignment="1" applyFont="1">
      <alignment horizontal="left"/>
    </xf>
    <xf borderId="0" fillId="0" fontId="4" numFmtId="3" xfId="0" applyFont="1" applyNumberFormat="1"/>
    <xf borderId="0" fillId="0" fontId="7" numFmtId="3" xfId="0" applyAlignment="1" applyFont="1" applyNumberFormat="1">
      <alignment horizontal="right" readingOrder="0"/>
    </xf>
    <xf borderId="0" fillId="0" fontId="7" numFmtId="3" xfId="0" applyFont="1" applyNumberFormat="1"/>
    <xf borderId="9" fillId="0" fontId="4" numFmtId="0" xfId="0" applyAlignment="1" applyBorder="1" applyFont="1">
      <alignment horizontal="left"/>
    </xf>
    <xf borderId="9" fillId="0" fontId="4" numFmtId="3" xfId="0" applyBorder="1" applyFont="1" applyNumberFormat="1"/>
    <xf borderId="0" fillId="0" fontId="8" numFmtId="0" xfId="0" applyAlignment="1" applyFont="1">
      <alignment horizontal="left" readingOrder="0"/>
    </xf>
    <xf borderId="0" fillId="0" fontId="1" numFmtId="10" xfId="0" applyFont="1" applyNumberFormat="1"/>
    <xf borderId="0" fillId="3" fontId="7" numFmtId="3" xfId="0" applyFill="1" applyFont="1" applyNumberFormat="1"/>
    <xf borderId="10" fillId="3" fontId="4" numFmtId="3" xfId="0" applyBorder="1" applyFont="1" applyNumberFormat="1"/>
    <xf borderId="10" fillId="3" fontId="4" numFmtId="3" xfId="0" applyAlignment="1" applyBorder="1" applyFont="1" applyNumberFormat="1">
      <alignment readingOrder="0"/>
    </xf>
    <xf borderId="0" fillId="3" fontId="7" numFmtId="3" xfId="0" applyAlignment="1" applyFont="1" applyNumberFormat="1">
      <alignment horizontal="right"/>
    </xf>
    <xf borderId="0" fillId="3" fontId="9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4" width="12.57"/>
    <col customWidth="1" min="5" max="5" width="2.43"/>
    <col customWidth="1" min="6" max="6" width="8.71"/>
    <col customWidth="1" min="7" max="7" width="47.57"/>
    <col customWidth="1" min="8" max="9" width="8.71"/>
    <col customWidth="1" min="10" max="10" width="28.57"/>
    <col customWidth="1" min="11" max="13" width="12.43"/>
    <col customWidth="1" min="14" max="14" width="66.14"/>
    <col customWidth="1" min="15" max="24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1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26.25" customHeight="1">
      <c r="A4" s="3" t="s">
        <v>1</v>
      </c>
      <c r="B4" s="4"/>
      <c r="C4" s="4"/>
      <c r="D4" s="4"/>
      <c r="E4" s="4"/>
      <c r="F4" s="4"/>
      <c r="G4" s="4"/>
      <c r="H4" s="4"/>
      <c r="I4" s="5"/>
      <c r="J4" s="6" t="s">
        <v>2</v>
      </c>
      <c r="K4" s="7">
        <v>2017.0</v>
      </c>
      <c r="L4" s="7">
        <v>2018.0</v>
      </c>
      <c r="M4" s="7">
        <v>2019.0</v>
      </c>
      <c r="N4" s="8" t="s">
        <v>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ht="109.5" customHeight="1">
      <c r="A5" s="1" t="s">
        <v>4</v>
      </c>
      <c r="J5" s="9" t="s">
        <v>5</v>
      </c>
      <c r="K5" s="10"/>
      <c r="L5" s="10"/>
      <c r="M5" s="10"/>
      <c r="N5" s="11"/>
      <c r="O5" s="2"/>
      <c r="P5" s="2"/>
      <c r="Q5" s="2"/>
      <c r="R5" s="2"/>
      <c r="S5" s="2"/>
      <c r="T5" s="2"/>
      <c r="U5" s="2"/>
      <c r="V5" s="2"/>
      <c r="W5" s="2"/>
      <c r="X5" s="2"/>
    </row>
    <row r="6" ht="150.0" customHeight="1">
      <c r="J6" s="12" t="s">
        <v>6</v>
      </c>
      <c r="K6" s="13"/>
      <c r="L6" s="13"/>
      <c r="M6" s="13"/>
      <c r="N6" s="14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J7" s="15" t="s">
        <v>7</v>
      </c>
      <c r="K7" s="16"/>
      <c r="L7" s="16"/>
      <c r="M7" s="16"/>
      <c r="N7" s="17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18"/>
      <c r="B8" s="18"/>
      <c r="C8" s="18"/>
      <c r="D8" s="18"/>
      <c r="E8" s="18"/>
      <c r="F8" s="18"/>
      <c r="G8" s="18"/>
      <c r="H8" s="18"/>
      <c r="I8" s="18"/>
      <c r="J8" s="19" t="s">
        <v>8</v>
      </c>
      <c r="K8" s="20"/>
      <c r="L8" s="20"/>
      <c r="M8" s="20"/>
      <c r="N8" s="19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K9" s="21"/>
      <c r="L9" s="21"/>
      <c r="M9" s="2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26.25" customHeight="1">
      <c r="A11" s="7" t="s">
        <v>9</v>
      </c>
      <c r="B11" s="23">
        <v>2017.0</v>
      </c>
      <c r="C11" s="23">
        <v>2018.0</v>
      </c>
      <c r="D11" s="23">
        <v>2019.0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24"/>
      <c r="B12" s="25"/>
      <c r="C12" s="25"/>
      <c r="D12" s="25"/>
      <c r="E12" s="2"/>
      <c r="F12" s="2"/>
      <c r="G12" s="2"/>
      <c r="H12" s="22"/>
      <c r="I12" s="22"/>
      <c r="J12" s="2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24" t="s">
        <v>10</v>
      </c>
      <c r="B13" s="26">
        <v>1250600.0</v>
      </c>
      <c r="C13" s="26">
        <v>1440800.0</v>
      </c>
      <c r="D13" s="26">
        <v>1900900.0</v>
      </c>
      <c r="E13" s="2"/>
      <c r="F13" s="2"/>
      <c r="G13" s="22"/>
      <c r="H13" s="2"/>
      <c r="I13" s="2"/>
      <c r="J13" s="2"/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24" t="s">
        <v>11</v>
      </c>
      <c r="B14" s="26">
        <v>121000.0</v>
      </c>
      <c r="C14" s="26">
        <v>144000.0</v>
      </c>
      <c r="D14" s="26">
        <v>120100.0</v>
      </c>
      <c r="E14" s="2"/>
      <c r="F14" s="2"/>
      <c r="G14" s="22"/>
      <c r="H14" s="2"/>
      <c r="I14" s="2"/>
      <c r="J14" s="2"/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24" t="s">
        <v>12</v>
      </c>
      <c r="B15" s="26">
        <v>135000.0</v>
      </c>
      <c r="C15" s="26">
        <v>580000.0</v>
      </c>
      <c r="D15" s="26">
        <v>115000.0</v>
      </c>
      <c r="E15" s="2"/>
      <c r="F15" s="2"/>
      <c r="G15" s="22"/>
      <c r="H15" s="2"/>
      <c r="I15" s="2"/>
      <c r="J15" s="2"/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27" t="s">
        <v>13</v>
      </c>
      <c r="B16" s="28">
        <f t="shared" ref="B16:D16" si="1">SUM(B13:B15)</f>
        <v>1506600</v>
      </c>
      <c r="C16" s="28">
        <f t="shared" si="1"/>
        <v>2164800</v>
      </c>
      <c r="D16" s="28">
        <f t="shared" si="1"/>
        <v>2136000</v>
      </c>
      <c r="E16" s="2"/>
      <c r="F16" s="2"/>
      <c r="G16" s="22"/>
      <c r="H16" s="2"/>
      <c r="I16" s="2"/>
      <c r="J16" s="2"/>
      <c r="K16" s="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29"/>
      <c r="B17" s="30"/>
      <c r="C17" s="30"/>
      <c r="D17" s="3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24" t="s">
        <v>14</v>
      </c>
      <c r="B18" s="26">
        <v>435000.0</v>
      </c>
      <c r="C18" s="26">
        <v>475000.0</v>
      </c>
      <c r="D18" s="26">
        <v>430200.0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24" t="s">
        <v>15</v>
      </c>
      <c r="B19" s="26">
        <v>40000.0</v>
      </c>
      <c r="C19" s="26">
        <v>70000.0</v>
      </c>
      <c r="D19" s="26">
        <v>30000.0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24" t="s">
        <v>16</v>
      </c>
      <c r="B20" s="31">
        <v>263000.0</v>
      </c>
      <c r="C20" s="26">
        <v>283000.0</v>
      </c>
      <c r="D20" s="26">
        <v>327000.0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24" t="s">
        <v>17</v>
      </c>
      <c r="B21" s="26">
        <v>8900.0</v>
      </c>
      <c r="C21" s="26">
        <v>65000.0</v>
      </c>
      <c r="D21" s="26">
        <v>60000.0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27" t="s">
        <v>18</v>
      </c>
      <c r="B22" s="28">
        <f t="shared" ref="B22:D22" si="2">SUM(B18:B21)</f>
        <v>746900</v>
      </c>
      <c r="C22" s="28">
        <f t="shared" si="2"/>
        <v>893000</v>
      </c>
      <c r="D22" s="28">
        <f t="shared" si="2"/>
        <v>847200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24"/>
      <c r="B23" s="32"/>
      <c r="C23" s="32"/>
      <c r="D23" s="3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33" t="s">
        <v>19</v>
      </c>
      <c r="B24" s="34">
        <f t="shared" ref="B24:D24" si="3">B16+B22</f>
        <v>2253500</v>
      </c>
      <c r="C24" s="34">
        <f t="shared" si="3"/>
        <v>3057800</v>
      </c>
      <c r="D24" s="34">
        <f t="shared" si="3"/>
        <v>2983200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24"/>
      <c r="B25" s="32"/>
      <c r="C25" s="32"/>
      <c r="D25" s="3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24" t="s">
        <v>20</v>
      </c>
      <c r="B26" s="26">
        <v>180000.0</v>
      </c>
      <c r="C26" s="26">
        <v>180000.0</v>
      </c>
      <c r="D26" s="26">
        <v>180000.0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24" t="s">
        <v>21</v>
      </c>
      <c r="B27" s="26">
        <v>323000.0</v>
      </c>
      <c r="C27" s="26">
        <v>405000.0</v>
      </c>
      <c r="D27" s="26">
        <v>460000.0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35" t="s">
        <v>22</v>
      </c>
      <c r="B28" s="26">
        <v>-310000.0</v>
      </c>
      <c r="C28" s="26">
        <v>-266800.0</v>
      </c>
      <c r="D28" s="26">
        <v>-150000.0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27" t="s">
        <v>23</v>
      </c>
      <c r="B29" s="28">
        <f t="shared" ref="B29:D29" si="4">SUM(B26:B28)</f>
        <v>193000</v>
      </c>
      <c r="C29" s="28">
        <f t="shared" si="4"/>
        <v>318200</v>
      </c>
      <c r="D29" s="28">
        <f t="shared" si="4"/>
        <v>490000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29"/>
      <c r="B30" s="30"/>
      <c r="C30" s="30"/>
      <c r="D30" s="3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24" t="s">
        <v>24</v>
      </c>
      <c r="B31" s="26">
        <v>1200000.0</v>
      </c>
      <c r="C31" s="26">
        <v>1730000.0</v>
      </c>
      <c r="D31" s="26">
        <v>1600900.0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24" t="s">
        <v>25</v>
      </c>
      <c r="B32" s="26">
        <v>270000.0</v>
      </c>
      <c r="C32" s="26">
        <v>33000.0</v>
      </c>
      <c r="D32" s="26">
        <v>33000.0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27" t="s">
        <v>26</v>
      </c>
      <c r="B33" s="28">
        <f t="shared" ref="B33:D33" si="5">SUM(B31:B32)</f>
        <v>1470000</v>
      </c>
      <c r="C33" s="28">
        <f t="shared" si="5"/>
        <v>1763000</v>
      </c>
      <c r="D33" s="28">
        <f t="shared" si="5"/>
        <v>1633900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29"/>
      <c r="B34" s="30"/>
      <c r="C34" s="30"/>
      <c r="D34" s="3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24" t="s">
        <v>27</v>
      </c>
      <c r="B35" s="26">
        <v>10500.0</v>
      </c>
      <c r="C35" s="26">
        <v>105000.0</v>
      </c>
      <c r="D35" s="26">
        <v>125000.0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24" t="s">
        <v>28</v>
      </c>
      <c r="B36" s="26">
        <v>580000.0</v>
      </c>
      <c r="C36" s="26">
        <v>871600.0</v>
      </c>
      <c r="D36" s="26">
        <v>734300.0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27" t="s">
        <v>29</v>
      </c>
      <c r="B37" s="28">
        <f t="shared" ref="B37:D37" si="6">SUM(B35:B36)</f>
        <v>590500</v>
      </c>
      <c r="C37" s="28">
        <f t="shared" si="6"/>
        <v>976600</v>
      </c>
      <c r="D37" s="28">
        <f t="shared" si="6"/>
        <v>859300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24"/>
      <c r="B38" s="32"/>
      <c r="C38" s="32"/>
      <c r="D38" s="3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33" t="s">
        <v>30</v>
      </c>
      <c r="B39" s="34">
        <f t="shared" ref="B39:D39" si="7">B29+B33+B37</f>
        <v>2253500</v>
      </c>
      <c r="C39" s="34">
        <f t="shared" si="7"/>
        <v>3057800</v>
      </c>
      <c r="D39" s="34">
        <f t="shared" si="7"/>
        <v>2983200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25"/>
      <c r="B40" s="25"/>
      <c r="C40" s="25"/>
      <c r="D40" s="25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26.25" customHeight="1">
      <c r="A41" s="7" t="s">
        <v>31</v>
      </c>
      <c r="B41" s="23">
        <v>2017.0</v>
      </c>
      <c r="C41" s="23">
        <v>2018.0</v>
      </c>
      <c r="D41" s="23">
        <v>2019.0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24"/>
      <c r="B42" s="25"/>
      <c r="C42" s="25"/>
      <c r="D42" s="25"/>
      <c r="E42" s="2"/>
      <c r="F42" s="2"/>
      <c r="G42" s="2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24" t="s">
        <v>32</v>
      </c>
      <c r="B43" s="31">
        <v>1840000.0</v>
      </c>
      <c r="C43" s="26">
        <v>2550000.0</v>
      </c>
      <c r="D43" s="26">
        <v>2950000.0</v>
      </c>
      <c r="E43" s="2"/>
      <c r="F43" s="2"/>
      <c r="G43" s="22"/>
      <c r="H43" s="36"/>
      <c r="I43" s="36"/>
      <c r="J43" s="3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24" t="s">
        <v>33</v>
      </c>
      <c r="B44" s="37">
        <f>-1740000</f>
        <v>-1740000</v>
      </c>
      <c r="C44" s="37">
        <f>-2060000</f>
        <v>-2060000</v>
      </c>
      <c r="D44" s="37">
        <f>-2300000</f>
        <v>-2300000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27" t="s">
        <v>34</v>
      </c>
      <c r="B45" s="38">
        <v>100000.0</v>
      </c>
      <c r="C45" s="39">
        <v>490000.0</v>
      </c>
      <c r="D45" s="38">
        <v>650000.0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24" t="s">
        <v>35</v>
      </c>
      <c r="B46" s="40">
        <f>-50000</f>
        <v>-50000</v>
      </c>
      <c r="C46" s="40">
        <f>-145000</f>
        <v>-145000</v>
      </c>
      <c r="D46" s="40">
        <f>-190000</f>
        <v>-190000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24" t="s">
        <v>36</v>
      </c>
      <c r="B47" s="40">
        <f>-100000</f>
        <v>-100000</v>
      </c>
      <c r="C47" s="40">
        <f>-120000</f>
        <v>-120000</v>
      </c>
      <c r="D47" s="40">
        <f>-150000</f>
        <v>-150000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27" t="s">
        <v>37</v>
      </c>
      <c r="B48" s="38">
        <v>-50000.0</v>
      </c>
      <c r="C48" s="38">
        <v>225000.0</v>
      </c>
      <c r="D48" s="38">
        <v>310000.0</v>
      </c>
      <c r="E48" s="2"/>
      <c r="F48" s="2"/>
      <c r="G48" s="2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24" t="s">
        <v>38</v>
      </c>
      <c r="B49" s="37">
        <f>-136000</f>
        <v>-136000</v>
      </c>
      <c r="C49" s="37">
        <f>-205000</f>
        <v>-205000</v>
      </c>
      <c r="D49" s="37">
        <f>-195000</f>
        <v>-195000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24" t="s">
        <v>39</v>
      </c>
      <c r="B50" s="41">
        <v>470000.0</v>
      </c>
      <c r="C50" s="41">
        <v>300000.0</v>
      </c>
      <c r="D50" s="41">
        <v>320000.0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24" t="s">
        <v>40</v>
      </c>
      <c r="B51" s="40">
        <f>-300000</f>
        <v>-300000</v>
      </c>
      <c r="C51" s="40">
        <f>-295000</f>
        <v>-295000</v>
      </c>
      <c r="D51" s="40">
        <f>-310000</f>
        <v>-310000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27" t="s">
        <v>41</v>
      </c>
      <c r="B52" s="28">
        <v>-16000.0</v>
      </c>
      <c r="C52" s="28">
        <v>25000.0</v>
      </c>
      <c r="D52" s="28">
        <v>125000.0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24" t="s">
        <v>42</v>
      </c>
      <c r="B53" s="26">
        <v>0.0</v>
      </c>
      <c r="C53" s="26">
        <v>0.0</v>
      </c>
      <c r="D53" s="26">
        <v>8200.0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27" t="s">
        <v>43</v>
      </c>
      <c r="B54" s="28">
        <v>-16000.0</v>
      </c>
      <c r="C54" s="28">
        <v>25000.0</v>
      </c>
      <c r="D54" s="28">
        <v>116800.0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24" t="s">
        <v>44</v>
      </c>
      <c r="B55" s="26">
        <v>250000.0</v>
      </c>
      <c r="C55" s="26">
        <v>300000.0</v>
      </c>
      <c r="D55" s="26">
        <v>310000.0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24"/>
      <c r="B56" s="32"/>
      <c r="C56" s="32"/>
      <c r="D56" s="3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ht="14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ht="14.2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</sheetData>
  <mergeCells count="3">
    <mergeCell ref="A2:I2"/>
    <mergeCell ref="A4:I4"/>
    <mergeCell ref="A5:I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2020-06-24T10:57:20Z</dcterms:created>
  <dc:creator>Ria-Notebook</dc:creator>
</cp:coreProperties>
</file>