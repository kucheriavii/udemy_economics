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4505" yWindow="6405" windowWidth="14310" windowHeight="6420"/>
  </bookViews>
  <sheets>
    <sheet name="Отчеты" sheetId="1" r:id="rId1"/>
  </sheets>
  <calcPr calcId="144525"/>
  <extLst>
    <ext uri="GoogleSheetsCustomDataVersion1">
      <go:sheetsCustomData xmlns:go="http://customooxmlschemas.google.com/" r:id="rId5" roundtripDataSignature="AMtx7miVb3sFQIui6QptDW3FcCZnJkF7YQ=="/>
    </ext>
  </extLst>
</workbook>
</file>

<file path=xl/calcChain.xml><?xml version="1.0" encoding="utf-8"?>
<calcChain xmlns="http://schemas.openxmlformats.org/spreadsheetml/2006/main">
  <c r="L8" i="1" l="1"/>
  <c r="M8" i="1"/>
  <c r="K8" i="1"/>
  <c r="C56" i="1"/>
  <c r="D56" i="1"/>
  <c r="B56" i="1"/>
  <c r="L7" i="1"/>
  <c r="M7" i="1"/>
  <c r="K7" i="1"/>
  <c r="M6" i="1"/>
  <c r="L6" i="1"/>
  <c r="K6" i="1"/>
  <c r="M5" i="1"/>
  <c r="L5" i="1"/>
  <c r="K5" i="1"/>
  <c r="D51" i="1"/>
  <c r="C51" i="1"/>
  <c r="B51" i="1"/>
  <c r="D49" i="1"/>
  <c r="C49" i="1"/>
  <c r="B49" i="1"/>
  <c r="D47" i="1"/>
  <c r="C47" i="1"/>
  <c r="B47" i="1"/>
  <c r="D46" i="1"/>
  <c r="C46" i="1"/>
  <c r="B46" i="1"/>
  <c r="D44" i="1"/>
  <c r="C44" i="1"/>
  <c r="B44" i="1"/>
  <c r="D37" i="1"/>
  <c r="C37" i="1"/>
  <c r="B37" i="1"/>
  <c r="D33" i="1"/>
  <c r="C33" i="1"/>
  <c r="B33" i="1"/>
  <c r="D29" i="1"/>
  <c r="D39" i="1" s="1"/>
  <c r="C29" i="1"/>
  <c r="C39" i="1" s="1"/>
  <c r="B29" i="1"/>
  <c r="B39" i="1" s="1"/>
  <c r="B24" i="1"/>
  <c r="D22" i="1"/>
  <c r="C22" i="1"/>
  <c r="B22" i="1"/>
  <c r="D16" i="1"/>
  <c r="D24" i="1" s="1"/>
  <c r="C16" i="1"/>
  <c r="C24" i="1" s="1"/>
  <c r="B16" i="1"/>
</calcChain>
</file>

<file path=xl/sharedStrings.xml><?xml version="1.0" encoding="utf-8"?>
<sst xmlns="http://schemas.openxmlformats.org/spreadsheetml/2006/main" count="46" uniqueCount="46">
  <si>
    <t>Решите задание, запишите ответ справа от условия задачи в таблице или укажите его в текстовом поле при отправке домашней работы преподавателю.
Если будете выполнять задание в таблице, скопируйте её через «Файл → Создать копию». Отправьте преподавателю ссылку на таблицу с выполненным заданием, предварительно установив настройки доступа с правом редактирования или комментирования «Для всех, у кого есть ссылка».</t>
  </si>
  <si>
    <t>ЗАДАНИЕ</t>
  </si>
  <si>
    <t>ОТВЕТ</t>
  </si>
  <si>
    <t>ВЫВОДЫ</t>
  </si>
  <si>
    <t>Проанализируйте отчётность компании ниже. Рассчитайте следующие значения за каждый период по данной отчётности:
1) Текущая ликвидность.
2) Оборачиваемость дебиторской задолженности.
3) Коэффициент автономии.
4) TD / EBITDA.
Сделайте выводы о том, что происходит с финансовым состоянием компании по каждому из рассчитанных показателей.</t>
  </si>
  <si>
    <t xml:space="preserve">Текущая ликвидность </t>
  </si>
  <si>
    <t xml:space="preserve">Оборачиваемость дебиторской задолженности </t>
  </si>
  <si>
    <t xml:space="preserve">Коэффициент автономии </t>
  </si>
  <si>
    <t>TD / EBITDA</t>
  </si>
  <si>
    <t>БАЛАНС</t>
  </si>
  <si>
    <t>Основные средства</t>
  </si>
  <si>
    <t>Отложенные налоговые активы</t>
  </si>
  <si>
    <t>Прочие внеоборотные активы</t>
  </si>
  <si>
    <t>Суммарные внеоборотные активы</t>
  </si>
  <si>
    <t>Запасы</t>
  </si>
  <si>
    <t>НДС по приобретенным ценностям</t>
  </si>
  <si>
    <t>Дебиторская задолженность</t>
  </si>
  <si>
    <t>Денежные средства и денежные эквиваленты</t>
  </si>
  <si>
    <t>Суммарные оборотные активы</t>
  </si>
  <si>
    <t>ИТОГО АКТИВОВ</t>
  </si>
  <si>
    <t xml:space="preserve">Уставный капитал </t>
  </si>
  <si>
    <t>Переоценка внеоборотных активов</t>
  </si>
  <si>
    <t>Нераспределенная прибыль</t>
  </si>
  <si>
    <t>Суммарный собственный капитал</t>
  </si>
  <si>
    <t xml:space="preserve">Займы и кредиты </t>
  </si>
  <si>
    <t>Отложенные налоговые обязательства</t>
  </si>
  <si>
    <t>Суммарные долгосрочные обязательства</t>
  </si>
  <si>
    <t>Краткосрочные кредиты</t>
  </si>
  <si>
    <t>Кредиторская задолженность</t>
  </si>
  <si>
    <t>Суммарные краткосрочные обязательства</t>
  </si>
  <si>
    <t>ИТОГО ПАССИВОВ</t>
  </si>
  <si>
    <t>ОТЧЕТ О ПРИБЫЛЯХ И УБЫТКАХ</t>
  </si>
  <si>
    <t>Выручка</t>
  </si>
  <si>
    <t>Себестоимость продаж</t>
  </si>
  <si>
    <t>Валовая прибыль (убыток)</t>
  </si>
  <si>
    <t>Коммерческие расходы</t>
  </si>
  <si>
    <t>Управленческие расходы</t>
  </si>
  <si>
    <t>Прибыль (убыток) от продаж</t>
  </si>
  <si>
    <t xml:space="preserve">Проценты к уплате </t>
  </si>
  <si>
    <t>Прочие доходы</t>
  </si>
  <si>
    <t>Прочие расходы</t>
  </si>
  <si>
    <t xml:space="preserve">Прибыль (убыток) до налогообложения </t>
  </si>
  <si>
    <t>Текущий налог на прибыль</t>
  </si>
  <si>
    <t xml:space="preserve">Чистая прибыль (убыток) </t>
  </si>
  <si>
    <t>Справочно: Амортизация</t>
  </si>
  <si>
    <t>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</si>
</sst>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;\(#,##0.00\)"/>
    <numFmt numFmtId="165" formatCode="#,##0.0"/>
  </numFmts>
  <fonts count="10">
    <font>
      <sz val="11"/>
      <color theme="1"/>
      <name val="Calibri"/>
    </font>
    <font>
      <sz val="11"/>
      <color theme="1"/>
      <name val="Helvetica Neue"/>
    </font>
    <font>
      <b/>
      <sz val="10"/>
      <color rgb="FF000000"/>
      <name val="Helvetica Neue"/>
    </font>
    <font>
      <sz val="11"/>
      <name val="Calibri"/>
    </font>
    <font>
      <b/>
      <sz val="10"/>
      <color theme="1"/>
      <name val="Helvetica Neue"/>
    </font>
    <font>
      <sz val="11"/>
      <name val="Helvetica Neue"/>
    </font>
    <font>
      <sz val="11"/>
      <color theme="1"/>
      <name val="Calibri"/>
    </font>
    <font>
      <sz val="10"/>
      <color theme="1"/>
      <name val="Helvetica Neue"/>
    </font>
    <font>
      <sz val="10"/>
      <color rgb="FF000000"/>
      <name val="Helvetica Neue"/>
    </font>
    <font>
      <sz val="10"/>
      <name val="Helvetica Neue"/>
    </font>
  </fonts>
  <fills count="4">
    <fill>
      <patternFill patternType="none"/>
    </fill>
    <fill>
      <patternFill patternType="gray125"/>
    </fill>
    <fill>
      <patternFill patternType="solid">
        <fgColor rgb="FFD8E4BC"/>
        <bgColor rgb="FFD8E4BC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tted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top"/>
    </xf>
    <xf numFmtId="4" fontId="5" fillId="0" borderId="7" xfId="0" applyNumberFormat="1" applyFont="1" applyBorder="1" applyAlignment="1">
      <alignment horizontal="center" vertical="top"/>
    </xf>
    <xf numFmtId="4" fontId="1" fillId="0" borderId="7" xfId="0" applyNumberFormat="1" applyFont="1" applyBorder="1" applyAlignment="1">
      <alignment horizontal="center" vertical="top"/>
    </xf>
    <xf numFmtId="0" fontId="1" fillId="0" borderId="8" xfId="0" applyFont="1" applyBorder="1" applyAlignment="1">
      <alignment horizontal="left" wrapText="1"/>
    </xf>
    <xf numFmtId="164" fontId="5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vertical="top" wrapText="1"/>
    </xf>
    <xf numFmtId="0" fontId="1" fillId="0" borderId="8" xfId="0" applyFont="1" applyBorder="1" applyAlignment="1">
      <alignment horizontal="left"/>
    </xf>
    <xf numFmtId="10" fontId="5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/>
    <xf numFmtId="4" fontId="6" fillId="0" borderId="8" xfId="0" applyNumberFormat="1" applyFont="1" applyBorder="1"/>
    <xf numFmtId="165" fontId="1" fillId="0" borderId="0" xfId="0" applyNumberFormat="1" applyFont="1" applyAlignment="1">
      <alignment horizontal="center"/>
    </xf>
    <xf numFmtId="0" fontId="1" fillId="0" borderId="0" xfId="0" applyFont="1" applyAlignment="1"/>
    <xf numFmtId="0" fontId="4" fillId="2" borderId="5" xfId="0" applyFont="1" applyFill="1" applyBorder="1" applyAlignment="1">
      <alignment horizontal="right" vertical="center"/>
    </xf>
    <xf numFmtId="0" fontId="7" fillId="0" borderId="0" xfId="0" applyFont="1" applyAlignment="1">
      <alignment horizontal="left"/>
    </xf>
    <xf numFmtId="0" fontId="7" fillId="0" borderId="0" xfId="0" applyFont="1"/>
    <xf numFmtId="3" fontId="7" fillId="0" borderId="0" xfId="0" applyNumberFormat="1" applyFont="1" applyAlignment="1">
      <alignment horizontal="right"/>
    </xf>
    <xf numFmtId="0" fontId="4" fillId="0" borderId="10" xfId="0" applyFont="1" applyBorder="1" applyAlignment="1">
      <alignment horizontal="left"/>
    </xf>
    <xf numFmtId="3" fontId="4" fillId="0" borderId="10" xfId="0" applyNumberFormat="1" applyFont="1" applyBorder="1"/>
    <xf numFmtId="0" fontId="4" fillId="0" borderId="0" xfId="0" applyFont="1" applyAlignment="1">
      <alignment horizontal="left"/>
    </xf>
    <xf numFmtId="3" fontId="4" fillId="0" borderId="0" xfId="0" applyNumberFormat="1" applyFont="1"/>
    <xf numFmtId="3" fontId="7" fillId="0" borderId="0" xfId="0" applyNumberFormat="1" applyFont="1" applyAlignment="1">
      <alignment horizontal="right"/>
    </xf>
    <xf numFmtId="3" fontId="7" fillId="0" borderId="0" xfId="0" applyNumberFormat="1" applyFont="1"/>
    <xf numFmtId="0" fontId="4" fillId="0" borderId="9" xfId="0" applyFont="1" applyBorder="1" applyAlignment="1">
      <alignment horizontal="left"/>
    </xf>
    <xf numFmtId="3" fontId="4" fillId="0" borderId="9" xfId="0" applyNumberFormat="1" applyFont="1" applyBorder="1"/>
    <xf numFmtId="0" fontId="8" fillId="0" borderId="0" xfId="0" applyFont="1" applyAlignment="1">
      <alignment horizontal="left"/>
    </xf>
    <xf numFmtId="10" fontId="1" fillId="0" borderId="0" xfId="0" applyNumberFormat="1" applyFont="1"/>
    <xf numFmtId="3" fontId="7" fillId="3" borderId="0" xfId="0" applyNumberFormat="1" applyFont="1" applyFill="1"/>
    <xf numFmtId="3" fontId="4" fillId="3" borderId="10" xfId="0" applyNumberFormat="1" applyFont="1" applyFill="1" applyBorder="1"/>
    <xf numFmtId="3" fontId="4" fillId="3" borderId="10" xfId="0" applyNumberFormat="1" applyFont="1" applyFill="1" applyBorder="1" applyAlignment="1"/>
    <xf numFmtId="3" fontId="7" fillId="3" borderId="0" xfId="0" applyNumberFormat="1" applyFont="1" applyFill="1" applyAlignment="1">
      <alignment horizontal="right"/>
    </xf>
    <xf numFmtId="3" fontId="9" fillId="3" borderId="0" xfId="0" applyNumberFormat="1" applyFont="1" applyFill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Font="1" applyAlignment="1"/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8"/>
  <sheetViews>
    <sheetView tabSelected="1" topLeftCell="A31" workbookViewId="0">
      <selection activeCell="G59" sqref="G59"/>
    </sheetView>
  </sheetViews>
  <sheetFormatPr defaultColWidth="14.42578125" defaultRowHeight="15" customHeight="1"/>
  <cols>
    <col min="1" max="1" width="41.5703125" customWidth="1"/>
    <col min="2" max="4" width="12.5703125" customWidth="1"/>
    <col min="5" max="5" width="2.42578125" customWidth="1"/>
    <col min="6" max="6" width="8.7109375" customWidth="1"/>
    <col min="7" max="7" width="47.5703125" customWidth="1"/>
    <col min="8" max="9" width="8.7109375" customWidth="1"/>
    <col min="10" max="10" width="28.5703125" customWidth="1"/>
    <col min="11" max="13" width="12.42578125" customWidth="1"/>
    <col min="14" max="14" width="66.140625" customWidth="1"/>
    <col min="15" max="24" width="8.7109375" customWidth="1"/>
  </cols>
  <sheetData>
    <row r="1" spans="1:24" ht="14.2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25" customHeight="1">
      <c r="A2" s="38" t="s">
        <v>0</v>
      </c>
      <c r="B2" s="39"/>
      <c r="C2" s="39"/>
      <c r="D2" s="39"/>
      <c r="E2" s="39"/>
      <c r="F2" s="39"/>
      <c r="G2" s="39"/>
      <c r="H2" s="39"/>
      <c r="I2" s="39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26.25" customHeight="1">
      <c r="A4" s="40" t="s">
        <v>1</v>
      </c>
      <c r="B4" s="41"/>
      <c r="C4" s="41"/>
      <c r="D4" s="41"/>
      <c r="E4" s="41"/>
      <c r="F4" s="41"/>
      <c r="G4" s="41"/>
      <c r="H4" s="41"/>
      <c r="I4" s="42"/>
      <c r="J4" s="3" t="s">
        <v>2</v>
      </c>
      <c r="K4" s="4">
        <v>2017</v>
      </c>
      <c r="L4" s="4">
        <v>2018</v>
      </c>
      <c r="M4" s="4">
        <v>2019</v>
      </c>
      <c r="N4" s="5" t="s">
        <v>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09.5" customHeight="1">
      <c r="A5" s="38" t="s">
        <v>4</v>
      </c>
      <c r="B5" s="39"/>
      <c r="C5" s="39"/>
      <c r="D5" s="39"/>
      <c r="E5" s="39"/>
      <c r="F5" s="39"/>
      <c r="G5" s="39"/>
      <c r="H5" s="39"/>
      <c r="I5" s="39"/>
      <c r="J5" s="6" t="s">
        <v>5</v>
      </c>
      <c r="K5" s="7">
        <f>B22/B37</f>
        <v>1.2648602878916173</v>
      </c>
      <c r="L5" s="7">
        <f>C22/C37</f>
        <v>0.91439688715953304</v>
      </c>
      <c r="M5" s="7">
        <f>D22/D37</f>
        <v>0.98591877109274995</v>
      </c>
      <c r="N5" s="8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0" customHeight="1">
      <c r="A6" s="39"/>
      <c r="B6" s="39"/>
      <c r="C6" s="39"/>
      <c r="D6" s="39"/>
      <c r="E6" s="39"/>
      <c r="F6" s="39"/>
      <c r="G6" s="39"/>
      <c r="H6" s="39"/>
      <c r="I6" s="39"/>
      <c r="J6" s="9" t="s">
        <v>6</v>
      </c>
      <c r="K6" s="10">
        <f>B20/B43*365</f>
        <v>52.171195652173914</v>
      </c>
      <c r="L6" s="10">
        <f>C20/C43*365</f>
        <v>40.507843137254902</v>
      </c>
      <c r="M6" s="10">
        <f>D20/D43*365</f>
        <v>40.459322033898303</v>
      </c>
      <c r="N6" s="11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4.25" customHeight="1">
      <c r="A7" s="39"/>
      <c r="B7" s="39"/>
      <c r="C7" s="39"/>
      <c r="D7" s="39"/>
      <c r="E7" s="39"/>
      <c r="F7" s="39"/>
      <c r="G7" s="39"/>
      <c r="H7" s="39"/>
      <c r="I7" s="39"/>
      <c r="J7" s="12" t="s">
        <v>7</v>
      </c>
      <c r="K7" s="13">
        <f>B29/B24</f>
        <v>8.5644552917683608E-2</v>
      </c>
      <c r="L7" s="13">
        <f t="shared" ref="L7:M7" si="0">C29/C24</f>
        <v>0.10406174373732749</v>
      </c>
      <c r="M7" s="13">
        <f t="shared" si="0"/>
        <v>0.16425315097881468</v>
      </c>
      <c r="N7" s="14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4.25" customHeight="1">
      <c r="A8" s="43"/>
      <c r="B8" s="43"/>
      <c r="C8" s="43"/>
      <c r="D8" s="43"/>
      <c r="E8" s="43"/>
      <c r="F8" s="43"/>
      <c r="G8" s="43"/>
      <c r="H8" s="43"/>
      <c r="I8" s="43"/>
      <c r="J8" s="15" t="s">
        <v>8</v>
      </c>
      <c r="K8" s="16">
        <f>B37/B56</f>
        <v>-11.81</v>
      </c>
      <c r="L8" s="16">
        <f t="shared" ref="L8:M8" si="1">C37/C56</f>
        <v>4.3404444444444445</v>
      </c>
      <c r="M8" s="16">
        <f t="shared" si="1"/>
        <v>2.7719354838709678</v>
      </c>
      <c r="N8" s="15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4.25" customHeight="1">
      <c r="A9" s="2"/>
      <c r="B9" s="2"/>
      <c r="C9" s="2"/>
      <c r="D9" s="2"/>
      <c r="E9" s="2"/>
      <c r="F9" s="2"/>
      <c r="G9" s="2"/>
      <c r="H9" s="2"/>
      <c r="I9" s="2"/>
      <c r="K9" s="17"/>
      <c r="L9" s="17"/>
      <c r="M9" s="17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4.25" customHeight="1">
      <c r="A10" s="2"/>
      <c r="B10" s="2"/>
      <c r="C10" s="2"/>
      <c r="D10" s="2"/>
      <c r="E10" s="2"/>
      <c r="F10" s="2"/>
      <c r="G10" s="2"/>
      <c r="H10" s="2"/>
      <c r="I10" s="2"/>
      <c r="J10" s="1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6.25" customHeight="1">
      <c r="A11" s="4" t="s">
        <v>9</v>
      </c>
      <c r="B11" s="19">
        <v>2017</v>
      </c>
      <c r="C11" s="19">
        <v>2018</v>
      </c>
      <c r="D11" s="19">
        <v>2019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.25" customHeight="1">
      <c r="A12" s="20"/>
      <c r="B12" s="21"/>
      <c r="C12" s="21"/>
      <c r="D12" s="21"/>
      <c r="E12" s="2"/>
      <c r="F12" s="2"/>
      <c r="G12" s="2"/>
      <c r="H12" s="18"/>
      <c r="I12" s="18"/>
      <c r="J12" s="1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4.25" customHeight="1">
      <c r="A13" s="20" t="s">
        <v>10</v>
      </c>
      <c r="B13" s="22">
        <v>1250600</v>
      </c>
      <c r="C13" s="22">
        <v>1440800</v>
      </c>
      <c r="D13" s="22">
        <v>1900900</v>
      </c>
      <c r="E13" s="2"/>
      <c r="F13" s="2"/>
      <c r="G13" s="18"/>
      <c r="H13" s="2"/>
      <c r="I13" s="2"/>
      <c r="J13" s="2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4.25" customHeight="1">
      <c r="A14" s="20" t="s">
        <v>11</v>
      </c>
      <c r="B14" s="22">
        <v>121000</v>
      </c>
      <c r="C14" s="22">
        <v>144000</v>
      </c>
      <c r="D14" s="22">
        <v>120100</v>
      </c>
      <c r="E14" s="2"/>
      <c r="F14" s="2"/>
      <c r="G14" s="18"/>
      <c r="H14" s="2"/>
      <c r="I14" s="2"/>
      <c r="J14" s="2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4.25" customHeight="1">
      <c r="A15" s="20" t="s">
        <v>12</v>
      </c>
      <c r="B15" s="22">
        <v>135000</v>
      </c>
      <c r="C15" s="22">
        <v>580000</v>
      </c>
      <c r="D15" s="22">
        <v>115000</v>
      </c>
      <c r="E15" s="2"/>
      <c r="F15" s="2"/>
      <c r="G15" s="18"/>
      <c r="H15" s="2"/>
      <c r="I15" s="2"/>
      <c r="J15" s="2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4.25" customHeight="1">
      <c r="A16" s="23" t="s">
        <v>13</v>
      </c>
      <c r="B16" s="24">
        <f t="shared" ref="B16:D16" si="2">SUM(B13:B15)</f>
        <v>1506600</v>
      </c>
      <c r="C16" s="24">
        <f t="shared" si="2"/>
        <v>2164800</v>
      </c>
      <c r="D16" s="24">
        <f t="shared" si="2"/>
        <v>2136000</v>
      </c>
      <c r="E16" s="2"/>
      <c r="F16" s="2"/>
      <c r="G16" s="18"/>
      <c r="H16" s="2"/>
      <c r="I16" s="2"/>
      <c r="J16" s="2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4.25" customHeight="1">
      <c r="A17" s="25"/>
      <c r="B17" s="26"/>
      <c r="C17" s="26"/>
      <c r="D17" s="2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4.25" customHeight="1">
      <c r="A18" s="20" t="s">
        <v>14</v>
      </c>
      <c r="B18" s="22">
        <v>435000</v>
      </c>
      <c r="C18" s="22">
        <v>475000</v>
      </c>
      <c r="D18" s="22">
        <v>430200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4.25" customHeight="1">
      <c r="A19" s="20" t="s">
        <v>15</v>
      </c>
      <c r="B19" s="22">
        <v>40000</v>
      </c>
      <c r="C19" s="22">
        <v>70000</v>
      </c>
      <c r="D19" s="22">
        <v>30000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4.25" customHeight="1">
      <c r="A20" s="20" t="s">
        <v>16</v>
      </c>
      <c r="B20" s="27">
        <v>263000</v>
      </c>
      <c r="C20" s="22">
        <v>283000</v>
      </c>
      <c r="D20" s="22">
        <v>327000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4.25" customHeight="1">
      <c r="A21" s="20" t="s">
        <v>17</v>
      </c>
      <c r="B21" s="22">
        <v>8900</v>
      </c>
      <c r="C21" s="22">
        <v>65000</v>
      </c>
      <c r="D21" s="22">
        <v>60000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4.25" customHeight="1">
      <c r="A22" s="23" t="s">
        <v>18</v>
      </c>
      <c r="B22" s="24">
        <f t="shared" ref="B22:D22" si="3">SUM(B18:B21)</f>
        <v>746900</v>
      </c>
      <c r="C22" s="24">
        <f t="shared" si="3"/>
        <v>893000</v>
      </c>
      <c r="D22" s="24">
        <f t="shared" si="3"/>
        <v>847200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4.25" customHeight="1">
      <c r="A23" s="20"/>
      <c r="B23" s="28"/>
      <c r="C23" s="28"/>
      <c r="D23" s="28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4.25" customHeight="1">
      <c r="A24" s="29" t="s">
        <v>19</v>
      </c>
      <c r="B24" s="30">
        <f t="shared" ref="B24:D24" si="4">B16+B22</f>
        <v>2253500</v>
      </c>
      <c r="C24" s="30">
        <f t="shared" si="4"/>
        <v>3057800</v>
      </c>
      <c r="D24" s="30">
        <f t="shared" si="4"/>
        <v>2983200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4.25" customHeight="1">
      <c r="A25" s="20"/>
      <c r="B25" s="28"/>
      <c r="C25" s="28"/>
      <c r="D25" s="28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4.25" customHeight="1">
      <c r="A26" s="20" t="s">
        <v>20</v>
      </c>
      <c r="B26" s="22">
        <v>180000</v>
      </c>
      <c r="C26" s="22">
        <v>180000</v>
      </c>
      <c r="D26" s="22">
        <v>180000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4.25" customHeight="1">
      <c r="A27" s="20" t="s">
        <v>21</v>
      </c>
      <c r="B27" s="22">
        <v>323000</v>
      </c>
      <c r="C27" s="22">
        <v>405000</v>
      </c>
      <c r="D27" s="22">
        <v>460000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4.25" customHeight="1">
      <c r="A28" s="31" t="s">
        <v>22</v>
      </c>
      <c r="B28" s="22">
        <v>-310000</v>
      </c>
      <c r="C28" s="22">
        <v>-266800</v>
      </c>
      <c r="D28" s="22">
        <v>-150000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4.25" customHeight="1">
      <c r="A29" s="23" t="s">
        <v>23</v>
      </c>
      <c r="B29" s="24">
        <f t="shared" ref="B29:D29" si="5">SUM(B26:B28)</f>
        <v>193000</v>
      </c>
      <c r="C29" s="24">
        <f t="shared" si="5"/>
        <v>318200</v>
      </c>
      <c r="D29" s="24">
        <f t="shared" si="5"/>
        <v>490000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4.25" customHeight="1">
      <c r="A30" s="25"/>
      <c r="B30" s="26"/>
      <c r="C30" s="26"/>
      <c r="D30" s="2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4.25" customHeight="1">
      <c r="A31" s="20" t="s">
        <v>24</v>
      </c>
      <c r="B31" s="22">
        <v>1200000</v>
      </c>
      <c r="C31" s="22">
        <v>1730000</v>
      </c>
      <c r="D31" s="22">
        <v>1600900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4.25" customHeight="1">
      <c r="A32" s="20" t="s">
        <v>25</v>
      </c>
      <c r="B32" s="22">
        <v>270000</v>
      </c>
      <c r="C32" s="22">
        <v>33000</v>
      </c>
      <c r="D32" s="22">
        <v>33000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4.25" customHeight="1">
      <c r="A33" s="23" t="s">
        <v>26</v>
      </c>
      <c r="B33" s="24">
        <f t="shared" ref="B33:D33" si="6">SUM(B31:B32)</f>
        <v>1470000</v>
      </c>
      <c r="C33" s="24">
        <f t="shared" si="6"/>
        <v>1763000</v>
      </c>
      <c r="D33" s="24">
        <f t="shared" si="6"/>
        <v>1633900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4.25" customHeight="1">
      <c r="A34" s="25"/>
      <c r="B34" s="26"/>
      <c r="C34" s="26"/>
      <c r="D34" s="2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4.25" customHeight="1">
      <c r="A35" s="20" t="s">
        <v>27</v>
      </c>
      <c r="B35" s="22">
        <v>10500</v>
      </c>
      <c r="C35" s="22">
        <v>105000</v>
      </c>
      <c r="D35" s="22">
        <v>125000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4.25" customHeight="1">
      <c r="A36" s="20" t="s">
        <v>28</v>
      </c>
      <c r="B36" s="22">
        <v>580000</v>
      </c>
      <c r="C36" s="22">
        <v>871600</v>
      </c>
      <c r="D36" s="22">
        <v>734300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4.25" customHeight="1">
      <c r="A37" s="23" t="s">
        <v>29</v>
      </c>
      <c r="B37" s="24">
        <f t="shared" ref="B37:D37" si="7">SUM(B35:B36)</f>
        <v>590500</v>
      </c>
      <c r="C37" s="24">
        <f t="shared" si="7"/>
        <v>976600</v>
      </c>
      <c r="D37" s="24">
        <f t="shared" si="7"/>
        <v>859300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4.25" customHeight="1">
      <c r="A38" s="20"/>
      <c r="B38" s="28"/>
      <c r="C38" s="28"/>
      <c r="D38" s="28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4.25" customHeight="1">
      <c r="A39" s="29" t="s">
        <v>30</v>
      </c>
      <c r="B39" s="30">
        <f t="shared" ref="B39:D39" si="8">B29+B33+B37</f>
        <v>2253500</v>
      </c>
      <c r="C39" s="30">
        <f t="shared" si="8"/>
        <v>3057800</v>
      </c>
      <c r="D39" s="30">
        <f t="shared" si="8"/>
        <v>2983200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4.25" customHeight="1">
      <c r="A40" s="21"/>
      <c r="B40" s="21"/>
      <c r="C40" s="21"/>
      <c r="D40" s="2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26.25" customHeight="1">
      <c r="A41" s="4" t="s">
        <v>31</v>
      </c>
      <c r="B41" s="19">
        <v>2017</v>
      </c>
      <c r="C41" s="19">
        <v>2018</v>
      </c>
      <c r="D41" s="19">
        <v>2019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4.25" customHeight="1">
      <c r="A42" s="20"/>
      <c r="B42" s="21"/>
      <c r="C42" s="21"/>
      <c r="D42" s="21"/>
      <c r="E42" s="2"/>
      <c r="F42" s="2"/>
      <c r="G42" s="18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4.25" customHeight="1">
      <c r="A43" s="20" t="s">
        <v>32</v>
      </c>
      <c r="B43" s="27">
        <v>1840000</v>
      </c>
      <c r="C43" s="22">
        <v>2550000</v>
      </c>
      <c r="D43" s="22">
        <v>2950000</v>
      </c>
      <c r="E43" s="2"/>
      <c r="F43" s="2"/>
      <c r="G43" s="18"/>
      <c r="H43" s="32"/>
      <c r="I43" s="32"/>
      <c r="J43" s="3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4.25" customHeight="1">
      <c r="A44" s="20" t="s">
        <v>33</v>
      </c>
      <c r="B44" s="33">
        <f>-1740000</f>
        <v>-1740000</v>
      </c>
      <c r="C44" s="33">
        <f>-2060000</f>
        <v>-2060000</v>
      </c>
      <c r="D44" s="33">
        <f>-2300000</f>
        <v>-2300000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4.25" customHeight="1">
      <c r="A45" s="23" t="s">
        <v>34</v>
      </c>
      <c r="B45" s="34">
        <v>100000</v>
      </c>
      <c r="C45" s="35">
        <v>490000</v>
      </c>
      <c r="D45" s="34">
        <v>650000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4.25" customHeight="1">
      <c r="A46" s="20" t="s">
        <v>35</v>
      </c>
      <c r="B46" s="36">
        <f>-50000</f>
        <v>-50000</v>
      </c>
      <c r="C46" s="36">
        <f>-145000</f>
        <v>-145000</v>
      </c>
      <c r="D46" s="36">
        <f>-190000</f>
        <v>-190000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4.25" customHeight="1">
      <c r="A47" s="20" t="s">
        <v>36</v>
      </c>
      <c r="B47" s="36">
        <f>-100000</f>
        <v>-100000</v>
      </c>
      <c r="C47" s="36">
        <f>-120000</f>
        <v>-120000</v>
      </c>
      <c r="D47" s="36">
        <f>-150000</f>
        <v>-150000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4.25" customHeight="1">
      <c r="A48" s="23" t="s">
        <v>37</v>
      </c>
      <c r="B48" s="34">
        <v>-50000</v>
      </c>
      <c r="C48" s="34">
        <v>225000</v>
      </c>
      <c r="D48" s="34">
        <v>310000</v>
      </c>
      <c r="E48" s="2"/>
      <c r="F48" s="2"/>
      <c r="G48" s="18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4.25" customHeight="1">
      <c r="A49" s="20" t="s">
        <v>38</v>
      </c>
      <c r="B49" s="33">
        <f>-136000</f>
        <v>-136000</v>
      </c>
      <c r="C49" s="33">
        <f>-205000</f>
        <v>-205000</v>
      </c>
      <c r="D49" s="33">
        <f>-195000</f>
        <v>-195000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4.25" customHeight="1">
      <c r="A50" s="20" t="s">
        <v>39</v>
      </c>
      <c r="B50" s="37">
        <v>470000</v>
      </c>
      <c r="C50" s="37">
        <v>300000</v>
      </c>
      <c r="D50" s="37">
        <v>320000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4.25" customHeight="1">
      <c r="A51" s="20" t="s">
        <v>40</v>
      </c>
      <c r="B51" s="36">
        <f>-300000</f>
        <v>-300000</v>
      </c>
      <c r="C51" s="36">
        <f>-295000</f>
        <v>-295000</v>
      </c>
      <c r="D51" s="36">
        <f>-310000</f>
        <v>-310000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4.25" customHeight="1">
      <c r="A52" s="23" t="s">
        <v>41</v>
      </c>
      <c r="B52" s="24">
        <v>-16000</v>
      </c>
      <c r="C52" s="24">
        <v>25000</v>
      </c>
      <c r="D52" s="24">
        <v>125000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4.25" customHeight="1">
      <c r="A53" s="20" t="s">
        <v>42</v>
      </c>
      <c r="B53" s="22">
        <v>0</v>
      </c>
      <c r="C53" s="22">
        <v>0</v>
      </c>
      <c r="D53" s="22">
        <v>8200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4.25" customHeight="1">
      <c r="A54" s="23" t="s">
        <v>43</v>
      </c>
      <c r="B54" s="24">
        <v>-16000</v>
      </c>
      <c r="C54" s="24">
        <v>25000</v>
      </c>
      <c r="D54" s="24">
        <v>116800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4.25" customHeight="1">
      <c r="A55" s="20" t="s">
        <v>44</v>
      </c>
      <c r="B55" s="22">
        <v>250000</v>
      </c>
      <c r="C55" s="22">
        <v>300000</v>
      </c>
      <c r="D55" s="22">
        <v>310000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4.25" customHeight="1">
      <c r="A56" s="20" t="s">
        <v>45</v>
      </c>
      <c r="B56" s="28">
        <f>B43+B44+B46+B47</f>
        <v>-50000</v>
      </c>
      <c r="C56" s="28">
        <f t="shared" ref="C56:D56" si="9">C43+C44+C46+C47</f>
        <v>225000</v>
      </c>
      <c r="D56" s="28">
        <f t="shared" si="9"/>
        <v>310000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spans="1:24" ht="14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1:24" ht="14.2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spans="1:24" ht="14.2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 spans="1:24" ht="14.2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 spans="1:24" ht="14.2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 spans="1:24" ht="14.2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</sheetData>
  <mergeCells count="3">
    <mergeCell ref="A2:I2"/>
    <mergeCell ref="A4:I4"/>
    <mergeCell ref="A5:I8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Ria-Notebook</dc:creator>
  <cp:lastModifiedBy>ПК</cp:lastModifiedBy>
  <dcterms:created xsi:type="dcterms:W3CDTF">2020-06-24T10:57:20Z</dcterms:created>
  <dcterms:modified xsi:type="dcterms:W3CDTF">2024-07-24T15:56:24Z</dcterms:modified>
</cp:coreProperties>
</file>