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" sheetId="1" r:id="rId4"/>
    <sheet state="visible" name="Sheet1" sheetId="2" r:id="rId5"/>
    <sheet state="visible" name="Sheet1 (2)" sheetId="3" r:id="rId6"/>
  </sheets>
  <definedNames/>
  <calcPr/>
  <extLst>
    <ext uri="GoogleSheetsCustomDataVersion2">
      <go:sheetsCustomData xmlns:go="http://customooxmlschemas.google.com/" r:id="rId7" roundtripDataChecksum="Z3xi6G1BNgeSwbgbfDU4Hn2WKVhro2ChGy2Be3b4kcw="/>
    </ext>
  </extLst>
</workbook>
</file>

<file path=xl/sharedStrings.xml><?xml version="1.0" encoding="utf-8"?>
<sst xmlns="http://schemas.openxmlformats.org/spreadsheetml/2006/main" count="182" uniqueCount="70">
  <si>
    <t>БАЛАНС</t>
  </si>
  <si>
    <t>Земельные участки</t>
  </si>
  <si>
    <t>Здания и сооружения</t>
  </si>
  <si>
    <t>Оборудование и прочие активы</t>
  </si>
  <si>
    <t>Прочие внеоборотные активы</t>
  </si>
  <si>
    <t>Суммарные внеоборотные активы</t>
  </si>
  <si>
    <t>Запасы материалов и комплектующих</t>
  </si>
  <si>
    <t>Готовая продукция на складе</t>
  </si>
  <si>
    <t>НДС на приобретенные товары</t>
  </si>
  <si>
    <t>Дебиторская задолженность</t>
  </si>
  <si>
    <t>Авансы уплаченные поставщикам</t>
  </si>
  <si>
    <t>Краткосрочные финансовые вложения</t>
  </si>
  <si>
    <t>Денежные средства</t>
  </si>
  <si>
    <t>Прочие оборотные активы</t>
  </si>
  <si>
    <t>Суммарные оборотные активы</t>
  </si>
  <si>
    <t>ИТОГО АКТИВОВ</t>
  </si>
  <si>
    <t>Акционерный капитал</t>
  </si>
  <si>
    <t>Нераспределенная прибыль</t>
  </si>
  <si>
    <t>Прочий собственный капитал</t>
  </si>
  <si>
    <t>Суммарный собственный капитал</t>
  </si>
  <si>
    <t>Долгосрочные кредиты</t>
  </si>
  <si>
    <t>Прочие долгосрочные обязательства</t>
  </si>
  <si>
    <t>Суммарные долгосрочные обязательства</t>
  </si>
  <si>
    <t>Краткосрочные кредиты</t>
  </si>
  <si>
    <t>Кредиторская задолженность</t>
  </si>
  <si>
    <t>Суммарные краткосрочные обязательства</t>
  </si>
  <si>
    <t>ИТОГО ПАССИВОВ</t>
  </si>
  <si>
    <t>ОТЧЕТ О ПРИБЫЛЯХ И УБЫТКАХ</t>
  </si>
  <si>
    <t>Выручка</t>
  </si>
  <si>
    <t>Рентабельність по чистому прибутку</t>
  </si>
  <si>
    <t>Себестоимость:</t>
  </si>
  <si>
    <t>Рентабельність по EBITDA</t>
  </si>
  <si>
    <t>сырье и материалы</t>
  </si>
  <si>
    <t>Рентабельність ативів</t>
  </si>
  <si>
    <t>производственный персонал</t>
  </si>
  <si>
    <t>Рентабельність власного капіталу</t>
  </si>
  <si>
    <t>производственные расходы</t>
  </si>
  <si>
    <t>Валовая прибыль</t>
  </si>
  <si>
    <t>Административный и коммерческий персонал</t>
  </si>
  <si>
    <t>Коммерческие расходы</t>
  </si>
  <si>
    <t>Управленческие расходы</t>
  </si>
  <si>
    <t>EBITDA</t>
  </si>
  <si>
    <t>Амортизация</t>
  </si>
  <si>
    <t>Проценты к уплате</t>
  </si>
  <si>
    <t>Прибыль (убыток) от операционной деятельности</t>
  </si>
  <si>
    <t>Прочие доходы</t>
  </si>
  <si>
    <t>Прочие расходы</t>
  </si>
  <si>
    <t>Прибыль до налогообложения</t>
  </si>
  <si>
    <t>Налог на прибыль</t>
  </si>
  <si>
    <t>Чистая прибыль (убыток)</t>
  </si>
  <si>
    <t>Урок 4</t>
  </si>
  <si>
    <t>Оборач. дебиторской задолженности</t>
  </si>
  <si>
    <t>Оборач. запасов</t>
  </si>
  <si>
    <t>Оборач. кредиторской задолженности</t>
  </si>
  <si>
    <t>Оборачиваемость постоянных активов</t>
  </si>
  <si>
    <t>Урок 3</t>
  </si>
  <si>
    <t>Чистый оборотный капитал</t>
  </si>
  <si>
    <t>Текущая ликвидность</t>
  </si>
  <si>
    <t>Быстрая ликвидность</t>
  </si>
  <si>
    <t>Урок 5</t>
  </si>
  <si>
    <t>Финансовый рычаг</t>
  </si>
  <si>
    <t>Коэффициент автономии</t>
  </si>
  <si>
    <t>Суммарный долг</t>
  </si>
  <si>
    <t>TD / EBITDA</t>
  </si>
  <si>
    <t>Урок 2</t>
  </si>
  <si>
    <t>Рентабельность продаж</t>
  </si>
  <si>
    <t>Рентабельность по EBITDA</t>
  </si>
  <si>
    <t>Рентабельность активов</t>
  </si>
  <si>
    <t>Рентабельность собственного капитала</t>
  </si>
  <si>
    <t>Операционный рычаг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</si>
</sst>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%"/>
    <numFmt numFmtId="165" formatCode="0.0"/>
  </numFmts>
  <fonts count="9">
    <font>
      <sz val="11.0"/>
      <color theme="1"/>
      <name val="Calibri"/>
      <scheme val="minor"/>
    </font>
    <font>
      <sz val="9.0"/>
      <color rgb="FF7F7F7F"/>
      <name val="Calibri"/>
    </font>
    <font>
      <sz val="9.0"/>
      <color theme="1"/>
      <name val="Calibri"/>
    </font>
    <font>
      <sz val="10.0"/>
      <color theme="1"/>
      <name val="Calibri"/>
    </font>
    <font>
      <b/>
      <sz val="11.0"/>
      <color theme="1"/>
      <name val="Calibri"/>
    </font>
    <font>
      <sz val="11.0"/>
      <color theme="1"/>
      <name val="Calibri"/>
    </font>
    <font>
      <b/>
      <sz val="10.0"/>
      <color theme="1"/>
      <name val="Calibri"/>
    </font>
    <font>
      <color theme="1"/>
      <name val="Calibri"/>
      <scheme val="minor"/>
    </font>
    <font>
      <sz val="11.0"/>
      <color rgb="FFBFBFBF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F2F2F2"/>
        <bgColor rgb="FFF2F2F2"/>
      </patternFill>
    </fill>
    <fill>
      <patternFill patternType="solid">
        <fgColor rgb="FFD8E4BC"/>
        <bgColor rgb="FFD8E4BC"/>
      </patternFill>
    </fill>
    <fill>
      <patternFill patternType="solid">
        <fgColor rgb="FFFFFF00"/>
        <bgColor rgb="FFFFFF00"/>
      </patternFill>
    </fill>
  </fills>
  <borders count="6">
    <border/>
    <border>
      <left/>
      <right/>
      <top/>
      <bottom/>
    </border>
    <border>
      <left/>
      <right/>
      <top style="thin">
        <color rgb="FF000000"/>
      </top>
      <bottom style="double">
        <color rgb="FF000000"/>
      </bottom>
    </border>
    <border>
      <bottom style="dotted">
        <color rgb="FF000000"/>
      </bottom>
    </border>
    <border>
      <bottom style="thin">
        <color rgb="FF000000"/>
      </bottom>
    </border>
    <border>
      <left/>
      <right/>
      <top/>
      <bottom style="dotted">
        <color rgb="FF000000"/>
      </bottom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0" fillId="0" fontId="2" numFmtId="0" xfId="0" applyFont="1"/>
    <xf borderId="2" fillId="3" fontId="3" numFmtId="0" xfId="0" applyAlignment="1" applyBorder="1" applyFill="1" applyFont="1">
      <alignment horizontal="left" vertical="center"/>
    </xf>
    <xf borderId="2" fillId="3" fontId="3" numFmtId="0" xfId="0" applyAlignment="1" applyBorder="1" applyFont="1">
      <alignment horizontal="right" vertical="center"/>
    </xf>
    <xf borderId="0" fillId="0" fontId="3" numFmtId="0" xfId="0" applyAlignment="1" applyFont="1">
      <alignment horizontal="left"/>
    </xf>
    <xf borderId="0" fillId="0" fontId="3" numFmtId="0" xfId="0" applyFont="1"/>
    <xf borderId="0" fillId="0" fontId="4" numFmtId="0" xfId="0" applyFont="1"/>
    <xf borderId="0" fillId="0" fontId="3" numFmtId="3" xfId="0" applyAlignment="1" applyFont="1" applyNumberFormat="1">
      <alignment horizontal="right"/>
    </xf>
    <xf borderId="0" fillId="0" fontId="5" numFmtId="4" xfId="0" applyFont="1" applyNumberFormat="1"/>
    <xf borderId="3" fillId="0" fontId="6" numFmtId="0" xfId="0" applyAlignment="1" applyBorder="1" applyFont="1">
      <alignment horizontal="left"/>
    </xf>
    <xf borderId="3" fillId="0" fontId="6" numFmtId="3" xfId="0" applyBorder="1" applyFont="1" applyNumberFormat="1"/>
    <xf borderId="0" fillId="0" fontId="6" numFmtId="0" xfId="0" applyAlignment="1" applyFont="1">
      <alignment horizontal="left"/>
    </xf>
    <xf borderId="0" fillId="0" fontId="6" numFmtId="3" xfId="0" applyFont="1" applyNumberFormat="1"/>
    <xf borderId="0" fillId="0" fontId="5" numFmtId="3" xfId="0" applyFont="1" applyNumberFormat="1"/>
    <xf borderId="0" fillId="0" fontId="3" numFmtId="3" xfId="0" applyFont="1" applyNumberFormat="1"/>
    <xf borderId="4" fillId="0" fontId="6" numFmtId="0" xfId="0" applyAlignment="1" applyBorder="1" applyFont="1">
      <alignment horizontal="left"/>
    </xf>
    <xf borderId="4" fillId="0" fontId="6" numFmtId="3" xfId="0" applyBorder="1" applyFont="1" applyNumberFormat="1"/>
    <xf borderId="0" fillId="0" fontId="5" numFmtId="2" xfId="0" applyFont="1" applyNumberFormat="1"/>
    <xf borderId="0" fillId="0" fontId="5" numFmtId="164" xfId="0" applyFont="1" applyNumberFormat="1"/>
    <xf borderId="0" fillId="0" fontId="7" numFmtId="0" xfId="0" applyAlignment="1" applyFont="1">
      <alignment readingOrder="0"/>
    </xf>
    <xf borderId="0" fillId="0" fontId="7" numFmtId="0" xfId="0" applyFont="1"/>
    <xf borderId="0" fillId="0" fontId="5" numFmtId="2" xfId="0" applyAlignment="1" applyFont="1" applyNumberFormat="1">
      <alignment horizontal="center" vertical="center"/>
    </xf>
    <xf borderId="0" fillId="0" fontId="5" numFmtId="0" xfId="0" applyAlignment="1" applyFont="1">
      <alignment horizontal="center" vertical="center"/>
    </xf>
    <xf borderId="0" fillId="0" fontId="5" numFmtId="3" xfId="0" applyAlignment="1" applyFont="1" applyNumberFormat="1">
      <alignment horizontal="center"/>
    </xf>
    <xf borderId="0" fillId="0" fontId="5" numFmtId="2" xfId="0" applyAlignment="1" applyFont="1" applyNumberFormat="1">
      <alignment horizont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/>
    </xf>
    <xf borderId="0" fillId="0" fontId="5" numFmtId="10" xfId="0" applyAlignment="1" applyFont="1" applyNumberFormat="1">
      <alignment horizontal="center"/>
    </xf>
    <xf borderId="0" fillId="0" fontId="5" numFmtId="164" xfId="0" applyAlignment="1" applyFont="1" applyNumberFormat="1">
      <alignment horizontal="center"/>
    </xf>
    <xf borderId="0" fillId="0" fontId="8" numFmtId="164" xfId="0" applyAlignment="1" applyFont="1" applyNumberFormat="1">
      <alignment horizontal="center"/>
    </xf>
    <xf borderId="5" fillId="4" fontId="6" numFmtId="3" xfId="0" applyBorder="1" applyFill="1" applyFont="1" applyNumberFormat="1"/>
    <xf borderId="1" fillId="4" fontId="3" numFmtId="3" xfId="0" applyAlignment="1" applyBorder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57"/>
    <col customWidth="1" min="2" max="4" width="12.57"/>
    <col customWidth="1" min="5" max="5" width="2.43"/>
    <col customWidth="1" min="6" max="6" width="34.57"/>
    <col customWidth="1" min="7" max="9" width="12.57"/>
    <col customWidth="1" min="10" max="26" width="8.71"/>
  </cols>
  <sheetData>
    <row r="1">
      <c r="A1" s="1"/>
      <c r="B1" s="1">
        <v>2017.0</v>
      </c>
      <c r="C1" s="1">
        <v>2018.0</v>
      </c>
      <c r="D1" s="1">
        <v>2019.0</v>
      </c>
      <c r="E1" s="1"/>
      <c r="F1" s="1"/>
      <c r="G1" s="1"/>
      <c r="H1" s="1"/>
      <c r="I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3" ht="26.25" customHeight="1">
      <c r="A3" s="3" t="s">
        <v>0</v>
      </c>
      <c r="B3" s="4">
        <v>2017.0</v>
      </c>
      <c r="C3" s="4">
        <v>2018.0</v>
      </c>
      <c r="D3" s="4">
        <v>2019.0</v>
      </c>
    </row>
    <row r="4">
      <c r="A4" s="5"/>
      <c r="B4" s="6"/>
      <c r="C4" s="6"/>
      <c r="D4" s="6"/>
      <c r="F4" s="7"/>
    </row>
    <row r="5">
      <c r="A5" s="5" t="s">
        <v>1</v>
      </c>
      <c r="B5" s="8">
        <v>16139.0</v>
      </c>
      <c r="C5" s="8">
        <v>16139.0</v>
      </c>
      <c r="D5" s="8">
        <v>0.0</v>
      </c>
      <c r="G5" s="9"/>
      <c r="H5" s="9"/>
      <c r="I5" s="9"/>
    </row>
    <row r="6">
      <c r="A6" s="5" t="s">
        <v>2</v>
      </c>
      <c r="B6" s="8">
        <v>151163.0</v>
      </c>
      <c r="C6" s="8">
        <v>179540.0</v>
      </c>
      <c r="D6" s="8">
        <v>188542.0</v>
      </c>
      <c r="G6" s="9"/>
      <c r="H6" s="9"/>
      <c r="I6" s="9"/>
    </row>
    <row r="7">
      <c r="A7" s="5" t="s">
        <v>3</v>
      </c>
      <c r="B7" s="8">
        <v>71980.0</v>
      </c>
      <c r="C7" s="8">
        <v>148620.0</v>
      </c>
      <c r="D7" s="8">
        <v>167750.0</v>
      </c>
      <c r="G7" s="9"/>
      <c r="H7" s="9"/>
      <c r="I7" s="9"/>
    </row>
    <row r="8">
      <c r="A8" s="5" t="s">
        <v>4</v>
      </c>
      <c r="B8" s="8">
        <v>4767.0</v>
      </c>
      <c r="C8" s="8">
        <v>5470.0</v>
      </c>
      <c r="D8" s="8">
        <v>15615.0</v>
      </c>
      <c r="G8" s="9"/>
      <c r="H8" s="9"/>
      <c r="I8" s="9"/>
    </row>
    <row r="9">
      <c r="A9" s="10" t="s">
        <v>5</v>
      </c>
      <c r="B9" s="11">
        <f t="shared" ref="B9:D9" si="1">SUM(B5:B8)</f>
        <v>244049</v>
      </c>
      <c r="C9" s="11">
        <f t="shared" si="1"/>
        <v>349769</v>
      </c>
      <c r="D9" s="11">
        <f t="shared" si="1"/>
        <v>371907</v>
      </c>
    </row>
    <row r="10">
      <c r="A10" s="12"/>
      <c r="B10" s="13"/>
      <c r="C10" s="13"/>
      <c r="D10" s="13"/>
    </row>
    <row r="11">
      <c r="A11" s="5" t="s">
        <v>6</v>
      </c>
      <c r="B11" s="8">
        <v>58217.0</v>
      </c>
      <c r="C11" s="8">
        <v>35470.0</v>
      </c>
      <c r="D11" s="8">
        <v>26951.0</v>
      </c>
    </row>
    <row r="12">
      <c r="A12" s="5" t="s">
        <v>7</v>
      </c>
      <c r="B12" s="8">
        <v>7578.0</v>
      </c>
      <c r="C12" s="8">
        <v>3950.0</v>
      </c>
      <c r="D12" s="8">
        <v>2419.0</v>
      </c>
    </row>
    <row r="13">
      <c r="A13" s="5" t="s">
        <v>8</v>
      </c>
      <c r="B13" s="8">
        <v>406.0</v>
      </c>
      <c r="C13" s="8">
        <v>320.0</v>
      </c>
      <c r="D13" s="8">
        <v>109.0</v>
      </c>
    </row>
    <row r="14">
      <c r="A14" s="5" t="s">
        <v>9</v>
      </c>
      <c r="B14" s="8">
        <v>132266.0</v>
      </c>
      <c r="C14" s="8">
        <v>57801.0</v>
      </c>
      <c r="D14" s="8">
        <v>4047.0</v>
      </c>
    </row>
    <row r="15">
      <c r="A15" s="5" t="s">
        <v>10</v>
      </c>
      <c r="B15" s="8">
        <v>52829.0</v>
      </c>
      <c r="C15" s="8">
        <v>25780.0</v>
      </c>
      <c r="D15" s="8">
        <v>4990.0</v>
      </c>
    </row>
    <row r="16">
      <c r="A16" s="5" t="s">
        <v>11</v>
      </c>
      <c r="B16" s="8">
        <v>4364.0</v>
      </c>
      <c r="C16" s="8">
        <v>2420.0</v>
      </c>
      <c r="D16" s="8">
        <v>1667.0</v>
      </c>
    </row>
    <row r="17">
      <c r="A17" s="5" t="s">
        <v>12</v>
      </c>
      <c r="B17" s="8">
        <v>341.0</v>
      </c>
      <c r="C17" s="8">
        <v>354.0</v>
      </c>
      <c r="D17" s="8">
        <v>203.0</v>
      </c>
    </row>
    <row r="18">
      <c r="A18" s="5" t="s">
        <v>13</v>
      </c>
      <c r="B18" s="8">
        <v>1565.0</v>
      </c>
      <c r="C18" s="8">
        <v>950.0</v>
      </c>
      <c r="D18" s="8">
        <v>1232.0</v>
      </c>
      <c r="F18" s="7"/>
    </row>
    <row r="19">
      <c r="A19" s="10" t="s">
        <v>14</v>
      </c>
      <c r="B19" s="11">
        <f t="shared" ref="B19:D19" si="2">sum(B11:B18)</f>
        <v>257566</v>
      </c>
      <c r="C19" s="11">
        <f t="shared" si="2"/>
        <v>127045</v>
      </c>
      <c r="D19" s="11">
        <f t="shared" si="2"/>
        <v>41618</v>
      </c>
      <c r="G19" s="14"/>
      <c r="H19" s="14"/>
      <c r="I19" s="14"/>
    </row>
    <row r="20">
      <c r="A20" s="5"/>
      <c r="B20" s="15"/>
      <c r="C20" s="15"/>
      <c r="D20" s="15"/>
      <c r="G20" s="9"/>
      <c r="H20" s="9"/>
      <c r="I20" s="9"/>
    </row>
    <row r="21" ht="15.75" customHeight="1">
      <c r="A21" s="16" t="s">
        <v>15</v>
      </c>
      <c r="B21" s="17">
        <f t="shared" ref="B21:D21" si="3">B19+B9</f>
        <v>501615</v>
      </c>
      <c r="C21" s="17">
        <f t="shared" si="3"/>
        <v>476814</v>
      </c>
      <c r="D21" s="17">
        <f t="shared" si="3"/>
        <v>413525</v>
      </c>
      <c r="G21" s="9"/>
      <c r="H21" s="9"/>
      <c r="I21" s="9"/>
    </row>
    <row r="22" ht="15.75" customHeight="1">
      <c r="A22" s="5"/>
      <c r="B22" s="15"/>
      <c r="C22" s="15"/>
      <c r="D22" s="15"/>
    </row>
    <row r="23" ht="15.75" customHeight="1">
      <c r="A23" s="5" t="s">
        <v>16</v>
      </c>
      <c r="B23" s="8">
        <v>237.0</v>
      </c>
      <c r="C23" s="8">
        <v>237.0</v>
      </c>
      <c r="D23" s="8">
        <v>237.0</v>
      </c>
    </row>
    <row r="24" ht="15.75" customHeight="1">
      <c r="A24" s="5" t="s">
        <v>17</v>
      </c>
      <c r="B24" s="8">
        <v>-34962.0</v>
      </c>
      <c r="C24" s="8">
        <v>-83353.0</v>
      </c>
      <c r="D24" s="8">
        <v>-96114.0</v>
      </c>
    </row>
    <row r="25" ht="15.75" customHeight="1">
      <c r="A25" s="5" t="s">
        <v>18</v>
      </c>
      <c r="B25" s="8">
        <v>65097.0</v>
      </c>
      <c r="C25" s="8">
        <v>87320.0</v>
      </c>
      <c r="D25" s="8">
        <v>95939.0</v>
      </c>
    </row>
    <row r="26" ht="15.75" customHeight="1">
      <c r="A26" s="10" t="s">
        <v>19</v>
      </c>
      <c r="B26" s="11">
        <f t="shared" ref="B26:D26" si="4">sum(B23:B25)</f>
        <v>30372</v>
      </c>
      <c r="C26" s="11">
        <f t="shared" si="4"/>
        <v>4204</v>
      </c>
      <c r="D26" s="11">
        <f t="shared" si="4"/>
        <v>62</v>
      </c>
    </row>
    <row r="27" ht="15.75" customHeight="1">
      <c r="A27" s="12"/>
      <c r="B27" s="13"/>
      <c r="C27" s="13"/>
      <c r="D27" s="13"/>
      <c r="F27" s="7"/>
    </row>
    <row r="28" ht="15.75" customHeight="1">
      <c r="A28" s="5" t="s">
        <v>20</v>
      </c>
      <c r="B28" s="8">
        <v>289188.0</v>
      </c>
      <c r="C28" s="8">
        <v>256840.0</v>
      </c>
      <c r="D28" s="8">
        <v>178058.0</v>
      </c>
      <c r="G28" s="18"/>
      <c r="H28" s="18"/>
      <c r="I28" s="18"/>
    </row>
    <row r="29" ht="15.75" customHeight="1">
      <c r="A29" s="5" t="s">
        <v>21</v>
      </c>
      <c r="B29" s="8">
        <v>2405.0</v>
      </c>
      <c r="C29" s="8">
        <v>1540.0</v>
      </c>
      <c r="D29" s="8">
        <v>1993.0</v>
      </c>
      <c r="G29" s="19"/>
      <c r="H29" s="19"/>
      <c r="I29" s="19"/>
    </row>
    <row r="30" ht="15.75" customHeight="1">
      <c r="A30" s="10" t="s">
        <v>22</v>
      </c>
      <c r="B30" s="11">
        <f t="shared" ref="B30:D30" si="5">sum(B28:B29)</f>
        <v>291593</v>
      </c>
      <c r="C30" s="11">
        <f t="shared" si="5"/>
        <v>258380</v>
      </c>
      <c r="D30" s="11">
        <f t="shared" si="5"/>
        <v>180051</v>
      </c>
      <c r="G30" s="14"/>
      <c r="H30" s="14"/>
      <c r="I30" s="14"/>
    </row>
    <row r="31" ht="15.75" customHeight="1">
      <c r="A31" s="12"/>
      <c r="B31" s="13"/>
      <c r="C31" s="13"/>
      <c r="D31" s="13"/>
      <c r="G31" s="9"/>
      <c r="H31" s="9"/>
      <c r="I31" s="9"/>
    </row>
    <row r="32" ht="15.75" customHeight="1">
      <c r="A32" s="5" t="s">
        <v>23</v>
      </c>
      <c r="B32" s="8">
        <v>72122.0</v>
      </c>
      <c r="C32" s="8">
        <v>98750.0</v>
      </c>
      <c r="D32" s="8">
        <v>106743.0</v>
      </c>
    </row>
    <row r="33" ht="15.75" customHeight="1">
      <c r="A33" s="5" t="s">
        <v>24</v>
      </c>
      <c r="B33" s="8">
        <v>107528.0</v>
      </c>
      <c r="C33" s="8">
        <v>115480.0</v>
      </c>
      <c r="D33" s="8">
        <v>126576.0</v>
      </c>
    </row>
    <row r="34" ht="15.75" customHeight="1">
      <c r="A34" s="10" t="s">
        <v>25</v>
      </c>
      <c r="B34" s="11">
        <f t="shared" ref="B34:D34" si="6">sum(B32:B33)</f>
        <v>179650</v>
      </c>
      <c r="C34" s="11">
        <f t="shared" si="6"/>
        <v>214230</v>
      </c>
      <c r="D34" s="11">
        <f t="shared" si="6"/>
        <v>233319</v>
      </c>
    </row>
    <row r="35" ht="15.75" customHeight="1">
      <c r="A35" s="5"/>
      <c r="B35" s="15"/>
      <c r="C35" s="15"/>
      <c r="D35" s="15"/>
    </row>
    <row r="36" ht="15.75" customHeight="1">
      <c r="A36" s="16" t="s">
        <v>26</v>
      </c>
      <c r="B36" s="17">
        <f t="shared" ref="B36:D36" si="7">B26+B30+B34</f>
        <v>501615</v>
      </c>
      <c r="C36" s="17">
        <f t="shared" si="7"/>
        <v>476814</v>
      </c>
      <c r="D36" s="17">
        <f t="shared" si="7"/>
        <v>413432</v>
      </c>
    </row>
    <row r="37" ht="15.75" customHeight="1">
      <c r="A37" s="6"/>
      <c r="B37" s="6"/>
      <c r="C37" s="6"/>
      <c r="D37" s="6"/>
    </row>
    <row r="38" ht="26.25" customHeight="1">
      <c r="A38" s="3" t="s">
        <v>27</v>
      </c>
      <c r="B38" s="4">
        <v>2017.0</v>
      </c>
      <c r="C38" s="4">
        <v>2018.0</v>
      </c>
      <c r="D38" s="4">
        <v>2019.0</v>
      </c>
    </row>
    <row r="39" ht="15.75" customHeight="1">
      <c r="A39" s="5"/>
      <c r="B39" s="6"/>
      <c r="C39" s="6"/>
      <c r="D39" s="6"/>
      <c r="F39" s="7"/>
    </row>
    <row r="40" ht="15.75" customHeight="1">
      <c r="A40" s="5" t="s">
        <v>28</v>
      </c>
      <c r="B40" s="8">
        <v>854314.0677966102</v>
      </c>
      <c r="C40" s="8">
        <v>754706.779661017</v>
      </c>
      <c r="D40" s="8">
        <v>498799.15254237293</v>
      </c>
      <c r="F40" s="20" t="s">
        <v>29</v>
      </c>
      <c r="G40" s="19">
        <f t="shared" ref="G40:I40" si="8">B60/B40</f>
        <v>-0.04930146159</v>
      </c>
      <c r="H40" s="19">
        <f t="shared" si="8"/>
        <v>-0.02466550035</v>
      </c>
      <c r="I40" s="19">
        <f t="shared" si="8"/>
        <v>0.006207212916</v>
      </c>
    </row>
    <row r="41" ht="15.75" customHeight="1">
      <c r="A41" s="5" t="s">
        <v>30</v>
      </c>
      <c r="B41" s="15">
        <v>-691058.0</v>
      </c>
      <c r="C41" s="15">
        <v>-565912.0</v>
      </c>
      <c r="D41" s="15">
        <v>-351394.0</v>
      </c>
      <c r="F41" s="20" t="s">
        <v>31</v>
      </c>
      <c r="G41" s="19">
        <f t="shared" ref="G41:I41" si="9">B50/B40</f>
        <v>-0.05223715011</v>
      </c>
      <c r="H41" s="19">
        <f t="shared" si="9"/>
        <v>0.03907846127</v>
      </c>
      <c r="I41" s="19">
        <f t="shared" si="9"/>
        <v>0.1031901363</v>
      </c>
    </row>
    <row r="42" ht="15.75" customHeight="1">
      <c r="A42" s="5" t="s">
        <v>32</v>
      </c>
      <c r="B42" s="8">
        <v>-404523.45</v>
      </c>
      <c r="C42" s="8">
        <v>-340850.58</v>
      </c>
      <c r="D42" s="8">
        <v>-204735.0</v>
      </c>
      <c r="F42" s="20" t="s">
        <v>33</v>
      </c>
      <c r="G42" s="19">
        <f t="shared" ref="G42:I42" si="10">B60/B21</f>
        <v>-0.08396665212</v>
      </c>
      <c r="H42" s="19">
        <f t="shared" si="10"/>
        <v>-0.03904084263</v>
      </c>
      <c r="I42" s="19">
        <f t="shared" si="10"/>
        <v>0.007487219739</v>
      </c>
    </row>
    <row r="43" ht="15.75" customHeight="1">
      <c r="A43" s="5" t="s">
        <v>34</v>
      </c>
      <c r="B43" s="8">
        <v>-180532.55</v>
      </c>
      <c r="C43" s="8">
        <v>-142094.42</v>
      </c>
      <c r="D43" s="8">
        <v>-85357.0</v>
      </c>
      <c r="F43" s="20" t="s">
        <v>35</v>
      </c>
      <c r="G43" s="19">
        <f t="shared" ref="G43:I43" si="11">B60/B26</f>
        <v>-1.386768478</v>
      </c>
      <c r="H43" s="19">
        <f t="shared" si="11"/>
        <v>-4.427978197</v>
      </c>
      <c r="I43" s="19">
        <f t="shared" si="11"/>
        <v>49.93794423</v>
      </c>
    </row>
    <row r="44" ht="15.75" customHeight="1">
      <c r="A44" s="5" t="s">
        <v>36</v>
      </c>
      <c r="B44" s="8">
        <v>-106002.0</v>
      </c>
      <c r="C44" s="8">
        <v>-82967.0</v>
      </c>
      <c r="D44" s="8">
        <v>-61302.0</v>
      </c>
      <c r="G44" s="9"/>
      <c r="H44" s="9"/>
      <c r="I44" s="9"/>
    </row>
    <row r="45" ht="15.75" customHeight="1">
      <c r="A45" s="10" t="s">
        <v>37</v>
      </c>
      <c r="B45" s="11">
        <v>163256.06779661018</v>
      </c>
      <c r="C45" s="11">
        <v>188794.779661017</v>
      </c>
      <c r="D45" s="11">
        <v>147405.15254237293</v>
      </c>
    </row>
    <row r="46" ht="15.75" customHeight="1">
      <c r="A46" s="5"/>
      <c r="B46" s="15"/>
      <c r="C46" s="15"/>
      <c r="D46" s="15"/>
    </row>
    <row r="47" ht="15.75" customHeight="1">
      <c r="A47" s="5" t="s">
        <v>38</v>
      </c>
      <c r="B47" s="8">
        <v>-53192.11</v>
      </c>
      <c r="C47" s="8">
        <v>-68217.64</v>
      </c>
      <c r="D47" s="8">
        <v>-46893.0</v>
      </c>
    </row>
    <row r="48" ht="15.75" customHeight="1">
      <c r="A48" s="5" t="s">
        <v>39</v>
      </c>
      <c r="B48" s="8">
        <v>-90016.89</v>
      </c>
      <c r="C48" s="8">
        <v>-59055.36</v>
      </c>
      <c r="D48" s="8">
        <v>-26139.0</v>
      </c>
    </row>
    <row r="49" ht="15.75" customHeight="1">
      <c r="A49" s="5" t="s">
        <v>40</v>
      </c>
      <c r="B49" s="8">
        <v>-64674.0</v>
      </c>
      <c r="C49" s="8">
        <v>-32029.0</v>
      </c>
      <c r="D49" s="8">
        <v>-22902.0</v>
      </c>
    </row>
    <row r="50" ht="15.75" customHeight="1">
      <c r="A50" s="10" t="s">
        <v>41</v>
      </c>
      <c r="B50" s="11">
        <v>-44626.93220338982</v>
      </c>
      <c r="C50" s="11">
        <v>29492.779661017004</v>
      </c>
      <c r="D50" s="11">
        <v>51471.15254237293</v>
      </c>
    </row>
    <row r="51" ht="15.75" customHeight="1">
      <c r="A51" s="5"/>
      <c r="B51" s="15"/>
      <c r="C51" s="15"/>
      <c r="D51" s="15"/>
    </row>
    <row r="52" ht="15.75" customHeight="1">
      <c r="A52" s="5" t="s">
        <v>42</v>
      </c>
      <c r="B52" s="8">
        <v>-7540.0</v>
      </c>
      <c r="C52" s="8">
        <v>-13580.0</v>
      </c>
      <c r="D52" s="8">
        <v>-10353.0</v>
      </c>
    </row>
    <row r="53" ht="15.75" customHeight="1">
      <c r="A53" s="5" t="s">
        <v>43</v>
      </c>
      <c r="B53" s="8">
        <v>-32802.0</v>
      </c>
      <c r="C53" s="8">
        <v>-25487.0</v>
      </c>
      <c r="D53" s="8">
        <v>-23145.0</v>
      </c>
    </row>
    <row r="54" ht="15.75" customHeight="1">
      <c r="A54" s="5" t="s">
        <v>44</v>
      </c>
      <c r="B54" s="15">
        <v>-84968.93220338982</v>
      </c>
      <c r="C54" s="15">
        <v>-9574.220338982996</v>
      </c>
      <c r="D54" s="15">
        <v>17973.152542372933</v>
      </c>
    </row>
    <row r="55" ht="15.75" customHeight="1">
      <c r="A55" s="5"/>
      <c r="B55" s="15"/>
      <c r="C55" s="15"/>
      <c r="D55" s="15"/>
    </row>
    <row r="56" ht="15.75" customHeight="1">
      <c r="A56" s="5" t="s">
        <v>45</v>
      </c>
      <c r="B56" s="8">
        <v>131858.0</v>
      </c>
      <c r="C56" s="8">
        <v>34570.0</v>
      </c>
      <c r="D56" s="8">
        <v>20820.0</v>
      </c>
    </row>
    <row r="57" ht="15.75" customHeight="1">
      <c r="A57" s="5" t="s">
        <v>46</v>
      </c>
      <c r="B57" s="8">
        <v>-89000.0</v>
      </c>
      <c r="C57" s="8">
        <v>-43582.0</v>
      </c>
      <c r="D57" s="8">
        <v>-35624.0</v>
      </c>
    </row>
    <row r="58" ht="15.75" customHeight="1">
      <c r="A58" s="5" t="s">
        <v>47</v>
      </c>
      <c r="B58" s="15">
        <v>-42110.93220338982</v>
      </c>
      <c r="C58" s="15">
        <v>-18586.220338982996</v>
      </c>
      <c r="D58" s="15">
        <v>3169.1525423729327</v>
      </c>
    </row>
    <row r="59" ht="15.75" customHeight="1">
      <c r="A59" s="5" t="s">
        <v>48</v>
      </c>
      <c r="B59" s="8">
        <v>-8.0</v>
      </c>
      <c r="C59" s="8">
        <v>-29.0</v>
      </c>
      <c r="D59" s="8">
        <v>-73.0</v>
      </c>
    </row>
    <row r="60" ht="15.75" customHeight="1">
      <c r="A60" s="10" t="s">
        <v>49</v>
      </c>
      <c r="B60" s="11">
        <v>-42118.9322033898</v>
      </c>
      <c r="C60" s="11">
        <v>-18615.220338982996</v>
      </c>
      <c r="D60" s="11">
        <v>3096.1525423729327</v>
      </c>
    </row>
    <row r="61" ht="15.75" customHeight="1">
      <c r="A61" s="5"/>
      <c r="B61" s="15"/>
      <c r="C61" s="15"/>
      <c r="D61" s="15"/>
    </row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57"/>
    <col customWidth="1" min="2" max="4" width="12.57"/>
    <col customWidth="1" min="5" max="5" width="2.43"/>
    <col customWidth="1" min="6" max="6" width="34.57"/>
    <col customWidth="1" min="7" max="9" width="12.57"/>
    <col customWidth="1" min="10" max="26" width="8.71"/>
  </cols>
  <sheetData>
    <row r="1">
      <c r="A1" s="1"/>
      <c r="B1" s="1">
        <v>2017.0</v>
      </c>
      <c r="C1" s="1">
        <v>2018.0</v>
      </c>
      <c r="D1" s="1">
        <v>2019.0</v>
      </c>
      <c r="E1" s="1"/>
      <c r="F1" s="1"/>
      <c r="G1" s="1">
        <v>2017.0</v>
      </c>
      <c r="H1" s="1">
        <v>2018.0</v>
      </c>
      <c r="I1" s="1">
        <v>2019.0</v>
      </c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3" ht="26.25" customHeight="1">
      <c r="A3" s="3" t="s">
        <v>0</v>
      </c>
      <c r="B3" s="4">
        <v>2017.0</v>
      </c>
      <c r="C3" s="4">
        <v>2018.0</v>
      </c>
      <c r="D3" s="4">
        <v>2019.0</v>
      </c>
    </row>
    <row r="4">
      <c r="A4" s="5"/>
      <c r="B4" s="6"/>
      <c r="C4" s="6"/>
      <c r="D4" s="6"/>
      <c r="F4" s="7" t="s">
        <v>50</v>
      </c>
    </row>
    <row r="5">
      <c r="A5" s="5" t="s">
        <v>1</v>
      </c>
      <c r="B5" s="8">
        <v>16139.0</v>
      </c>
      <c r="C5" s="8">
        <v>16139.0</v>
      </c>
      <c r="D5" s="8">
        <v>0.0</v>
      </c>
      <c r="F5" s="21" t="s">
        <v>51</v>
      </c>
      <c r="G5" s="9">
        <f t="shared" ref="G5:I5" si="1">(B14+B15)/B40*365</f>
        <v>79.08060694</v>
      </c>
      <c r="H5" s="9">
        <f t="shared" si="1"/>
        <v>40.42240751</v>
      </c>
      <c r="I5" s="9">
        <f t="shared" si="1"/>
        <v>6.612892149</v>
      </c>
    </row>
    <row r="6">
      <c r="A6" s="5" t="s">
        <v>2</v>
      </c>
      <c r="B6" s="8">
        <v>151163.0</v>
      </c>
      <c r="C6" s="8">
        <v>179540.0</v>
      </c>
      <c r="D6" s="8">
        <v>188542.0</v>
      </c>
      <c r="F6" s="21" t="s">
        <v>52</v>
      </c>
      <c r="G6" s="9">
        <f t="shared" ref="G6:I6" si="2">(B11+B12+B13)/B40*365</f>
        <v>28.28393668</v>
      </c>
      <c r="H6" s="9">
        <f t="shared" si="2"/>
        <v>19.21951729</v>
      </c>
      <c r="I6" s="9">
        <f t="shared" si="2"/>
        <v>21.57147811</v>
      </c>
    </row>
    <row r="7">
      <c r="A7" s="5" t="s">
        <v>3</v>
      </c>
      <c r="B7" s="8">
        <v>71980.0</v>
      </c>
      <c r="C7" s="8">
        <v>148620.0</v>
      </c>
      <c r="D7" s="8">
        <v>167750.0</v>
      </c>
      <c r="F7" s="21" t="s">
        <v>53</v>
      </c>
      <c r="G7" s="9">
        <f t="shared" ref="G7:I7" si="3">B33/B40*365</f>
        <v>45.9406224</v>
      </c>
      <c r="H7" s="9">
        <f t="shared" si="3"/>
        <v>55.84976992</v>
      </c>
      <c r="I7" s="9">
        <f t="shared" si="3"/>
        <v>92.62293202</v>
      </c>
    </row>
    <row r="8">
      <c r="A8" s="5" t="s">
        <v>4</v>
      </c>
      <c r="B8" s="8">
        <v>4767.0</v>
      </c>
      <c r="C8" s="8">
        <v>5470.0</v>
      </c>
      <c r="D8" s="8">
        <v>15615.0</v>
      </c>
      <c r="F8" s="21" t="s">
        <v>54</v>
      </c>
      <c r="G8" s="9">
        <f t="shared" ref="G8:I8" si="4">B40/B9</f>
        <v>3.500584177</v>
      </c>
      <c r="H8" s="9">
        <f t="shared" si="4"/>
        <v>2.157729186</v>
      </c>
      <c r="I8" s="9">
        <f t="shared" si="4"/>
        <v>1.341193235</v>
      </c>
    </row>
    <row r="9">
      <c r="A9" s="10" t="s">
        <v>5</v>
      </c>
      <c r="B9" s="11">
        <v>244049.0</v>
      </c>
      <c r="C9" s="11">
        <v>349769.0</v>
      </c>
      <c r="D9" s="11">
        <v>371907.0</v>
      </c>
    </row>
    <row r="10">
      <c r="A10" s="12"/>
      <c r="B10" s="13"/>
      <c r="C10" s="13"/>
      <c r="D10" s="13"/>
    </row>
    <row r="11">
      <c r="A11" s="5" t="s">
        <v>6</v>
      </c>
      <c r="B11" s="8">
        <v>58217.0</v>
      </c>
      <c r="C11" s="8">
        <v>35470.0</v>
      </c>
      <c r="D11" s="8">
        <v>26951.0</v>
      </c>
    </row>
    <row r="12">
      <c r="A12" s="5" t="s">
        <v>7</v>
      </c>
      <c r="B12" s="8">
        <v>7578.0</v>
      </c>
      <c r="C12" s="8">
        <v>3950.0</v>
      </c>
      <c r="D12" s="8">
        <v>2419.0</v>
      </c>
    </row>
    <row r="13">
      <c r="A13" s="5" t="s">
        <v>8</v>
      </c>
      <c r="B13" s="8">
        <v>406.0</v>
      </c>
      <c r="C13" s="8">
        <v>320.0</v>
      </c>
      <c r="D13" s="8">
        <v>109.0</v>
      </c>
    </row>
    <row r="14">
      <c r="A14" s="5" t="s">
        <v>9</v>
      </c>
      <c r="B14" s="8">
        <v>132266.0</v>
      </c>
      <c r="C14" s="8">
        <v>57801.0</v>
      </c>
      <c r="D14" s="8">
        <v>4047.0</v>
      </c>
    </row>
    <row r="15">
      <c r="A15" s="5" t="s">
        <v>10</v>
      </c>
      <c r="B15" s="8">
        <v>52829.0</v>
      </c>
      <c r="C15" s="8">
        <v>25780.0</v>
      </c>
      <c r="D15" s="8">
        <v>4990.0</v>
      </c>
    </row>
    <row r="16">
      <c r="A16" s="5" t="s">
        <v>11</v>
      </c>
      <c r="B16" s="8">
        <v>4364.0</v>
      </c>
      <c r="C16" s="8">
        <v>2420.0</v>
      </c>
      <c r="D16" s="8">
        <v>1667.0</v>
      </c>
    </row>
    <row r="17">
      <c r="A17" s="5" t="s">
        <v>12</v>
      </c>
      <c r="B17" s="8">
        <v>341.0</v>
      </c>
      <c r="C17" s="8">
        <v>354.0</v>
      </c>
      <c r="D17" s="8">
        <v>203.0</v>
      </c>
    </row>
    <row r="18">
      <c r="A18" s="5" t="s">
        <v>13</v>
      </c>
      <c r="B18" s="8">
        <v>1565.0</v>
      </c>
      <c r="C18" s="8">
        <v>950.0</v>
      </c>
      <c r="D18" s="8">
        <v>1232.0</v>
      </c>
      <c r="F18" s="7" t="s">
        <v>55</v>
      </c>
    </row>
    <row r="19">
      <c r="A19" s="10" t="s">
        <v>14</v>
      </c>
      <c r="B19" s="11">
        <v>257566.0</v>
      </c>
      <c r="C19" s="11">
        <v>127045.0</v>
      </c>
      <c r="D19" s="11">
        <v>41618.0</v>
      </c>
      <c r="F19" s="21" t="s">
        <v>56</v>
      </c>
      <c r="G19" s="14">
        <f t="shared" ref="G19:I19" si="5">B19-B34</f>
        <v>77916</v>
      </c>
      <c r="H19" s="14">
        <f t="shared" si="5"/>
        <v>-87185</v>
      </c>
      <c r="I19" s="14">
        <f t="shared" si="5"/>
        <v>-191794</v>
      </c>
    </row>
    <row r="20">
      <c r="A20" s="5"/>
      <c r="B20" s="15"/>
      <c r="C20" s="15"/>
      <c r="D20" s="15"/>
      <c r="F20" s="21" t="s">
        <v>57</v>
      </c>
      <c r="G20" s="9">
        <f t="shared" ref="G20:I20" si="6">B19/B34</f>
        <v>1.433709992</v>
      </c>
      <c r="H20" s="9">
        <f t="shared" si="6"/>
        <v>0.5930308547</v>
      </c>
      <c r="I20" s="9">
        <f t="shared" si="6"/>
        <v>0.1783027436</v>
      </c>
    </row>
    <row r="21" ht="15.75" customHeight="1">
      <c r="A21" s="16" t="s">
        <v>15</v>
      </c>
      <c r="B21" s="17">
        <v>501615.0</v>
      </c>
      <c r="C21" s="17">
        <v>476814.0</v>
      </c>
      <c r="D21" s="17">
        <v>413525.0</v>
      </c>
      <c r="F21" s="21" t="s">
        <v>58</v>
      </c>
      <c r="G21" s="9">
        <f t="shared" ref="G21:I21" si="7">SUM(B14:B18)/B34</f>
        <v>1.065210131</v>
      </c>
      <c r="H21" s="9">
        <f t="shared" si="7"/>
        <v>0.4075292909</v>
      </c>
      <c r="I21" s="9">
        <f t="shared" si="7"/>
        <v>0.05200675201</v>
      </c>
    </row>
    <row r="22" ht="15.75" customHeight="1">
      <c r="A22" s="5"/>
      <c r="B22" s="15"/>
      <c r="C22" s="15"/>
      <c r="D22" s="15"/>
    </row>
    <row r="23" ht="15.75" customHeight="1">
      <c r="A23" s="5" t="s">
        <v>16</v>
      </c>
      <c r="B23" s="8">
        <v>237.0</v>
      </c>
      <c r="C23" s="8">
        <v>237.0</v>
      </c>
      <c r="D23" s="8">
        <v>237.0</v>
      </c>
    </row>
    <row r="24" ht="15.75" customHeight="1">
      <c r="A24" s="5" t="s">
        <v>17</v>
      </c>
      <c r="B24" s="8">
        <v>-34962.0</v>
      </c>
      <c r="C24" s="8">
        <v>-83353.0</v>
      </c>
      <c r="D24" s="8">
        <v>-96114.0</v>
      </c>
    </row>
    <row r="25" ht="15.75" customHeight="1">
      <c r="A25" s="5" t="s">
        <v>18</v>
      </c>
      <c r="B25" s="8">
        <v>65097.0</v>
      </c>
      <c r="C25" s="8">
        <v>87320.0</v>
      </c>
      <c r="D25" s="8">
        <v>95939.0</v>
      </c>
    </row>
    <row r="26" ht="15.75" customHeight="1">
      <c r="A26" s="10" t="s">
        <v>19</v>
      </c>
      <c r="B26" s="11">
        <v>30372.0</v>
      </c>
      <c r="C26" s="11">
        <v>4204.0</v>
      </c>
      <c r="D26" s="11">
        <v>62.0</v>
      </c>
    </row>
    <row r="27" ht="15.75" customHeight="1">
      <c r="A27" s="12"/>
      <c r="B27" s="13"/>
      <c r="C27" s="13"/>
      <c r="D27" s="13"/>
      <c r="F27" s="7" t="s">
        <v>59</v>
      </c>
    </row>
    <row r="28" ht="15.75" customHeight="1">
      <c r="A28" s="5" t="s">
        <v>20</v>
      </c>
      <c r="B28" s="8">
        <v>289188.0</v>
      </c>
      <c r="C28" s="8">
        <v>256840.0</v>
      </c>
      <c r="D28" s="8">
        <v>178058.0</v>
      </c>
      <c r="F28" s="21" t="s">
        <v>60</v>
      </c>
      <c r="G28" s="18">
        <f t="shared" ref="G28:I28" si="8">B36/B26</f>
        <v>16.51570525</v>
      </c>
      <c r="H28" s="18">
        <f t="shared" si="8"/>
        <v>113.4191246</v>
      </c>
      <c r="I28" s="18">
        <f t="shared" si="8"/>
        <v>6669.758065</v>
      </c>
    </row>
    <row r="29" ht="15.75" customHeight="1">
      <c r="A29" s="5" t="s">
        <v>21</v>
      </c>
      <c r="B29" s="8">
        <v>2405.0</v>
      </c>
      <c r="C29" s="8">
        <v>1540.0</v>
      </c>
      <c r="D29" s="8">
        <v>1993.0</v>
      </c>
      <c r="F29" s="21" t="s">
        <v>61</v>
      </c>
      <c r="G29" s="19">
        <f t="shared" ref="G29:I29" si="9">B26/B36</f>
        <v>0.06054842858</v>
      </c>
      <c r="H29" s="19">
        <f t="shared" si="9"/>
        <v>0.00881685521</v>
      </c>
      <c r="I29" s="19">
        <f t="shared" si="9"/>
        <v>0.0001499304758</v>
      </c>
    </row>
    <row r="30" ht="15.75" customHeight="1">
      <c r="A30" s="10" t="s">
        <v>22</v>
      </c>
      <c r="B30" s="11">
        <v>291593.0</v>
      </c>
      <c r="C30" s="11">
        <v>258380.0</v>
      </c>
      <c r="D30" s="11">
        <v>180051.0</v>
      </c>
      <c r="F30" s="21" t="s">
        <v>62</v>
      </c>
      <c r="G30" s="14">
        <f t="shared" ref="G30:I30" si="10">B28+B32</f>
        <v>361310</v>
      </c>
      <c r="H30" s="14">
        <f t="shared" si="10"/>
        <v>355590</v>
      </c>
      <c r="I30" s="14">
        <f t="shared" si="10"/>
        <v>284801</v>
      </c>
    </row>
    <row r="31" ht="15.75" customHeight="1">
      <c r="A31" s="12"/>
      <c r="B31" s="13"/>
      <c r="C31" s="13"/>
      <c r="D31" s="13"/>
      <c r="F31" s="21" t="s">
        <v>63</v>
      </c>
      <c r="G31" s="9">
        <f t="shared" ref="G31:I31" si="11">G30/B50</f>
        <v>-8.096232077</v>
      </c>
      <c r="H31" s="9">
        <f t="shared" si="11"/>
        <v>12.05684931</v>
      </c>
      <c r="I31" s="9">
        <f t="shared" si="11"/>
        <v>5.533215907</v>
      </c>
    </row>
    <row r="32" ht="15.75" customHeight="1">
      <c r="A32" s="5" t="s">
        <v>23</v>
      </c>
      <c r="B32" s="8">
        <v>72122.0</v>
      </c>
      <c r="C32" s="8">
        <v>98750.0</v>
      </c>
      <c r="D32" s="8">
        <v>106743.0</v>
      </c>
    </row>
    <row r="33" ht="15.75" customHeight="1">
      <c r="A33" s="5" t="s">
        <v>24</v>
      </c>
      <c r="B33" s="8">
        <v>107528.0</v>
      </c>
      <c r="C33" s="8">
        <v>115480.0</v>
      </c>
      <c r="D33" s="8">
        <v>126576.0</v>
      </c>
    </row>
    <row r="34" ht="15.75" customHeight="1">
      <c r="A34" s="10" t="s">
        <v>25</v>
      </c>
      <c r="B34" s="11">
        <v>179650.0</v>
      </c>
      <c r="C34" s="11">
        <v>214230.0</v>
      </c>
      <c r="D34" s="11">
        <v>233412.0</v>
      </c>
    </row>
    <row r="35" ht="15.75" customHeight="1">
      <c r="A35" s="5"/>
      <c r="B35" s="15"/>
      <c r="C35" s="15"/>
      <c r="D35" s="15"/>
    </row>
    <row r="36" ht="15.75" customHeight="1">
      <c r="A36" s="16" t="s">
        <v>26</v>
      </c>
      <c r="B36" s="17">
        <v>501615.0</v>
      </c>
      <c r="C36" s="17">
        <v>476814.0</v>
      </c>
      <c r="D36" s="17">
        <v>413525.0</v>
      </c>
    </row>
    <row r="37" ht="15.75" customHeight="1">
      <c r="A37" s="6"/>
      <c r="B37" s="6"/>
      <c r="C37" s="6"/>
      <c r="D37" s="6"/>
    </row>
    <row r="38" ht="26.25" customHeight="1">
      <c r="A38" s="3" t="s">
        <v>27</v>
      </c>
      <c r="B38" s="4">
        <v>2017.0</v>
      </c>
      <c r="C38" s="4">
        <v>2018.0</v>
      </c>
      <c r="D38" s="4">
        <v>2019.0</v>
      </c>
    </row>
    <row r="39" ht="15.75" customHeight="1">
      <c r="A39" s="5"/>
      <c r="B39" s="6"/>
      <c r="C39" s="6"/>
      <c r="D39" s="6"/>
      <c r="F39" s="7" t="s">
        <v>64</v>
      </c>
    </row>
    <row r="40" ht="15.75" customHeight="1">
      <c r="A40" s="5" t="s">
        <v>28</v>
      </c>
      <c r="B40" s="8">
        <v>854314.0677966102</v>
      </c>
      <c r="C40" s="8">
        <v>754706.779661017</v>
      </c>
      <c r="D40" s="8">
        <v>498799.15254237293</v>
      </c>
      <c r="F40" s="21" t="s">
        <v>65</v>
      </c>
      <c r="G40" s="19">
        <f t="shared" ref="G40:I40" si="12">B60/B40</f>
        <v>-0.04930146159</v>
      </c>
      <c r="H40" s="19">
        <f t="shared" si="12"/>
        <v>-0.02466550035</v>
      </c>
      <c r="I40" s="19">
        <f t="shared" si="12"/>
        <v>0.006207212916</v>
      </c>
    </row>
    <row r="41" ht="15.75" customHeight="1">
      <c r="A41" s="5" t="s">
        <v>30</v>
      </c>
      <c r="B41" s="15">
        <v>-691058.0</v>
      </c>
      <c r="C41" s="15">
        <v>-565912.0</v>
      </c>
      <c r="D41" s="15">
        <v>-351394.0</v>
      </c>
      <c r="F41" s="21" t="s">
        <v>66</v>
      </c>
      <c r="G41" s="19">
        <f t="shared" ref="G41:I41" si="13">B50/B40</f>
        <v>-0.05223715011</v>
      </c>
      <c r="H41" s="19">
        <f t="shared" si="13"/>
        <v>0.03907846127</v>
      </c>
      <c r="I41" s="19">
        <f t="shared" si="13"/>
        <v>0.1031901363</v>
      </c>
    </row>
    <row r="42" ht="15.75" customHeight="1">
      <c r="A42" s="5" t="s">
        <v>32</v>
      </c>
      <c r="B42" s="8">
        <v>-404523.45</v>
      </c>
      <c r="C42" s="8">
        <v>-340850.58</v>
      </c>
      <c r="D42" s="8">
        <v>-204735.0</v>
      </c>
      <c r="F42" s="21" t="s">
        <v>67</v>
      </c>
      <c r="G42" s="19">
        <f t="shared" ref="G42:I42" si="14">B60/B21</f>
        <v>-0.08396665212</v>
      </c>
      <c r="H42" s="19">
        <f t="shared" si="14"/>
        <v>-0.03904084263</v>
      </c>
      <c r="I42" s="19">
        <f t="shared" si="14"/>
        <v>0.007487219739</v>
      </c>
    </row>
    <row r="43" ht="15.75" customHeight="1">
      <c r="A43" s="5" t="s">
        <v>34</v>
      </c>
      <c r="B43" s="8">
        <v>-180532.55</v>
      </c>
      <c r="C43" s="8">
        <v>-142094.42</v>
      </c>
      <c r="D43" s="8">
        <v>-85357.0</v>
      </c>
      <c r="F43" s="21" t="s">
        <v>68</v>
      </c>
      <c r="G43" s="19">
        <f t="shared" ref="G43:I43" si="15">B60/B26</f>
        <v>-1.386768478</v>
      </c>
      <c r="H43" s="19">
        <f t="shared" si="15"/>
        <v>-4.427978197</v>
      </c>
      <c r="I43" s="19">
        <f t="shared" si="15"/>
        <v>49.93794423</v>
      </c>
    </row>
    <row r="44" ht="15.75" customHeight="1">
      <c r="A44" s="5" t="s">
        <v>36</v>
      </c>
      <c r="B44" s="8">
        <v>-106002.0</v>
      </c>
      <c r="C44" s="8">
        <v>-82967.0</v>
      </c>
      <c r="D44" s="8">
        <v>-61302.0</v>
      </c>
      <c r="F44" s="21" t="s">
        <v>69</v>
      </c>
      <c r="G44" s="9">
        <f t="shared" ref="G44:I44" si="16">(B41+B47+B48+B49)/B42</f>
        <v>2.222222222</v>
      </c>
      <c r="H44" s="9">
        <f t="shared" si="16"/>
        <v>2.127659574</v>
      </c>
      <c r="I44" s="9">
        <f t="shared" si="16"/>
        <v>2.184912204</v>
      </c>
    </row>
    <row r="45" ht="15.75" customHeight="1">
      <c r="A45" s="10" t="s">
        <v>37</v>
      </c>
      <c r="B45" s="11">
        <v>163256.06779661018</v>
      </c>
      <c r="C45" s="11">
        <v>188794.779661017</v>
      </c>
      <c r="D45" s="11">
        <v>147405.15254237293</v>
      </c>
    </row>
    <row r="46" ht="15.75" customHeight="1">
      <c r="A46" s="5"/>
      <c r="B46" s="15"/>
      <c r="C46" s="15"/>
      <c r="D46" s="15"/>
    </row>
    <row r="47" ht="15.75" customHeight="1">
      <c r="A47" s="5" t="s">
        <v>38</v>
      </c>
      <c r="B47" s="8">
        <v>-53192.11</v>
      </c>
      <c r="C47" s="8">
        <v>-68217.64</v>
      </c>
      <c r="D47" s="8">
        <v>-46893.0</v>
      </c>
    </row>
    <row r="48" ht="15.75" customHeight="1">
      <c r="A48" s="5" t="s">
        <v>39</v>
      </c>
      <c r="B48" s="8">
        <v>-90016.89</v>
      </c>
      <c r="C48" s="8">
        <v>-59055.36</v>
      </c>
      <c r="D48" s="8">
        <v>-26139.0</v>
      </c>
    </row>
    <row r="49" ht="15.75" customHeight="1">
      <c r="A49" s="5" t="s">
        <v>40</v>
      </c>
      <c r="B49" s="8">
        <v>-64674.0</v>
      </c>
      <c r="C49" s="8">
        <v>-32029.0</v>
      </c>
      <c r="D49" s="8">
        <v>-22902.0</v>
      </c>
    </row>
    <row r="50" ht="15.75" customHeight="1">
      <c r="A50" s="10" t="s">
        <v>41</v>
      </c>
      <c r="B50" s="11">
        <v>-44626.93220338982</v>
      </c>
      <c r="C50" s="11">
        <v>29492.779661017004</v>
      </c>
      <c r="D50" s="11">
        <v>51471.15254237293</v>
      </c>
    </row>
    <row r="51" ht="15.75" customHeight="1">
      <c r="A51" s="5"/>
      <c r="B51" s="15"/>
      <c r="C51" s="15"/>
      <c r="D51" s="15"/>
    </row>
    <row r="52" ht="15.75" customHeight="1">
      <c r="A52" s="5" t="s">
        <v>42</v>
      </c>
      <c r="B52" s="8">
        <v>-7540.0</v>
      </c>
      <c r="C52" s="8">
        <v>-13580.0</v>
      </c>
      <c r="D52" s="8">
        <v>-10353.0</v>
      </c>
    </row>
    <row r="53" ht="15.75" customHeight="1">
      <c r="A53" s="5" t="s">
        <v>43</v>
      </c>
      <c r="B53" s="8">
        <v>-32802.0</v>
      </c>
      <c r="C53" s="8">
        <v>-25487.0</v>
      </c>
      <c r="D53" s="8">
        <v>-23145.0</v>
      </c>
    </row>
    <row r="54" ht="15.75" customHeight="1">
      <c r="A54" s="5" t="s">
        <v>44</v>
      </c>
      <c r="B54" s="15">
        <v>-84968.93220338982</v>
      </c>
      <c r="C54" s="15">
        <v>-9574.220338982996</v>
      </c>
      <c r="D54" s="15">
        <v>17973.152542372933</v>
      </c>
    </row>
    <row r="55" ht="15.75" customHeight="1">
      <c r="A55" s="5"/>
      <c r="B55" s="15"/>
      <c r="C55" s="15"/>
      <c r="D55" s="15"/>
    </row>
    <row r="56" ht="15.75" customHeight="1">
      <c r="A56" s="5" t="s">
        <v>45</v>
      </c>
      <c r="B56" s="8">
        <v>131858.0</v>
      </c>
      <c r="C56" s="8">
        <v>34570.0</v>
      </c>
      <c r="D56" s="8">
        <v>20820.0</v>
      </c>
    </row>
    <row r="57" ht="15.75" customHeight="1">
      <c r="A57" s="5" t="s">
        <v>46</v>
      </c>
      <c r="B57" s="8">
        <v>-89000.0</v>
      </c>
      <c r="C57" s="8">
        <v>-43582.0</v>
      </c>
      <c r="D57" s="8">
        <v>-35624.0</v>
      </c>
    </row>
    <row r="58" ht="15.75" customHeight="1">
      <c r="A58" s="5" t="s">
        <v>47</v>
      </c>
      <c r="B58" s="15">
        <v>-42110.93220338982</v>
      </c>
      <c r="C58" s="15">
        <v>-18586.220338982996</v>
      </c>
      <c r="D58" s="15">
        <v>3169.1525423729327</v>
      </c>
    </row>
    <row r="59" ht="15.75" customHeight="1">
      <c r="A59" s="5" t="s">
        <v>48</v>
      </c>
      <c r="B59" s="8">
        <v>-8.0</v>
      </c>
      <c r="C59" s="8">
        <v>-29.0</v>
      </c>
      <c r="D59" s="8">
        <v>-73.0</v>
      </c>
    </row>
    <row r="60" ht="15.75" customHeight="1">
      <c r="A60" s="10" t="s">
        <v>49</v>
      </c>
      <c r="B60" s="11">
        <v>-42118.9322033898</v>
      </c>
      <c r="C60" s="11">
        <v>-18615.220338982996</v>
      </c>
      <c r="D60" s="11">
        <v>3096.1525423729327</v>
      </c>
    </row>
    <row r="61" ht="15.75" customHeight="1">
      <c r="A61" s="5"/>
      <c r="B61" s="15"/>
      <c r="C61" s="15"/>
      <c r="D61" s="15"/>
    </row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57"/>
    <col customWidth="1" min="2" max="4" width="12.57"/>
    <col customWidth="1" min="5" max="5" width="2.43"/>
    <col customWidth="1" min="6" max="6" width="38.14"/>
    <col customWidth="1" min="7" max="7" width="11.86"/>
    <col customWidth="1" min="8" max="8" width="12.29"/>
    <col customWidth="1" min="9" max="9" width="10.57"/>
    <col customWidth="1" min="10" max="26" width="8.71"/>
  </cols>
  <sheetData>
    <row r="1">
      <c r="A1" s="1"/>
      <c r="B1" s="1">
        <v>2017.0</v>
      </c>
      <c r="C1" s="1">
        <v>2018.0</v>
      </c>
      <c r="D1" s="1">
        <v>2019.0</v>
      </c>
      <c r="E1" s="1"/>
      <c r="F1" s="1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3" ht="26.25" customHeight="1">
      <c r="A3" s="3" t="s">
        <v>0</v>
      </c>
      <c r="B3" s="4">
        <v>2017.0</v>
      </c>
      <c r="C3" s="4">
        <v>2018.0</v>
      </c>
      <c r="D3" s="4">
        <v>2019.0</v>
      </c>
    </row>
    <row r="4">
      <c r="A4" s="5"/>
      <c r="B4" s="6"/>
      <c r="C4" s="6"/>
      <c r="D4" s="6"/>
      <c r="F4" s="7" t="s">
        <v>50</v>
      </c>
    </row>
    <row r="5">
      <c r="A5" s="5" t="s">
        <v>1</v>
      </c>
      <c r="B5" s="8">
        <v>16139.0</v>
      </c>
      <c r="C5" s="8">
        <v>16139.0</v>
      </c>
      <c r="D5" s="8">
        <v>0.0</v>
      </c>
      <c r="F5" s="21" t="s">
        <v>51</v>
      </c>
      <c r="G5" s="22">
        <f t="shared" ref="G5:I5" si="1">B14/B40*365</f>
        <v>56.50976827</v>
      </c>
      <c r="H5" s="22">
        <f t="shared" si="1"/>
        <v>27.95438648</v>
      </c>
      <c r="I5" s="22">
        <f t="shared" si="1"/>
        <v>2.961422433</v>
      </c>
      <c r="J5" s="23"/>
    </row>
    <row r="6">
      <c r="A6" s="5" t="s">
        <v>2</v>
      </c>
      <c r="B6" s="8">
        <v>151163.0</v>
      </c>
      <c r="C6" s="8">
        <v>179540.0</v>
      </c>
      <c r="D6" s="8">
        <v>188542.0</v>
      </c>
      <c r="F6" s="21" t="s">
        <v>52</v>
      </c>
      <c r="G6" s="22">
        <f t="shared" ref="G6:I6" si="2">(B11+B12+B13)/B40*365</f>
        <v>28.28393668</v>
      </c>
      <c r="H6" s="22">
        <f t="shared" si="2"/>
        <v>19.21951729</v>
      </c>
      <c r="I6" s="22">
        <f t="shared" si="2"/>
        <v>21.57147811</v>
      </c>
      <c r="J6" s="23"/>
    </row>
    <row r="7">
      <c r="A7" s="5" t="s">
        <v>3</v>
      </c>
      <c r="B7" s="8">
        <v>71980.0</v>
      </c>
      <c r="C7" s="8">
        <v>148620.0</v>
      </c>
      <c r="D7" s="8">
        <v>167750.0</v>
      </c>
      <c r="F7" s="21" t="s">
        <v>53</v>
      </c>
      <c r="G7" s="22">
        <f t="shared" ref="G7:I7" si="3">B33/B40*365</f>
        <v>45.9406224</v>
      </c>
      <c r="H7" s="22">
        <f t="shared" si="3"/>
        <v>55.84976992</v>
      </c>
      <c r="I7" s="22">
        <f t="shared" si="3"/>
        <v>92.62293202</v>
      </c>
      <c r="J7" s="23"/>
    </row>
    <row r="8">
      <c r="A8" s="5" t="s">
        <v>4</v>
      </c>
      <c r="B8" s="8">
        <v>4767.0</v>
      </c>
      <c r="C8" s="8">
        <v>5470.0</v>
      </c>
      <c r="D8" s="8">
        <v>15615.0</v>
      </c>
      <c r="F8" s="21" t="s">
        <v>54</v>
      </c>
      <c r="G8" s="22">
        <f t="shared" ref="G8:I8" si="4">B40/B9</f>
        <v>3.500584177</v>
      </c>
      <c r="H8" s="22">
        <f t="shared" si="4"/>
        <v>2.157729186</v>
      </c>
      <c r="I8" s="22">
        <f t="shared" si="4"/>
        <v>1.341193235</v>
      </c>
      <c r="J8" s="23"/>
    </row>
    <row r="9">
      <c r="A9" s="10" t="s">
        <v>5</v>
      </c>
      <c r="B9" s="11">
        <v>244049.0</v>
      </c>
      <c r="C9" s="11">
        <v>349769.0</v>
      </c>
      <c r="D9" s="11">
        <v>371907.0</v>
      </c>
    </row>
    <row r="10">
      <c r="A10" s="12"/>
      <c r="B10" s="13"/>
      <c r="C10" s="13"/>
      <c r="D10" s="13"/>
    </row>
    <row r="11">
      <c r="A11" s="5" t="s">
        <v>6</v>
      </c>
      <c r="B11" s="8">
        <v>58217.0</v>
      </c>
      <c r="C11" s="8">
        <v>35470.0</v>
      </c>
      <c r="D11" s="8">
        <v>26951.0</v>
      </c>
    </row>
    <row r="12">
      <c r="A12" s="5" t="s">
        <v>7</v>
      </c>
      <c r="B12" s="8">
        <v>7578.0</v>
      </c>
      <c r="C12" s="8">
        <v>3950.0</v>
      </c>
      <c r="D12" s="8">
        <v>2419.0</v>
      </c>
    </row>
    <row r="13">
      <c r="A13" s="5" t="s">
        <v>8</v>
      </c>
      <c r="B13" s="8">
        <v>406.0</v>
      </c>
      <c r="C13" s="8">
        <v>320.0</v>
      </c>
      <c r="D13" s="8">
        <v>109.0</v>
      </c>
    </row>
    <row r="14">
      <c r="A14" s="5" t="s">
        <v>9</v>
      </c>
      <c r="B14" s="8">
        <v>132266.0</v>
      </c>
      <c r="C14" s="8">
        <v>57801.0</v>
      </c>
      <c r="D14" s="8">
        <v>4047.0</v>
      </c>
    </row>
    <row r="15">
      <c r="A15" s="5" t="s">
        <v>10</v>
      </c>
      <c r="B15" s="8">
        <v>52829.0</v>
      </c>
      <c r="C15" s="8">
        <v>25780.0</v>
      </c>
      <c r="D15" s="8">
        <v>4990.0</v>
      </c>
    </row>
    <row r="16">
      <c r="A16" s="5" t="s">
        <v>11</v>
      </c>
      <c r="B16" s="8">
        <v>4364.0</v>
      </c>
      <c r="C16" s="8">
        <v>2420.0</v>
      </c>
      <c r="D16" s="8">
        <v>1667.0</v>
      </c>
    </row>
    <row r="17">
      <c r="A17" s="5" t="s">
        <v>12</v>
      </c>
      <c r="B17" s="8">
        <v>341.0</v>
      </c>
      <c r="C17" s="8">
        <v>354.0</v>
      </c>
      <c r="D17" s="8">
        <v>203.0</v>
      </c>
    </row>
    <row r="18">
      <c r="A18" s="5" t="s">
        <v>13</v>
      </c>
      <c r="B18" s="8">
        <v>1565.0</v>
      </c>
      <c r="C18" s="8">
        <v>950.0</v>
      </c>
      <c r="D18" s="8">
        <v>1232.0</v>
      </c>
      <c r="F18" s="7" t="s">
        <v>55</v>
      </c>
    </row>
    <row r="19">
      <c r="A19" s="10" t="s">
        <v>14</v>
      </c>
      <c r="B19" s="11">
        <v>257566.0</v>
      </c>
      <c r="C19" s="11">
        <v>127045.0</v>
      </c>
      <c r="D19" s="11">
        <v>41618.0</v>
      </c>
      <c r="F19" s="21" t="s">
        <v>56</v>
      </c>
      <c r="G19" s="24">
        <f t="shared" ref="G19:I19" si="5">B19-B34</f>
        <v>77916</v>
      </c>
      <c r="H19" s="24">
        <f t="shared" si="5"/>
        <v>-87185</v>
      </c>
      <c r="I19" s="24">
        <f t="shared" si="5"/>
        <v>-191794</v>
      </c>
    </row>
    <row r="20">
      <c r="A20" s="5"/>
      <c r="B20" s="15"/>
      <c r="C20" s="15"/>
      <c r="D20" s="15"/>
      <c r="F20" s="21" t="s">
        <v>57</v>
      </c>
      <c r="G20" s="25">
        <f t="shared" ref="G20:I20" si="6">B19/B34</f>
        <v>1.433709992</v>
      </c>
      <c r="H20" s="25">
        <f t="shared" si="6"/>
        <v>0.5930308547</v>
      </c>
      <c r="I20" s="25">
        <f t="shared" si="6"/>
        <v>0.1783027436</v>
      </c>
    </row>
    <row r="21" ht="15.75" customHeight="1">
      <c r="A21" s="16" t="s">
        <v>15</v>
      </c>
      <c r="B21" s="17">
        <v>501615.0</v>
      </c>
      <c r="C21" s="17">
        <v>476814.0</v>
      </c>
      <c r="D21" s="17">
        <v>413525.0</v>
      </c>
      <c r="F21" s="21" t="s">
        <v>58</v>
      </c>
      <c r="G21" s="25">
        <f t="shared" ref="G21:I21" si="7">(B17+B16+B14)/B34</f>
        <v>0.7624325077</v>
      </c>
      <c r="H21" s="25">
        <f t="shared" si="7"/>
        <v>0.2827568501</v>
      </c>
      <c r="I21" s="25">
        <f t="shared" si="7"/>
        <v>0.02535002485</v>
      </c>
      <c r="J21" s="25"/>
    </row>
    <row r="22" ht="15.75" customHeight="1">
      <c r="A22" s="5"/>
      <c r="B22" s="15"/>
      <c r="C22" s="15"/>
      <c r="D22" s="15"/>
      <c r="G22" s="26"/>
      <c r="H22" s="26"/>
      <c r="I22" s="26"/>
    </row>
    <row r="23" ht="15.75" customHeight="1">
      <c r="A23" s="5" t="s">
        <v>16</v>
      </c>
      <c r="B23" s="8">
        <v>237.0</v>
      </c>
      <c r="C23" s="8">
        <v>237.0</v>
      </c>
      <c r="D23" s="8">
        <v>237.0</v>
      </c>
      <c r="G23" s="26"/>
      <c r="H23" s="26"/>
      <c r="I23" s="26"/>
    </row>
    <row r="24" ht="15.75" customHeight="1">
      <c r="A24" s="5" t="s">
        <v>17</v>
      </c>
      <c r="B24" s="8">
        <v>-34962.0</v>
      </c>
      <c r="C24" s="8">
        <v>-83353.0</v>
      </c>
      <c r="D24" s="8">
        <v>-96114.0</v>
      </c>
      <c r="G24" s="26"/>
      <c r="H24" s="26"/>
      <c r="I24" s="26"/>
    </row>
    <row r="25" ht="15.75" customHeight="1">
      <c r="A25" s="5" t="s">
        <v>18</v>
      </c>
      <c r="B25" s="8">
        <v>65097.0</v>
      </c>
      <c r="C25" s="8">
        <v>87320.0</v>
      </c>
      <c r="D25" s="8">
        <v>95939.0</v>
      </c>
      <c r="G25" s="26"/>
      <c r="H25" s="26"/>
      <c r="I25" s="26"/>
    </row>
    <row r="26" ht="15.75" customHeight="1">
      <c r="A26" s="10" t="s">
        <v>19</v>
      </c>
      <c r="B26" s="11">
        <v>30372.0</v>
      </c>
      <c r="C26" s="11">
        <v>4204.0</v>
      </c>
      <c r="D26" s="11">
        <v>62.0</v>
      </c>
      <c r="G26" s="26"/>
      <c r="H26" s="26"/>
      <c r="I26" s="26"/>
    </row>
    <row r="27" ht="15.75" customHeight="1">
      <c r="A27" s="12"/>
      <c r="B27" s="13"/>
      <c r="C27" s="13"/>
      <c r="D27" s="13"/>
      <c r="F27" s="7" t="s">
        <v>59</v>
      </c>
      <c r="G27" s="26"/>
      <c r="H27" s="26"/>
      <c r="I27" s="26"/>
    </row>
    <row r="28" ht="15.75" customHeight="1">
      <c r="A28" s="5" t="s">
        <v>20</v>
      </c>
      <c r="B28" s="8">
        <v>289188.0</v>
      </c>
      <c r="C28" s="8">
        <v>256840.0</v>
      </c>
      <c r="D28" s="8">
        <v>178058.0</v>
      </c>
      <c r="F28" s="21" t="s">
        <v>60</v>
      </c>
      <c r="G28" s="27">
        <f t="shared" ref="G28:I28" si="8">B21/B26</f>
        <v>16.51570525</v>
      </c>
      <c r="H28" s="27">
        <f t="shared" si="8"/>
        <v>113.4191246</v>
      </c>
      <c r="I28" s="27">
        <f t="shared" si="8"/>
        <v>6669.758065</v>
      </c>
    </row>
    <row r="29" ht="15.75" customHeight="1">
      <c r="A29" s="5" t="s">
        <v>21</v>
      </c>
      <c r="B29" s="8">
        <v>2405.0</v>
      </c>
      <c r="C29" s="8">
        <v>1540.0</v>
      </c>
      <c r="D29" s="8">
        <v>1993.0</v>
      </c>
      <c r="F29" s="21" t="s">
        <v>61</v>
      </c>
      <c r="G29" s="19">
        <f t="shared" ref="G29:I29" si="9">B26/B36</f>
        <v>0.06054842858</v>
      </c>
      <c r="H29" s="19">
        <f t="shared" si="9"/>
        <v>0.00881685521</v>
      </c>
      <c r="I29" s="19">
        <f t="shared" si="9"/>
        <v>0.0001499304758</v>
      </c>
    </row>
    <row r="30" ht="15.75" customHeight="1">
      <c r="A30" s="10" t="s">
        <v>22</v>
      </c>
      <c r="B30" s="11">
        <v>291593.0</v>
      </c>
      <c r="C30" s="11">
        <v>258380.0</v>
      </c>
      <c r="D30" s="11">
        <v>180051.0</v>
      </c>
      <c r="F30" s="21" t="s">
        <v>62</v>
      </c>
      <c r="G30" s="14">
        <f t="shared" ref="G30:I30" si="10">B28+B32</f>
        <v>361310</v>
      </c>
      <c r="H30" s="14">
        <f t="shared" si="10"/>
        <v>355590</v>
      </c>
      <c r="I30" s="14">
        <f t="shared" si="10"/>
        <v>284801</v>
      </c>
    </row>
    <row r="31" ht="15.75" customHeight="1">
      <c r="A31" s="12"/>
      <c r="B31" s="13"/>
      <c r="C31" s="13"/>
      <c r="D31" s="13"/>
      <c r="F31" s="21" t="s">
        <v>63</v>
      </c>
      <c r="G31" s="9">
        <f t="shared" ref="G31:I31" si="11">G30/B50</f>
        <v>-8.096232077</v>
      </c>
      <c r="H31" s="9">
        <f t="shared" si="11"/>
        <v>12.05684931</v>
      </c>
      <c r="I31" s="9">
        <f t="shared" si="11"/>
        <v>5.533215907</v>
      </c>
    </row>
    <row r="32" ht="15.75" customHeight="1">
      <c r="A32" s="5" t="s">
        <v>23</v>
      </c>
      <c r="B32" s="8">
        <v>72122.0</v>
      </c>
      <c r="C32" s="8">
        <v>98750.0</v>
      </c>
      <c r="D32" s="8">
        <v>106743.0</v>
      </c>
      <c r="G32" s="26"/>
      <c r="H32" s="26"/>
      <c r="I32" s="26"/>
    </row>
    <row r="33" ht="15.75" customHeight="1">
      <c r="A33" s="5" t="s">
        <v>24</v>
      </c>
      <c r="B33" s="8">
        <v>107528.0</v>
      </c>
      <c r="C33" s="8">
        <v>115480.0</v>
      </c>
      <c r="D33" s="8">
        <v>126576.0</v>
      </c>
      <c r="G33" s="26"/>
      <c r="H33" s="26"/>
      <c r="I33" s="26"/>
    </row>
    <row r="34" ht="15.75" customHeight="1">
      <c r="A34" s="10" t="s">
        <v>25</v>
      </c>
      <c r="B34" s="11">
        <v>179650.0</v>
      </c>
      <c r="C34" s="11">
        <v>214230.0</v>
      </c>
      <c r="D34" s="11">
        <v>233412.0</v>
      </c>
      <c r="G34" s="26"/>
      <c r="H34" s="26"/>
      <c r="I34" s="26"/>
    </row>
    <row r="35" ht="15.75" customHeight="1">
      <c r="A35" s="5"/>
      <c r="B35" s="15"/>
      <c r="C35" s="15"/>
      <c r="D35" s="15"/>
      <c r="G35" s="26"/>
      <c r="H35" s="26"/>
      <c r="I35" s="26"/>
    </row>
    <row r="36" ht="15.75" customHeight="1">
      <c r="A36" s="16" t="s">
        <v>26</v>
      </c>
      <c r="B36" s="17">
        <v>501615.0</v>
      </c>
      <c r="C36" s="17">
        <v>476814.0</v>
      </c>
      <c r="D36" s="17">
        <v>413525.0</v>
      </c>
      <c r="G36" s="26"/>
      <c r="H36" s="26"/>
      <c r="I36" s="26"/>
    </row>
    <row r="37" ht="15.75" customHeight="1">
      <c r="A37" s="6"/>
      <c r="B37" s="6"/>
      <c r="C37" s="6"/>
      <c r="D37" s="6"/>
      <c r="G37" s="26"/>
      <c r="H37" s="26"/>
      <c r="I37" s="26"/>
    </row>
    <row r="38" ht="26.25" customHeight="1">
      <c r="A38" s="3" t="s">
        <v>27</v>
      </c>
      <c r="B38" s="4">
        <v>2017.0</v>
      </c>
      <c r="C38" s="4">
        <v>2018.0</v>
      </c>
      <c r="D38" s="4">
        <v>2019.0</v>
      </c>
      <c r="G38" s="26"/>
      <c r="H38" s="26"/>
      <c r="I38" s="26"/>
    </row>
    <row r="39" ht="15.75" customHeight="1">
      <c r="A39" s="5"/>
      <c r="B39" s="6"/>
      <c r="C39" s="6"/>
      <c r="D39" s="6"/>
      <c r="F39" s="7" t="s">
        <v>64</v>
      </c>
      <c r="G39" s="26"/>
      <c r="H39" s="26"/>
      <c r="I39" s="26"/>
    </row>
    <row r="40" ht="15.75" customHeight="1">
      <c r="A40" s="5" t="s">
        <v>28</v>
      </c>
      <c r="B40" s="8">
        <v>854314.0677966102</v>
      </c>
      <c r="C40" s="8">
        <v>754706.779661017</v>
      </c>
      <c r="D40" s="8">
        <v>498799.15254237293</v>
      </c>
      <c r="F40" s="21" t="s">
        <v>65</v>
      </c>
      <c r="G40" s="28">
        <f t="shared" ref="G40:I40" si="12">B60/B40</f>
        <v>-0.04930146159</v>
      </c>
      <c r="H40" s="28">
        <f t="shared" si="12"/>
        <v>-0.02466550035</v>
      </c>
      <c r="I40" s="28">
        <f t="shared" si="12"/>
        <v>0.006207212916</v>
      </c>
    </row>
    <row r="41" ht="15.75" customHeight="1">
      <c r="A41" s="5" t="s">
        <v>30</v>
      </c>
      <c r="B41" s="15">
        <v>-691058.0</v>
      </c>
      <c r="C41" s="15">
        <v>-565912.0</v>
      </c>
      <c r="D41" s="15">
        <v>-351394.0</v>
      </c>
      <c r="F41" s="21" t="s">
        <v>66</v>
      </c>
      <c r="G41" s="28">
        <f t="shared" ref="G41:I41" si="13">B50/B40</f>
        <v>-0.05223715011</v>
      </c>
      <c r="H41" s="28">
        <f t="shared" si="13"/>
        <v>0.03907846127</v>
      </c>
      <c r="I41" s="28">
        <f t="shared" si="13"/>
        <v>0.1031901363</v>
      </c>
    </row>
    <row r="42" ht="15.75" customHeight="1">
      <c r="A42" s="5" t="s">
        <v>32</v>
      </c>
      <c r="B42" s="8">
        <v>-404523.45</v>
      </c>
      <c r="C42" s="8">
        <v>-340850.58</v>
      </c>
      <c r="D42" s="8">
        <v>-204735.0</v>
      </c>
      <c r="F42" s="21" t="s">
        <v>67</v>
      </c>
      <c r="G42" s="29">
        <f t="shared" ref="G42:I42" si="14">B60/B21</f>
        <v>-0.08396665212</v>
      </c>
      <c r="H42" s="29">
        <f t="shared" si="14"/>
        <v>-0.03904084263</v>
      </c>
      <c r="I42" s="29">
        <f t="shared" si="14"/>
        <v>0.007487219739</v>
      </c>
    </row>
    <row r="43" ht="15.75" customHeight="1">
      <c r="A43" s="5" t="s">
        <v>34</v>
      </c>
      <c r="B43" s="8">
        <v>-180532.55</v>
      </c>
      <c r="C43" s="8">
        <v>-142094.42</v>
      </c>
      <c r="D43" s="8">
        <v>-85357.0</v>
      </c>
      <c r="F43" s="21" t="s">
        <v>68</v>
      </c>
      <c r="G43" s="30">
        <f t="shared" ref="G43:I43" si="15">B60/B26</f>
        <v>-1.386768478</v>
      </c>
      <c r="H43" s="30">
        <f t="shared" si="15"/>
        <v>-4.427978197</v>
      </c>
      <c r="I43" s="30">
        <f t="shared" si="15"/>
        <v>49.93794423</v>
      </c>
    </row>
    <row r="44" ht="15.75" customHeight="1">
      <c r="A44" s="5" t="s">
        <v>36</v>
      </c>
      <c r="B44" s="8">
        <v>-106002.0</v>
      </c>
      <c r="C44" s="8">
        <v>-82967.0</v>
      </c>
      <c r="D44" s="8">
        <v>-61302.0</v>
      </c>
      <c r="F44" s="21" t="s">
        <v>69</v>
      </c>
    </row>
    <row r="45" ht="15.75" customHeight="1">
      <c r="A45" s="10" t="s">
        <v>37</v>
      </c>
      <c r="B45" s="11">
        <v>163256.06779661018</v>
      </c>
      <c r="C45" s="11">
        <v>188794.779661017</v>
      </c>
      <c r="D45" s="11">
        <v>147405.15254237293</v>
      </c>
    </row>
    <row r="46" ht="15.75" customHeight="1">
      <c r="A46" s="5"/>
      <c r="B46" s="15"/>
      <c r="C46" s="15"/>
      <c r="D46" s="15"/>
    </row>
    <row r="47" ht="15.75" customHeight="1">
      <c r="A47" s="5" t="s">
        <v>38</v>
      </c>
      <c r="B47" s="8">
        <v>-53192.11</v>
      </c>
      <c r="C47" s="8">
        <v>-68217.64</v>
      </c>
      <c r="D47" s="8">
        <v>-46893.0</v>
      </c>
    </row>
    <row r="48" ht="15.75" customHeight="1">
      <c r="A48" s="5" t="s">
        <v>39</v>
      </c>
      <c r="B48" s="8">
        <v>-90016.89</v>
      </c>
      <c r="C48" s="8">
        <v>-59055.36</v>
      </c>
      <c r="D48" s="8">
        <v>-26139.0</v>
      </c>
    </row>
    <row r="49" ht="15.75" customHeight="1">
      <c r="A49" s="5" t="s">
        <v>40</v>
      </c>
      <c r="B49" s="8">
        <v>-64674.0</v>
      </c>
      <c r="C49" s="8">
        <v>-32029.0</v>
      </c>
      <c r="D49" s="8">
        <v>-22902.0</v>
      </c>
    </row>
    <row r="50" ht="15.75" customHeight="1">
      <c r="A50" s="10" t="s">
        <v>41</v>
      </c>
      <c r="B50" s="31">
        <v>-44626.93220338982</v>
      </c>
      <c r="C50" s="31">
        <v>29492.779661017004</v>
      </c>
      <c r="D50" s="31">
        <v>51471.15254237293</v>
      </c>
    </row>
    <row r="51" ht="15.75" customHeight="1">
      <c r="A51" s="5"/>
      <c r="B51" s="15"/>
      <c r="C51" s="15"/>
      <c r="D51" s="15"/>
    </row>
    <row r="52" ht="15.75" customHeight="1">
      <c r="A52" s="5" t="s">
        <v>42</v>
      </c>
      <c r="B52" s="32">
        <v>-7540.0</v>
      </c>
      <c r="C52" s="32">
        <v>-13580.0</v>
      </c>
      <c r="D52" s="32">
        <v>-10353.0</v>
      </c>
    </row>
    <row r="53" ht="15.75" customHeight="1">
      <c r="A53" s="5" t="s">
        <v>43</v>
      </c>
      <c r="B53" s="32">
        <v>-32802.0</v>
      </c>
      <c r="C53" s="32">
        <v>-25487.0</v>
      </c>
      <c r="D53" s="32">
        <v>-23145.0</v>
      </c>
    </row>
    <row r="54" ht="15.75" customHeight="1">
      <c r="A54" s="5" t="s">
        <v>44</v>
      </c>
      <c r="B54" s="15">
        <v>-84968.93220338982</v>
      </c>
      <c r="C54" s="15">
        <v>-9574.220338982996</v>
      </c>
      <c r="D54" s="15">
        <v>17973.152542372933</v>
      </c>
    </row>
    <row r="55" ht="15.75" customHeight="1">
      <c r="A55" s="5"/>
      <c r="B55" s="15"/>
      <c r="C55" s="15"/>
      <c r="D55" s="15"/>
      <c r="F55" s="14"/>
      <c r="G55" s="14"/>
    </row>
    <row r="56" ht="15.75" customHeight="1">
      <c r="A56" s="5" t="s">
        <v>45</v>
      </c>
      <c r="B56" s="32">
        <v>131858.0</v>
      </c>
      <c r="C56" s="32">
        <v>34570.0</v>
      </c>
      <c r="D56" s="32">
        <v>20820.0</v>
      </c>
      <c r="F56" s="14"/>
      <c r="G56" s="14"/>
    </row>
    <row r="57" ht="15.75" customHeight="1">
      <c r="A57" s="5" t="s">
        <v>46</v>
      </c>
      <c r="B57" s="32">
        <v>-89000.0</v>
      </c>
      <c r="C57" s="32">
        <v>-43582.0</v>
      </c>
      <c r="D57" s="32">
        <v>-35624.0</v>
      </c>
    </row>
    <row r="58" ht="15.75" customHeight="1">
      <c r="A58" s="5" t="s">
        <v>47</v>
      </c>
      <c r="B58" s="15">
        <v>-42110.93220338982</v>
      </c>
      <c r="C58" s="15">
        <v>-18586.220338982996</v>
      </c>
      <c r="D58" s="15">
        <v>3169.1525423729327</v>
      </c>
    </row>
    <row r="59" ht="15.75" customHeight="1">
      <c r="A59" s="5" t="s">
        <v>48</v>
      </c>
      <c r="B59" s="32">
        <v>-8.0</v>
      </c>
      <c r="C59" s="32">
        <v>-29.0</v>
      </c>
      <c r="D59" s="32">
        <v>-73.0</v>
      </c>
    </row>
    <row r="60" ht="15.75" customHeight="1">
      <c r="A60" s="10" t="s">
        <v>49</v>
      </c>
      <c r="B60" s="11">
        <f t="shared" ref="B60:D60" si="16">B50+B52+B53+B56+B57+B59</f>
        <v>-42118.9322</v>
      </c>
      <c r="C60" s="11">
        <f t="shared" si="16"/>
        <v>-18615.22034</v>
      </c>
      <c r="D60" s="11">
        <f t="shared" si="16"/>
        <v>3096.152542</v>
      </c>
    </row>
    <row r="61" ht="15.75" customHeight="1">
      <c r="A61" s="5"/>
      <c r="B61" s="15"/>
      <c r="C61" s="15"/>
      <c r="D61" s="15"/>
    </row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2020-06-24T10:57:20Z</dcterms:created>
  <dc:creator>Ria-Notebook</dc:creator>
</cp:coreProperties>
</file>