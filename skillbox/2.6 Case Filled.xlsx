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economics\udemy_economics\skillbox\"/>
    </mc:Choice>
  </mc:AlternateContent>
  <xr:revisionPtr revIDLastSave="0" documentId="13_ncr:1_{88991375-C74C-46A6-B39B-B79521A5C576}" xr6:coauthVersionLast="47" xr6:coauthVersionMax="47" xr10:uidLastSave="{00000000-0000-0000-0000-000000000000}"/>
  <bookViews>
    <workbookView xWindow="28680" yWindow="270" windowWidth="29040" windowHeight="17640" activeTab="2" xr2:uid="{00000000-000D-0000-FFFF-FFFF00000000}"/>
  </bookViews>
  <sheets>
    <sheet name="main" sheetId="1" r:id="rId1"/>
    <sheet name="Sheet1" sheetId="2" r:id="rId2"/>
    <sheet name="Sheet1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Z3xi6G1BNgeSwbgbfDU4Hn2WKVhro2ChGy2Be3b4kcw="/>
    </ext>
  </extLst>
</workbook>
</file>

<file path=xl/calcChain.xml><?xml version="1.0" encoding="utf-8"?>
<calcChain xmlns="http://schemas.openxmlformats.org/spreadsheetml/2006/main">
  <c r="I21" i="3" l="1"/>
  <c r="H21" i="3"/>
  <c r="G21" i="3"/>
  <c r="I20" i="3"/>
  <c r="H20" i="3"/>
  <c r="G20" i="3"/>
  <c r="G19" i="3"/>
  <c r="H19" i="3"/>
  <c r="I19" i="3"/>
  <c r="G44" i="1"/>
  <c r="J50" i="1" l="1"/>
  <c r="I44" i="1" l="1"/>
  <c r="H44" i="1"/>
  <c r="G31" i="1" l="1"/>
  <c r="I30" i="1"/>
  <c r="I31" i="1" s="1"/>
  <c r="H30" i="1"/>
  <c r="H31" i="1" s="1"/>
  <c r="G30" i="1"/>
  <c r="I7" i="1"/>
  <c r="H7" i="1"/>
  <c r="G7" i="1"/>
  <c r="I6" i="1"/>
  <c r="H6" i="1"/>
  <c r="G6" i="1"/>
  <c r="I5" i="1"/>
  <c r="H5" i="1"/>
  <c r="G5" i="1"/>
  <c r="D60" i="3" l="1"/>
  <c r="I43" i="3" s="1"/>
  <c r="C60" i="3"/>
  <c r="H43" i="3" s="1"/>
  <c r="B60" i="3"/>
  <c r="G42" i="3" s="1"/>
  <c r="I41" i="3"/>
  <c r="H41" i="3"/>
  <c r="G41" i="3"/>
  <c r="H31" i="3"/>
  <c r="I30" i="3"/>
  <c r="I31" i="3" s="1"/>
  <c r="H30" i="3"/>
  <c r="G30" i="3"/>
  <c r="G31" i="3" s="1"/>
  <c r="I29" i="3"/>
  <c r="H29" i="3"/>
  <c r="G29" i="3"/>
  <c r="I28" i="3"/>
  <c r="H28" i="3"/>
  <c r="G28" i="3"/>
  <c r="I8" i="3"/>
  <c r="H8" i="3"/>
  <c r="G8" i="3"/>
  <c r="I7" i="3"/>
  <c r="H7" i="3"/>
  <c r="G7" i="3"/>
  <c r="I6" i="3"/>
  <c r="H6" i="3"/>
  <c r="G6" i="3"/>
  <c r="I5" i="3"/>
  <c r="H5" i="3"/>
  <c r="G5" i="3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0" i="2"/>
  <c r="I31" i="2" s="1"/>
  <c r="H30" i="2"/>
  <c r="H31" i="2" s="1"/>
  <c r="G30" i="2"/>
  <c r="G31" i="2" s="1"/>
  <c r="I29" i="2"/>
  <c r="H29" i="2"/>
  <c r="G29" i="2"/>
  <c r="I28" i="2"/>
  <c r="H28" i="2"/>
  <c r="G28" i="2"/>
  <c r="I21" i="2"/>
  <c r="H21" i="2"/>
  <c r="G21" i="2"/>
  <c r="I20" i="2"/>
  <c r="H20" i="2"/>
  <c r="G20" i="2"/>
  <c r="I19" i="2"/>
  <c r="H19" i="2"/>
  <c r="G19" i="2"/>
  <c r="I8" i="2"/>
  <c r="H8" i="2"/>
  <c r="G8" i="2"/>
  <c r="I7" i="2"/>
  <c r="H7" i="2"/>
  <c r="G7" i="2"/>
  <c r="I6" i="2"/>
  <c r="H6" i="2"/>
  <c r="G6" i="2"/>
  <c r="I5" i="2"/>
  <c r="H5" i="2"/>
  <c r="G5" i="2"/>
  <c r="I41" i="1"/>
  <c r="H41" i="1"/>
  <c r="G41" i="1"/>
  <c r="I40" i="1"/>
  <c r="H40" i="1"/>
  <c r="G40" i="1"/>
  <c r="D36" i="1"/>
  <c r="D34" i="1"/>
  <c r="I21" i="1" s="1"/>
  <c r="C34" i="1"/>
  <c r="H21" i="1" s="1"/>
  <c r="B34" i="1"/>
  <c r="G21" i="1" s="1"/>
  <c r="D30" i="1"/>
  <c r="C30" i="1"/>
  <c r="B30" i="1"/>
  <c r="D26" i="1"/>
  <c r="C26" i="1"/>
  <c r="B26" i="1"/>
  <c r="D19" i="1"/>
  <c r="D21" i="1" s="1"/>
  <c r="C19" i="1"/>
  <c r="C21" i="1" s="1"/>
  <c r="B19" i="1"/>
  <c r="G19" i="1" s="1"/>
  <c r="D9" i="1"/>
  <c r="I8" i="1" s="1"/>
  <c r="C9" i="1"/>
  <c r="H8" i="1" s="1"/>
  <c r="B9" i="1"/>
  <c r="G8" i="1" s="1"/>
  <c r="H19" i="1" l="1"/>
  <c r="I20" i="1"/>
  <c r="H29" i="1"/>
  <c r="H43" i="1"/>
  <c r="I42" i="1"/>
  <c r="I28" i="1"/>
  <c r="I43" i="1"/>
  <c r="I29" i="1"/>
  <c r="I19" i="1"/>
  <c r="B21" i="1"/>
  <c r="G20" i="1"/>
  <c r="H42" i="1"/>
  <c r="H28" i="1"/>
  <c r="B36" i="1"/>
  <c r="G29" i="1"/>
  <c r="C36" i="1"/>
  <c r="G43" i="1"/>
  <c r="H20" i="1"/>
  <c r="H42" i="3"/>
  <c r="G40" i="3"/>
  <c r="I42" i="3"/>
  <c r="H40" i="3"/>
  <c r="G43" i="3"/>
  <c r="I40" i="3"/>
  <c r="G42" i="1" l="1"/>
  <c r="G28" i="1"/>
</calcChain>
</file>

<file path=xl/sharedStrings.xml><?xml version="1.0" encoding="utf-8"?>
<sst xmlns="http://schemas.openxmlformats.org/spreadsheetml/2006/main" count="194" uniqueCount="82">
  <si>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</si>
  <si>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</si>
  <si>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</si>
  <si>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</si>
  <si>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</si>
  <si>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</si>
  <si>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</si>
  <si>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</si>
  <si>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</si>
  <si>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</si>
  <si>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</si>
  <si>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</si>
  <si>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</si>
  <si>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</si>
  <si>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</si>
  <si>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</si>
  <si>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</si>
  <si>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</si>
  <si>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</si>
  <si>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</si>
  <si>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</si>
  <si>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</si>
  <si>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</si>
  <si>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</si>
  <si>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</si>
  <si>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</si>
  <si>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</si>
  <si>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</si>
  <si>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</si>
  <si>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</si>
  <si>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</si>
  <si>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</si>
  <si>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</si>
  <si>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</si>
  <si>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</si>
  <si>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</si>
  <si>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</si>
  <si>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</si>
  <si>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</si>
  <si>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</si>
  <si>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</si>
  <si>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</si>
  <si>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</si>
  <si>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</si>
  <si>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</si>
  <si>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</si>
  <si>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</si>
  <si>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</si>
  <si>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</si>
  <si>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</si>
  <si>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</si>
  <si>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</si>
  <si>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</si>
  <si>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</si>
  <si>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</si>
  <si>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</si>
  <si>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</si>
  <si>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</si>
  <si>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</si>
  <si>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</si>
  <si>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</si>
  <si>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</si>
  <si>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</si>
  <si>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</si>
  <si>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</si>
  <si>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</si>
  <si>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</si>
  <si>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</si>
  <si>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</si>
  <si>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</si>
  <si>
    <t>Чистий оборотний капітал</t>
  </si>
  <si>
    <t>Поточна ліквідність</t>
  </si>
  <si>
    <t>Швидка ліквідність</t>
  </si>
  <si>
    <t>Обертаємість дебіторської заборгованості</t>
  </si>
  <si>
    <t>Обертаємість запасів</t>
  </si>
  <si>
    <t>Обертаємість кредіторської заборгованості</t>
  </si>
  <si>
    <t>Обертаємість постійних активів</t>
  </si>
  <si>
    <t>Фінансовий важіль</t>
  </si>
  <si>
    <t>Коефіціент фінансової незалежності</t>
  </si>
  <si>
    <t>Сумарний борг</t>
  </si>
  <si>
    <t>TD/EBITDA</t>
  </si>
  <si>
    <t>Операційний важіль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</si>
</sst>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9" x14ac:knownFonts="1">
    <font>
      <sz val="11"/>
      <color theme="1"/>
      <name val="Calibri"/>
      <scheme val="minor"/>
    </font>
    <font>
      <sz val="9"/>
      <color rgb="FF7F7F7F"/>
      <name val="Calibri"/>
    </font>
    <font>
      <sz val="9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  <scheme val="minor"/>
    </font>
    <font>
      <sz val="11"/>
      <color rgb="FFBFBFB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3" fontId="3" fillId="0" borderId="0" xfId="0" applyNumberFormat="1" applyFont="1" applyAlignment="1">
      <alignment horizontal="right"/>
    </xf>
    <xf numFmtId="4" fontId="5" fillId="0" borderId="0" xfId="0" applyNumberFormat="1" applyFont="1"/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/>
    <xf numFmtId="0" fontId="6" fillId="0" borderId="0" xfId="0" applyFont="1" applyAlignment="1">
      <alignment horizontal="left"/>
    </xf>
    <xf numFmtId="3" fontId="6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6" fillId="0" borderId="4" xfId="0" applyFont="1" applyBorder="1" applyAlignment="1">
      <alignment horizontal="left"/>
    </xf>
    <xf numFmtId="3" fontId="6" fillId="0" borderId="4" xfId="0" applyNumberFormat="1" applyFont="1" applyBorder="1"/>
    <xf numFmtId="2" fontId="5" fillId="0" borderId="0" xfId="0" applyNumberFormat="1" applyFont="1"/>
    <xf numFmtId="164" fontId="5" fillId="0" borderId="0" xfId="0" applyNumberFormat="1" applyFont="1"/>
    <xf numFmtId="0" fontId="7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3" fontId="6" fillId="4" borderId="5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1" topLeftCell="A14" activePane="bottomLeft" state="frozen"/>
      <selection pane="bottomLeft" activeCell="G19" sqref="G19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bestFit="1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/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t="s">
        <v>73</v>
      </c>
      <c r="G5" s="9">
        <f>B14/B40*365</f>
        <v>56.509768268844084</v>
      </c>
      <c r="H5" s="9">
        <f>C14/C40*365</f>
        <v>27.954386483020677</v>
      </c>
      <c r="I5" s="9">
        <f>D14/D40*365</f>
        <v>2.9614224331997354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t="s">
        <v>74</v>
      </c>
      <c r="G6" s="9">
        <f>SUM(B11,B12,B13)/B40*365</f>
        <v>28.283936681881571</v>
      </c>
      <c r="H6" s="9">
        <f>SUM(C11,C12,C13)/C40*365</f>
        <v>19.219517289237935</v>
      </c>
      <c r="I6" s="9">
        <f>SUM(D11,D12,D13)/D40*365</f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t="s">
        <v>75</v>
      </c>
      <c r="G7" s="9">
        <f>B33/B40*365</f>
        <v>45.940622400407264</v>
      </c>
      <c r="H7" s="9">
        <f>C33/C40*365</f>
        <v>55.849769918500165</v>
      </c>
      <c r="I7" s="9">
        <f>D33/D40*365</f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t="s">
        <v>76</v>
      </c>
      <c r="G8" s="9">
        <f>B40/B9</f>
        <v>3.5005841769341819</v>
      </c>
      <c r="H8" s="9">
        <f t="shared" ref="H8:I8" si="0">C40/C9</f>
        <v>2.1577291860085284</v>
      </c>
      <c r="I8" s="9">
        <f t="shared" si="0"/>
        <v>1.3411932352506755</v>
      </c>
    </row>
    <row r="9" spans="1:26" x14ac:dyDescent="0.25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/>
    </row>
    <row r="19" spans="1:9" x14ac:dyDescent="0.25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F19" t="s">
        <v>70</v>
      </c>
      <c r="G19" s="9">
        <f>B19-B34</f>
        <v>77916</v>
      </c>
      <c r="H19" s="9">
        <f>C19-C34</f>
        <v>-87185</v>
      </c>
      <c r="I19" s="9">
        <f>D19-D34</f>
        <v>-191701</v>
      </c>
    </row>
    <row r="20" spans="1:9" x14ac:dyDescent="0.25">
      <c r="A20" s="5"/>
      <c r="B20" s="15"/>
      <c r="C20" s="15"/>
      <c r="D20" s="15"/>
      <c r="F20" t="s">
        <v>71</v>
      </c>
      <c r="G20" s="9">
        <f>B19/B34</f>
        <v>1.4337099916504314</v>
      </c>
      <c r="H20" s="9">
        <f>C19/C34</f>
        <v>0.59303085468888572</v>
      </c>
      <c r="I20" s="9">
        <f>D19/D34</f>
        <v>0.17837381439145547</v>
      </c>
    </row>
    <row r="21" spans="1:9" ht="15.75" customHeight="1" x14ac:dyDescent="0.25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F21" t="s">
        <v>72</v>
      </c>
      <c r="G21" s="9">
        <f>(B17+B16+B14)/B34</f>
        <v>0.76243250765377124</v>
      </c>
      <c r="H21" s="9">
        <f>(C17+C16+C14)/C34</f>
        <v>0.28275685011436308</v>
      </c>
      <c r="I21" s="9">
        <f>(D17+D16+D14)/D34</f>
        <v>2.5360129265083426E-2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spans="1:9" ht="15.75" customHeight="1" x14ac:dyDescent="0.25">
      <c r="A27" s="12"/>
      <c r="B27" s="13"/>
      <c r="C27" s="13"/>
      <c r="D27" s="13"/>
      <c r="F27" s="7"/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t="s">
        <v>77</v>
      </c>
      <c r="G28" s="18">
        <f>B21/B26</f>
        <v>16.515705254839983</v>
      </c>
      <c r="H28" s="18">
        <f>C21/C26</f>
        <v>113.41912464319695</v>
      </c>
      <c r="I28" s="18">
        <f>D21/D26</f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t="s">
        <v>78</v>
      </c>
      <c r="G29" s="19">
        <f>B26/B21</f>
        <v>6.0548428575700489E-2</v>
      </c>
      <c r="H29" s="19">
        <f>C26/C21</f>
        <v>8.8168552097883032E-3</v>
      </c>
      <c r="I29" s="19">
        <f>D26/D21</f>
        <v>1.4993047578743728E-4</v>
      </c>
    </row>
    <row r="30" spans="1:9" ht="15.75" customHeight="1" x14ac:dyDescent="0.25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F30" t="s">
        <v>79</v>
      </c>
      <c r="G30" s="14">
        <f>B28+B32</f>
        <v>361310</v>
      </c>
      <c r="H30" s="14">
        <f>C28+C32</f>
        <v>355590</v>
      </c>
      <c r="I30" s="14">
        <f>D28+D32</f>
        <v>284801</v>
      </c>
    </row>
    <row r="31" spans="1:9" ht="15.75" customHeight="1" x14ac:dyDescent="0.25">
      <c r="A31" s="12"/>
      <c r="B31" s="13"/>
      <c r="C31" s="13"/>
      <c r="D31" s="13"/>
      <c r="F31" t="s">
        <v>80</v>
      </c>
      <c r="G31" s="9">
        <f>G30/B50</f>
        <v>-8.0962320769285423</v>
      </c>
      <c r="H31" s="9">
        <f>H30/C50</f>
        <v>12.056849306408786</v>
      </c>
      <c r="I31" s="9">
        <f>I30/D50</f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-4.9301461594820906E-2</v>
      </c>
      <c r="H40" s="19">
        <f t="shared" si="8"/>
        <v>-2.466550035146654E-2</v>
      </c>
      <c r="I40" s="19">
        <f t="shared" si="8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t="s">
        <v>31</v>
      </c>
      <c r="G41" s="19">
        <f t="shared" ref="G41:I41" si="9">B50/B40</f>
        <v>-5.2237150113293378E-2</v>
      </c>
      <c r="H41" s="19">
        <f t="shared" si="9"/>
        <v>3.9078461272421504E-2</v>
      </c>
      <c r="I41" s="19">
        <f t="shared" si="9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33</v>
      </c>
      <c r="G42" s="19">
        <f t="shared" ref="G42:I42" si="10">B60/B21</f>
        <v>-8.3966652120430613E-2</v>
      </c>
      <c r="H42" s="19">
        <f t="shared" si="10"/>
        <v>-3.9040842632521271E-2</v>
      </c>
      <c r="I42" s="19">
        <f t="shared" si="10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t="s">
        <v>35</v>
      </c>
      <c r="G43" s="19">
        <f t="shared" ref="G43:I43" si="11">B60/B26</f>
        <v>-1.3867684776567166</v>
      </c>
      <c r="H43" s="19">
        <f t="shared" si="11"/>
        <v>-4.4279781967133669</v>
      </c>
      <c r="I43" s="19">
        <f t="shared" si="11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t="s">
        <v>81</v>
      </c>
      <c r="G44" s="9">
        <f>(B41+B47+B48+B49)/B42</f>
        <v>2.2222222222222223</v>
      </c>
      <c r="H44" s="9">
        <f>(C41+C47+C48+C49)/C42</f>
        <v>2.1276595744680851</v>
      </c>
      <c r="I44" s="9">
        <f>(D41+D47+D48+D49)/D42</f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10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10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  <c r="J50" s="32">
        <f>B40+B41+B47+B48+B49</f>
        <v>-44626.932203389821</v>
      </c>
    </row>
    <row r="51" spans="1:10" ht="15.75" customHeight="1" x14ac:dyDescent="0.25">
      <c r="A51" s="5"/>
      <c r="B51" s="15"/>
      <c r="C51" s="15"/>
      <c r="D51" s="15"/>
    </row>
    <row r="52" spans="1:10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10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10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10" ht="15.75" customHeight="1" x14ac:dyDescent="0.25">
      <c r="A55" s="5"/>
      <c r="B55" s="15"/>
      <c r="C55" s="15"/>
      <c r="D55" s="15"/>
    </row>
    <row r="56" spans="1:10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10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10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10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10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10" ht="15.75" customHeight="1" x14ac:dyDescent="0.25">
      <c r="A61" s="5"/>
      <c r="B61" s="15"/>
      <c r="C61" s="15"/>
      <c r="D61" s="15"/>
    </row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1" topLeftCell="A5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4.5703125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>
        <v>2017</v>
      </c>
      <c r="H1" s="1">
        <v>2018</v>
      </c>
      <c r="I1" s="1">
        <v>2019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0" t="s">
        <v>51</v>
      </c>
      <c r="G5" s="9">
        <f t="shared" ref="G5:I5" si="0">(B14+B15)/B40*365</f>
        <v>79.08060694147926</v>
      </c>
      <c r="H5" s="9">
        <f t="shared" si="0"/>
        <v>40.422407512626968</v>
      </c>
      <c r="I5" s="9">
        <f t="shared" si="0"/>
        <v>6.6128921494504587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0" t="s">
        <v>52</v>
      </c>
      <c r="G6" s="9">
        <f t="shared" ref="G6:I6" si="1">(B11+B12+B13)/B40*365</f>
        <v>28.283936681881571</v>
      </c>
      <c r="H6" s="9">
        <f t="shared" si="1"/>
        <v>19.219517289237935</v>
      </c>
      <c r="I6" s="9">
        <f t="shared" si="1"/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0" t="s">
        <v>53</v>
      </c>
      <c r="G7" s="9">
        <f t="shared" ref="G7:I7" si="2">B33/B40*365</f>
        <v>45.940622400407264</v>
      </c>
      <c r="H7" s="9">
        <f t="shared" si="2"/>
        <v>55.849769918500165</v>
      </c>
      <c r="I7" s="9">
        <f t="shared" si="2"/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0" t="s">
        <v>54</v>
      </c>
      <c r="G8" s="9">
        <f t="shared" ref="G8:I8" si="3">B40/B9</f>
        <v>3.5005841769341819</v>
      </c>
      <c r="H8" s="9">
        <f t="shared" si="3"/>
        <v>2.1577291860085284</v>
      </c>
      <c r="I8" s="9">
        <f t="shared" si="3"/>
        <v>1.3411932352506755</v>
      </c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9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0" t="s">
        <v>56</v>
      </c>
      <c r="G19" s="14">
        <f t="shared" ref="G19:I19" si="4">B19-B34</f>
        <v>77916</v>
      </c>
      <c r="H19" s="14">
        <f t="shared" si="4"/>
        <v>-87185</v>
      </c>
      <c r="I19" s="14">
        <f t="shared" si="4"/>
        <v>-191794</v>
      </c>
    </row>
    <row r="20" spans="1:9" x14ac:dyDescent="0.25">
      <c r="A20" s="5"/>
      <c r="B20" s="15"/>
      <c r="C20" s="15"/>
      <c r="D20" s="15"/>
      <c r="F20" s="20" t="s">
        <v>57</v>
      </c>
      <c r="G20" s="9">
        <f t="shared" ref="G20:I20" si="5">B19/B34</f>
        <v>1.4337099916504314</v>
      </c>
      <c r="H20" s="9">
        <f t="shared" si="5"/>
        <v>0.59303085468888572</v>
      </c>
      <c r="I20" s="9">
        <f t="shared" si="5"/>
        <v>0.17830274364642779</v>
      </c>
    </row>
    <row r="21" spans="1:9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0" t="s">
        <v>58</v>
      </c>
      <c r="G21" s="9">
        <f t="shared" ref="G21:I21" si="6">SUM(B14:B18)/B34</f>
        <v>1.0652101308099082</v>
      </c>
      <c r="H21" s="9">
        <f t="shared" si="6"/>
        <v>0.40752929094898005</v>
      </c>
      <c r="I21" s="9">
        <f t="shared" si="6"/>
        <v>5.2006752009322574E-2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</row>
    <row r="27" spans="1:9" ht="15.75" customHeight="1" x14ac:dyDescent="0.25">
      <c r="A27" s="12"/>
      <c r="B27" s="13"/>
      <c r="C27" s="13"/>
      <c r="D27" s="13"/>
      <c r="F27" s="7" t="s">
        <v>59</v>
      </c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0" t="s">
        <v>60</v>
      </c>
      <c r="G28" s="18">
        <f t="shared" ref="G28:I28" si="7">B36/B26</f>
        <v>16.515705254839983</v>
      </c>
      <c r="H28" s="18">
        <f t="shared" si="7"/>
        <v>113.41912464319695</v>
      </c>
      <c r="I28" s="18">
        <f t="shared" si="7"/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0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9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0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9" ht="15.75" customHeight="1" x14ac:dyDescent="0.25">
      <c r="A31" s="12"/>
      <c r="B31" s="13"/>
      <c r="C31" s="13"/>
      <c r="D31" s="13"/>
      <c r="F31" s="20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 t="s">
        <v>64</v>
      </c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65</v>
      </c>
      <c r="G40" s="19">
        <f t="shared" ref="G40:I40" si="11">B60/B40</f>
        <v>-4.9301461594820906E-2</v>
      </c>
      <c r="H40" s="19">
        <f t="shared" si="11"/>
        <v>-2.466550035146654E-2</v>
      </c>
      <c r="I40" s="19">
        <f t="shared" si="11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0" t="s">
        <v>66</v>
      </c>
      <c r="G41" s="19">
        <f t="shared" ref="G41:I41" si="12">B50/B40</f>
        <v>-5.2237150113293378E-2</v>
      </c>
      <c r="H41" s="19">
        <f t="shared" si="12"/>
        <v>3.9078461272421504E-2</v>
      </c>
      <c r="I41" s="19">
        <f t="shared" si="12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67</v>
      </c>
      <c r="G42" s="19">
        <f t="shared" ref="G42:I42" si="13">B60/B21</f>
        <v>-8.3966652120430613E-2</v>
      </c>
      <c r="H42" s="19">
        <f t="shared" si="13"/>
        <v>-3.9040842632521271E-2</v>
      </c>
      <c r="I42" s="19">
        <f t="shared" si="13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0" t="s">
        <v>68</v>
      </c>
      <c r="G43" s="19">
        <f t="shared" ref="G43:I43" si="14">B60/B26</f>
        <v>-1.3867684776567166</v>
      </c>
      <c r="H43" s="19">
        <f t="shared" si="14"/>
        <v>-4.4279781967133669</v>
      </c>
      <c r="I43" s="19">
        <f t="shared" si="14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0" t="s">
        <v>69</v>
      </c>
      <c r="G44" s="9">
        <f t="shared" ref="G44:I44" si="15">(B41+B47+B48+B49)/B42</f>
        <v>2.2222222222222223</v>
      </c>
      <c r="H44" s="9">
        <f t="shared" si="15"/>
        <v>2.1276595744680851</v>
      </c>
      <c r="I44" s="9">
        <f t="shared" si="15"/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25">
      <c r="A51" s="5"/>
      <c r="B51" s="15"/>
      <c r="C51" s="15"/>
      <c r="D51" s="15"/>
    </row>
    <row r="52" spans="1:4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25">
      <c r="A55" s="5"/>
      <c r="B55" s="15"/>
      <c r="C55" s="15"/>
      <c r="D55" s="15"/>
    </row>
    <row r="56" spans="1:4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25">
      <c r="A61" s="5"/>
      <c r="B61" s="15"/>
      <c r="C61" s="15"/>
      <c r="D61" s="15"/>
    </row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pane ySplit="1" topLeftCell="A10" activePane="bottomLeft" state="frozen"/>
      <selection pane="bottomLeft" activeCell="I21" sqref="I21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customWidth="1"/>
    <col min="7" max="7" width="11.85546875" customWidth="1"/>
    <col min="8" max="8" width="12.28515625" customWidth="1"/>
    <col min="9" max="9" width="10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0" t="s">
        <v>51</v>
      </c>
      <c r="G5" s="21">
        <f t="shared" ref="G5:I5" si="0">B14/B40*365</f>
        <v>56.509768268844084</v>
      </c>
      <c r="H5" s="21">
        <f t="shared" si="0"/>
        <v>27.954386483020677</v>
      </c>
      <c r="I5" s="21">
        <f t="shared" si="0"/>
        <v>2.9614224331997354</v>
      </c>
      <c r="J5" s="22"/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0" t="s">
        <v>52</v>
      </c>
      <c r="G6" s="21">
        <f t="shared" ref="G6:I6" si="1">(B11+B12+B13)/B40*365</f>
        <v>28.283936681881571</v>
      </c>
      <c r="H6" s="21">
        <f t="shared" si="1"/>
        <v>19.219517289237935</v>
      </c>
      <c r="I6" s="21">
        <f t="shared" si="1"/>
        <v>21.571478109289597</v>
      </c>
      <c r="J6" s="22"/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0" t="s">
        <v>53</v>
      </c>
      <c r="G7" s="21">
        <f t="shared" ref="G7:I7" si="2">B33/B40*365</f>
        <v>45.940622400407264</v>
      </c>
      <c r="H7" s="21">
        <f t="shared" si="2"/>
        <v>55.849769918500165</v>
      </c>
      <c r="I7" s="21">
        <f t="shared" si="2"/>
        <v>92.622932024880086</v>
      </c>
      <c r="J7" s="22"/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0" t="s">
        <v>54</v>
      </c>
      <c r="G8" s="21">
        <f t="shared" ref="G8:I8" si="3">B40/B9</f>
        <v>3.5005841769341819</v>
      </c>
      <c r="H8" s="21">
        <f t="shared" si="3"/>
        <v>2.1577291860085284</v>
      </c>
      <c r="I8" s="21">
        <f t="shared" si="3"/>
        <v>1.3411932352506755</v>
      </c>
      <c r="J8" s="22"/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10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10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10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0" t="s">
        <v>56</v>
      </c>
      <c r="G19" s="23">
        <f>B19-B34</f>
        <v>77916</v>
      </c>
      <c r="H19" s="23">
        <f t="shared" ref="H19:I19" si="4">C19-C34</f>
        <v>-87185</v>
      </c>
      <c r="I19" s="23">
        <f t="shared" si="4"/>
        <v>-191794</v>
      </c>
    </row>
    <row r="20" spans="1:10" x14ac:dyDescent="0.25">
      <c r="A20" s="5"/>
      <c r="B20" s="15"/>
      <c r="C20" s="15"/>
      <c r="D20" s="15"/>
      <c r="F20" s="20" t="s">
        <v>57</v>
      </c>
      <c r="G20" s="24">
        <f>B19/B34</f>
        <v>1.4337099916504314</v>
      </c>
      <c r="H20" s="24">
        <f>C19/C34</f>
        <v>0.59303085468888572</v>
      </c>
      <c r="I20" s="24">
        <f>D19/D34</f>
        <v>0.17830274364642779</v>
      </c>
    </row>
    <row r="21" spans="1:10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0" t="s">
        <v>58</v>
      </c>
      <c r="G21" s="24">
        <f>(B17+B16+B14)/B34</f>
        <v>0.76243250765377124</v>
      </c>
      <c r="H21" s="24">
        <f>(C17+C16+C14)/C34</f>
        <v>0.28275685011436308</v>
      </c>
      <c r="I21" s="24">
        <f>(D17+D16+D14)/D34</f>
        <v>2.5350024848765272E-2</v>
      </c>
      <c r="J21" s="24"/>
    </row>
    <row r="22" spans="1:10" ht="15.75" customHeight="1" x14ac:dyDescent="0.25">
      <c r="A22" s="5"/>
      <c r="B22" s="15"/>
      <c r="C22" s="15"/>
      <c r="D22" s="15"/>
      <c r="G22" s="25"/>
      <c r="H22" s="25"/>
      <c r="I22" s="25"/>
    </row>
    <row r="23" spans="1:10" ht="15.75" customHeight="1" x14ac:dyDescent="0.25">
      <c r="A23" s="5" t="s">
        <v>16</v>
      </c>
      <c r="B23" s="8">
        <v>237</v>
      </c>
      <c r="C23" s="8">
        <v>237</v>
      </c>
      <c r="D23" s="8">
        <v>237</v>
      </c>
      <c r="G23" s="25"/>
      <c r="H23" s="25"/>
      <c r="I23" s="25"/>
    </row>
    <row r="24" spans="1:10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  <c r="G24" s="25"/>
      <c r="H24" s="25"/>
      <c r="I24" s="25"/>
    </row>
    <row r="25" spans="1:10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  <c r="G25" s="25"/>
      <c r="H25" s="25"/>
      <c r="I25" s="25"/>
    </row>
    <row r="26" spans="1:10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  <c r="G26" s="25"/>
      <c r="H26" s="25"/>
      <c r="I26" s="25"/>
    </row>
    <row r="27" spans="1:10" ht="15.75" customHeight="1" x14ac:dyDescent="0.25">
      <c r="A27" s="12"/>
      <c r="B27" s="13"/>
      <c r="C27" s="13"/>
      <c r="D27" s="13"/>
      <c r="F27" s="7" t="s">
        <v>59</v>
      </c>
      <c r="G27" s="25"/>
      <c r="H27" s="25"/>
      <c r="I27" s="25"/>
    </row>
    <row r="28" spans="1:10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0" t="s">
        <v>60</v>
      </c>
      <c r="G28" s="26">
        <f t="shared" ref="G28:I28" si="5">B21/B26</f>
        <v>16.515705254839983</v>
      </c>
      <c r="H28" s="26">
        <f t="shared" si="5"/>
        <v>113.41912464319695</v>
      </c>
      <c r="I28" s="26">
        <f t="shared" si="5"/>
        <v>6669.7580645161288</v>
      </c>
    </row>
    <row r="29" spans="1:10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0" t="s">
        <v>61</v>
      </c>
      <c r="G29" s="19">
        <f t="shared" ref="G29:I29" si="6">B26/B36</f>
        <v>6.0548428575700489E-2</v>
      </c>
      <c r="H29" s="19">
        <f t="shared" si="6"/>
        <v>8.8168552097883032E-3</v>
      </c>
      <c r="I29" s="19">
        <f t="shared" si="6"/>
        <v>1.4993047578743728E-4</v>
      </c>
    </row>
    <row r="30" spans="1:10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0" t="s">
        <v>62</v>
      </c>
      <c r="G30" s="14">
        <f t="shared" ref="G30:I30" si="7">B28+B32</f>
        <v>361310</v>
      </c>
      <c r="H30" s="14">
        <f t="shared" si="7"/>
        <v>355590</v>
      </c>
      <c r="I30" s="14">
        <f t="shared" si="7"/>
        <v>284801</v>
      </c>
    </row>
    <row r="31" spans="1:10" ht="15.75" customHeight="1" x14ac:dyDescent="0.25">
      <c r="A31" s="12"/>
      <c r="B31" s="13"/>
      <c r="C31" s="13"/>
      <c r="D31" s="13"/>
      <c r="F31" s="20" t="s">
        <v>63</v>
      </c>
      <c r="G31" s="9">
        <f t="shared" ref="G31:I31" si="8">G30/B50</f>
        <v>-8.0962320769285423</v>
      </c>
      <c r="H31" s="9">
        <f t="shared" si="8"/>
        <v>12.056849306408786</v>
      </c>
      <c r="I31" s="9">
        <f t="shared" si="8"/>
        <v>5.5332159070178468</v>
      </c>
    </row>
    <row r="32" spans="1:10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  <c r="G32" s="25"/>
      <c r="H32" s="25"/>
      <c r="I32" s="25"/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  <c r="G33" s="25"/>
      <c r="H33" s="25"/>
      <c r="I33" s="25"/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  <c r="G34" s="25"/>
      <c r="H34" s="25"/>
      <c r="I34" s="25"/>
    </row>
    <row r="35" spans="1:9" ht="15.75" customHeight="1" x14ac:dyDescent="0.25">
      <c r="A35" s="5"/>
      <c r="B35" s="15"/>
      <c r="C35" s="15"/>
      <c r="D35" s="15"/>
      <c r="G35" s="25"/>
      <c r="H35" s="25"/>
      <c r="I35" s="25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  <c r="G36" s="25"/>
      <c r="H36" s="25"/>
      <c r="I36" s="25"/>
    </row>
    <row r="37" spans="1:9" ht="15.75" customHeight="1" x14ac:dyDescent="0.25">
      <c r="A37" s="6"/>
      <c r="B37" s="6"/>
      <c r="C37" s="6"/>
      <c r="D37" s="6"/>
      <c r="G37" s="25"/>
      <c r="H37" s="25"/>
      <c r="I37" s="25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  <c r="G38" s="25"/>
      <c r="H38" s="25"/>
      <c r="I38" s="25"/>
    </row>
    <row r="39" spans="1:9" ht="15.75" customHeight="1" x14ac:dyDescent="0.25">
      <c r="A39" s="5"/>
      <c r="B39" s="6"/>
      <c r="C39" s="6"/>
      <c r="D39" s="6"/>
      <c r="F39" s="7" t="s">
        <v>64</v>
      </c>
      <c r="G39" s="25"/>
      <c r="H39" s="25"/>
      <c r="I39" s="25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65</v>
      </c>
      <c r="G40" s="27">
        <f t="shared" ref="G40:I40" si="9">B60/B40</f>
        <v>-4.9301461594820926E-2</v>
      </c>
      <c r="H40" s="27">
        <f t="shared" si="9"/>
        <v>-2.466550035146654E-2</v>
      </c>
      <c r="I40" s="27">
        <f t="shared" si="9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0" t="s">
        <v>66</v>
      </c>
      <c r="G41" s="27">
        <f t="shared" ref="G41:I41" si="10">B50/B40</f>
        <v>-5.2237150113293378E-2</v>
      </c>
      <c r="H41" s="27">
        <f t="shared" si="10"/>
        <v>3.9078461272421504E-2</v>
      </c>
      <c r="I41" s="27">
        <f t="shared" si="10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67</v>
      </c>
      <c r="G42" s="28">
        <f t="shared" ref="G42:I42" si="11">B60/B21</f>
        <v>-8.3966652120430654E-2</v>
      </c>
      <c r="H42" s="28">
        <f t="shared" si="11"/>
        <v>-3.9040842632521271E-2</v>
      </c>
      <c r="I42" s="28">
        <f t="shared" si="11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0" t="s">
        <v>68</v>
      </c>
      <c r="G43" s="29">
        <f t="shared" ref="G43:I43" si="12">B60/B26</f>
        <v>-1.3867684776567173</v>
      </c>
      <c r="H43" s="29">
        <f t="shared" si="12"/>
        <v>-4.4279781967133669</v>
      </c>
      <c r="I43" s="29">
        <f t="shared" si="12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0" t="s">
        <v>69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7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7" ht="15.75" customHeight="1" x14ac:dyDescent="0.25">
      <c r="A50" s="10" t="s">
        <v>41</v>
      </c>
      <c r="B50" s="30">
        <v>-44626.932203389821</v>
      </c>
      <c r="C50" s="30">
        <v>29492.779661017004</v>
      </c>
      <c r="D50" s="30">
        <v>51471.152542372933</v>
      </c>
    </row>
    <row r="51" spans="1:7" ht="15.75" customHeight="1" x14ac:dyDescent="0.25">
      <c r="A51" s="5"/>
      <c r="B51" s="15"/>
      <c r="C51" s="15"/>
      <c r="D51" s="15"/>
    </row>
    <row r="52" spans="1:7" ht="15.75" customHeight="1" x14ac:dyDescent="0.25">
      <c r="A52" s="5" t="s">
        <v>42</v>
      </c>
      <c r="B52" s="31">
        <v>-7540</v>
      </c>
      <c r="C52" s="31">
        <v>-13580</v>
      </c>
      <c r="D52" s="31">
        <v>-10353</v>
      </c>
    </row>
    <row r="53" spans="1:7" ht="15.75" customHeight="1" x14ac:dyDescent="0.25">
      <c r="A53" s="5" t="s">
        <v>43</v>
      </c>
      <c r="B53" s="31">
        <v>-32802</v>
      </c>
      <c r="C53" s="31">
        <v>-25487</v>
      </c>
      <c r="D53" s="31">
        <v>-23145</v>
      </c>
    </row>
    <row r="54" spans="1:7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7" ht="15.75" customHeight="1" x14ac:dyDescent="0.25">
      <c r="A55" s="5"/>
      <c r="B55" s="15"/>
      <c r="C55" s="15"/>
      <c r="D55" s="15"/>
      <c r="F55" s="14"/>
      <c r="G55" s="14"/>
    </row>
    <row r="56" spans="1:7" ht="15.75" customHeight="1" x14ac:dyDescent="0.25">
      <c r="A56" s="5" t="s">
        <v>45</v>
      </c>
      <c r="B56" s="31">
        <v>131858</v>
      </c>
      <c r="C56" s="31">
        <v>34570</v>
      </c>
      <c r="D56" s="31">
        <v>20820</v>
      </c>
      <c r="F56" s="14"/>
      <c r="G56" s="14"/>
    </row>
    <row r="57" spans="1:7" ht="15.75" customHeight="1" x14ac:dyDescent="0.25">
      <c r="A57" s="5" t="s">
        <v>46</v>
      </c>
      <c r="B57" s="31">
        <v>-89000</v>
      </c>
      <c r="C57" s="31">
        <v>-43582</v>
      </c>
      <c r="D57" s="31">
        <v>-35624</v>
      </c>
    </row>
    <row r="58" spans="1:7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7" ht="15.75" customHeight="1" x14ac:dyDescent="0.25">
      <c r="A59" s="5" t="s">
        <v>48</v>
      </c>
      <c r="B59" s="31">
        <v>-8</v>
      </c>
      <c r="C59" s="31">
        <v>-29</v>
      </c>
      <c r="D59" s="31">
        <v>-73</v>
      </c>
    </row>
    <row r="60" spans="1:7" ht="15.75" customHeight="1" x14ac:dyDescent="0.25">
      <c r="A60" s="10" t="s">
        <v>49</v>
      </c>
      <c r="B60" s="11">
        <f t="shared" ref="B60:D60" si="13">B50+B52+B53+B56+B57+B59</f>
        <v>-42118.932203389821</v>
      </c>
      <c r="C60" s="11">
        <f t="shared" si="13"/>
        <v>-18615.220338982996</v>
      </c>
      <c r="D60" s="11">
        <f t="shared" si="13"/>
        <v>3096.1525423729327</v>
      </c>
    </row>
    <row r="61" spans="1:7" ht="15.75" customHeight="1" x14ac:dyDescent="0.25">
      <c r="A61" s="5"/>
      <c r="B61" s="15"/>
      <c r="C61" s="15"/>
      <c r="D61" s="15"/>
    </row>
    <row r="62" spans="1:7" ht="15.75" customHeight="1" x14ac:dyDescent="0.25"/>
    <row r="63" spans="1:7" ht="15.75" customHeight="1" x14ac:dyDescent="0.25"/>
    <row r="64" spans="1: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Roman Ostapchuk</cp:lastModifiedBy>
  <dcterms:created xsi:type="dcterms:W3CDTF">2020-06-24T10:57:20Z</dcterms:created>
  <dcterms:modified xsi:type="dcterms:W3CDTF">2024-10-09T18:41:11Z</dcterms:modified>
</cp:coreProperties>
</file>