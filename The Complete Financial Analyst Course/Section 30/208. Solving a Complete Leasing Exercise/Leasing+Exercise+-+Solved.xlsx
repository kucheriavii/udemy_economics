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filterPrivacy="1"/>
  <xr:revisionPtr revIDLastSave="0" documentId="13_ncr:1_{93F7DFD0-3BED-4C6A-B83D-8DF1E296CC99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Leasing" sheetId="3" r:id="rId1"/>
    <sheet name="Lease_table" sheetId="4" r:id="rId2"/>
    <sheet name="Sheet3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4" i="3" l="1"/>
  <c r="I1" i="6" l="1"/>
  <c r="A2" i="6" s="1"/>
  <c r="E2" i="6" s="1"/>
  <c r="I2" i="6" s="1"/>
  <c r="A3" i="6" s="1"/>
  <c r="E3" i="6" s="1"/>
  <c r="I3" i="6" s="1"/>
  <c r="A4" i="6" s="1"/>
  <c r="E4" i="6" s="1"/>
  <c r="I4" i="6" s="1"/>
  <c r="A5" i="6" s="1"/>
  <c r="E5" i="6" s="1"/>
  <c r="I5" i="6" s="1"/>
  <c r="A6" i="6" s="1"/>
  <c r="E6" i="6" s="1"/>
  <c r="I6" i="6" s="1"/>
  <c r="E1" i="6"/>
  <c r="F34" i="3"/>
  <c r="J34" i="3"/>
  <c r="J35" i="3"/>
  <c r="I5" i="4"/>
  <c r="M5" i="4" s="1"/>
  <c r="O5" i="4" s="1"/>
  <c r="O4" i="4"/>
  <c r="G6" i="4"/>
  <c r="G7" i="4"/>
  <c r="G8" i="4"/>
  <c r="G9" i="4"/>
  <c r="G10" i="4"/>
  <c r="G5" i="4"/>
  <c r="G4" i="4"/>
  <c r="E7" i="4"/>
  <c r="E8" i="4" s="1"/>
  <c r="E9" i="4" s="1"/>
  <c r="E10" i="4" s="1"/>
  <c r="E6" i="4"/>
  <c r="C6" i="4"/>
  <c r="C7" i="4"/>
  <c r="C8" i="4"/>
  <c r="C9" i="4"/>
  <c r="C10" i="4"/>
  <c r="E5" i="4"/>
  <c r="C5" i="4"/>
  <c r="I6" i="4" l="1"/>
  <c r="M6" i="4" s="1"/>
  <c r="O6" i="4" s="1"/>
  <c r="I29" i="3"/>
  <c r="I28" i="3"/>
  <c r="H28" i="3"/>
  <c r="G16" i="3"/>
  <c r="I7" i="4" l="1"/>
  <c r="M7" i="4" s="1"/>
  <c r="O7" i="4" s="1"/>
  <c r="I8" i="4" s="1"/>
  <c r="M8" i="4" s="1"/>
  <c r="O8" i="4" s="1"/>
  <c r="J28" i="3"/>
  <c r="G29" i="3" s="1"/>
  <c r="I9" i="4" l="1"/>
  <c r="M9" i="4" s="1"/>
  <c r="O9" i="4"/>
  <c r="I10" i="4" s="1"/>
  <c r="M10" i="4" s="1"/>
  <c r="H29" i="3"/>
  <c r="J29" i="3" s="1"/>
</calcChain>
</file>

<file path=xl/sharedStrings.xml><?xml version="1.0" encoding="utf-8"?>
<sst xmlns="http://schemas.openxmlformats.org/spreadsheetml/2006/main" count="46" uniqueCount="44">
  <si>
    <t>A company leases a fixed asset under the following terms:</t>
  </si>
  <si>
    <t>Estimated useful life (in years)</t>
  </si>
  <si>
    <t>Lease period (in years)</t>
  </si>
  <si>
    <t xml:space="preserve">Once the lease period ends the asset will be returned back to the lessor 
</t>
  </si>
  <si>
    <t>Annual rent for the fixed asset ($)</t>
  </si>
  <si>
    <t>Residual value at the end of the leasing term ($)</t>
  </si>
  <si>
    <t>Fair value of the fixed asset ($)</t>
  </si>
  <si>
    <t>Interest payment per year</t>
  </si>
  <si>
    <t xml:space="preserve">What is the right way to account for this lease? How is accounting going to look like at the end of year 1?
</t>
  </si>
  <si>
    <t>Solution:</t>
  </si>
  <si>
    <t>In terms of Accounting:</t>
  </si>
  <si>
    <t>Fixed assets</t>
  </si>
  <si>
    <t>Leasing liabilities</t>
  </si>
  <si>
    <t>Annual D&amp;A:</t>
  </si>
  <si>
    <t>(1) This is a finance lease - the estimated useful life of the fixed asset is 6 years, and the company leases the asset for 6 years.</t>
  </si>
  <si>
    <t>(2) Recognize the asset and corresponding liabilities in the Balance Sheet</t>
  </si>
  <si>
    <t>(3) Calculate annual D&amp;A</t>
  </si>
  <si>
    <t>(4) Register D&amp;A</t>
  </si>
  <si>
    <t>D&amp;A</t>
  </si>
  <si>
    <t>Accumul. D&amp;A</t>
  </si>
  <si>
    <t>(5) Leasing calculations</t>
  </si>
  <si>
    <t>Year</t>
  </si>
  <si>
    <t>Starting</t>
  </si>
  <si>
    <t>Ending</t>
  </si>
  <si>
    <t>Rent</t>
  </si>
  <si>
    <t>(6) Account for interest expenses</t>
  </si>
  <si>
    <t>Interest expenses</t>
  </si>
  <si>
    <t>(7) Balance sheet entries</t>
  </si>
  <si>
    <t>Leasing</t>
  </si>
  <si>
    <t>Depreciation</t>
  </si>
  <si>
    <t>Accumulated Depreciation</t>
  </si>
  <si>
    <t>Carrying Value of Asset in Balance Sheet</t>
  </si>
  <si>
    <t>P&amp;L Statement</t>
  </si>
  <si>
    <t>Rental Payments</t>
  </si>
  <si>
    <t>Capital Repaid</t>
  </si>
  <si>
    <t>Interest Expense</t>
  </si>
  <si>
    <t>Interest</t>
  </si>
  <si>
    <t>Interest (5.47%)</t>
  </si>
  <si>
    <t>Capital Remaining/Lease Liability</t>
  </si>
  <si>
    <t>Carrying value at the end of year 1 = 200000-40000+10943= $170943</t>
  </si>
  <si>
    <t>Lease liability at the end of year 1 =  $170943</t>
  </si>
  <si>
    <t>Interest expense will be credited from Cash.</t>
  </si>
  <si>
    <t>Total:</t>
  </si>
  <si>
    <t>Lease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</si>
</sst>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4"/>
      <color rgb="FF002060"/>
      <name val="Arial"/>
      <family val="2"/>
      <charset val="204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/>
    <xf numFmtId="0" fontId="3" fillId="2" borderId="0" xfId="0" applyFont="1" applyFill="1" applyAlignment="1">
      <alignment wrapText="1"/>
    </xf>
    <xf numFmtId="165" fontId="1" fillId="2" borderId="0" xfId="1" applyNumberFormat="1" applyFont="1" applyFill="1"/>
    <xf numFmtId="0" fontId="3" fillId="2" borderId="0" xfId="0" applyFont="1" applyFill="1" applyAlignment="1"/>
    <xf numFmtId="0" fontId="5" fillId="0" borderId="0" xfId="0" applyFont="1" applyAlignment="1">
      <alignment horizontal="left" vertical="center" readingOrder="1"/>
    </xf>
    <xf numFmtId="0" fontId="1" fillId="2" borderId="2" xfId="0" applyFont="1" applyFill="1" applyBorder="1"/>
    <xf numFmtId="0" fontId="1" fillId="2" borderId="3" xfId="0" applyFont="1" applyFill="1" applyBorder="1"/>
    <xf numFmtId="165" fontId="1" fillId="2" borderId="2" xfId="1" applyNumberFormat="1" applyFont="1" applyFill="1" applyBorder="1"/>
    <xf numFmtId="165" fontId="1" fillId="2" borderId="0" xfId="0" applyNumberFormat="1" applyFont="1" applyFill="1"/>
    <xf numFmtId="165" fontId="1" fillId="2" borderId="0" xfId="1" applyNumberFormat="1" applyFont="1" applyFill="1" applyBorder="1"/>
    <xf numFmtId="0" fontId="1" fillId="2" borderId="0" xfId="0" applyFont="1" applyFill="1" applyAlignment="1">
      <alignment horizontal="center"/>
    </xf>
    <xf numFmtId="165" fontId="1" fillId="2" borderId="0" xfId="1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10" fontId="0" fillId="0" borderId="0" xfId="0" applyNumberFormat="1"/>
    <xf numFmtId="0" fontId="0" fillId="2" borderId="0" xfId="0" applyFill="1"/>
    <xf numFmtId="0" fontId="6" fillId="2" borderId="0" xfId="0" applyFont="1" applyFill="1"/>
    <xf numFmtId="3" fontId="0" fillId="2" borderId="0" xfId="0" applyNumberFormat="1" applyFill="1"/>
    <xf numFmtId="2" fontId="0" fillId="2" borderId="0" xfId="0" applyNumberFormat="1" applyFill="1"/>
    <xf numFmtId="0" fontId="6" fillId="2" borderId="4" xfId="0" applyFont="1" applyFill="1" applyBorder="1"/>
    <xf numFmtId="10" fontId="0" fillId="2" borderId="5" xfId="0" applyNumberForma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0" fillId="2" borderId="9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0" fontId="6" fillId="2" borderId="14" xfId="0" applyFont="1" applyFill="1" applyBorder="1"/>
    <xf numFmtId="0" fontId="7" fillId="2" borderId="15" xfId="0" applyFont="1" applyFill="1" applyBorder="1"/>
    <xf numFmtId="0" fontId="0" fillId="2" borderId="15" xfId="0" applyFill="1" applyBorder="1"/>
    <xf numFmtId="2" fontId="0" fillId="2" borderId="15" xfId="0" applyNumberFormat="1" applyFill="1" applyBorder="1"/>
    <xf numFmtId="2" fontId="0" fillId="2" borderId="16" xfId="0" applyNumberFormat="1" applyFill="1" applyBorder="1"/>
    <xf numFmtId="2" fontId="0" fillId="2" borderId="0" xfId="0" applyNumberFormat="1" applyFill="1" applyBorder="1"/>
    <xf numFmtId="10" fontId="1" fillId="2" borderId="0" xfId="0" applyNumberFormat="1" applyFont="1" applyFill="1"/>
    <xf numFmtId="165" fontId="1" fillId="2" borderId="2" xfId="0" applyNumberFormat="1" applyFont="1" applyFill="1" applyBorder="1"/>
    <xf numFmtId="0" fontId="8" fillId="2" borderId="0" xfId="0" applyFont="1" applyFill="1"/>
    <xf numFmtId="0" fontId="3" fillId="2" borderId="1" xfId="0" applyFont="1" applyFill="1" applyBorder="1" applyAlignment="1">
      <alignment horizontal="center"/>
    </xf>
    <xf numFmtId="165" fontId="1" fillId="2" borderId="1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1"/>
  <sheetViews>
    <sheetView tabSelected="1" workbookViewId="0"/>
  </sheetViews>
  <sheetFormatPr defaultColWidth="9.140625" defaultRowHeight="12" x14ac:dyDescent="0.2"/>
  <cols>
    <col min="1" max="1" width="2" style="1" customWidth="1"/>
    <col min="2" max="2" width="67.5703125" style="1" customWidth="1"/>
    <col min="3" max="3" width="8.5703125" style="1" bestFit="1" customWidth="1"/>
    <col min="4" max="4" width="21.85546875" style="1" customWidth="1"/>
    <col min="5" max="5" width="16.28515625" style="1" bestFit="1" customWidth="1"/>
    <col min="6" max="6" width="10" style="1" bestFit="1" customWidth="1"/>
    <col min="7" max="7" width="10.140625" style="1" customWidth="1"/>
    <col min="8" max="8" width="14.42578125" style="1" customWidth="1"/>
    <col min="9" max="16384" width="9.140625" style="1"/>
  </cols>
  <sheetData>
    <row r="1" spans="2:10" ht="15.75" x14ac:dyDescent="0.25">
      <c r="B1" s="2" t="s">
        <v>28</v>
      </c>
    </row>
    <row r="3" spans="2:10" ht="15.75" x14ac:dyDescent="0.25">
      <c r="B3" s="1" t="s">
        <v>0</v>
      </c>
      <c r="F3" s="2" t="s">
        <v>9</v>
      </c>
    </row>
    <row r="5" spans="2:10" x14ac:dyDescent="0.2">
      <c r="B5" s="1" t="s">
        <v>1</v>
      </c>
      <c r="C5" s="1">
        <v>6</v>
      </c>
      <c r="F5" s="1" t="s">
        <v>14</v>
      </c>
    </row>
    <row r="6" spans="2:10" x14ac:dyDescent="0.2">
      <c r="B6" s="1" t="s">
        <v>2</v>
      </c>
      <c r="C6" s="3">
        <v>6</v>
      </c>
      <c r="D6" s="3"/>
      <c r="E6" s="3"/>
    </row>
    <row r="7" spans="2:10" ht="24" x14ac:dyDescent="0.2">
      <c r="B7" s="4" t="s">
        <v>3</v>
      </c>
      <c r="F7" s="1" t="s">
        <v>10</v>
      </c>
    </row>
    <row r="8" spans="2:10" x14ac:dyDescent="0.2">
      <c r="B8" s="1" t="s">
        <v>4</v>
      </c>
      <c r="C8" s="5">
        <v>40000</v>
      </c>
    </row>
    <row r="9" spans="2:10" x14ac:dyDescent="0.2">
      <c r="B9" s="1" t="s">
        <v>5</v>
      </c>
      <c r="C9" s="1">
        <v>0</v>
      </c>
      <c r="F9" s="1" t="s">
        <v>15</v>
      </c>
    </row>
    <row r="10" spans="2:10" x14ac:dyDescent="0.2">
      <c r="B10" s="1" t="s">
        <v>6</v>
      </c>
      <c r="C10" s="5">
        <v>200000</v>
      </c>
      <c r="F10" s="44" t="s">
        <v>11</v>
      </c>
      <c r="G10" s="44"/>
      <c r="I10" s="44" t="s">
        <v>12</v>
      </c>
      <c r="J10" s="44"/>
    </row>
    <row r="11" spans="2:10" x14ac:dyDescent="0.2">
      <c r="B11" s="1" t="s">
        <v>7</v>
      </c>
      <c r="C11" s="41">
        <v>5.4717000000000002E-2</v>
      </c>
      <c r="F11" s="10">
        <v>200000</v>
      </c>
      <c r="I11" s="8"/>
      <c r="J11" s="12">
        <v>200000</v>
      </c>
    </row>
    <row r="12" spans="2:10" x14ac:dyDescent="0.2">
      <c r="F12" s="9"/>
      <c r="I12" s="9"/>
    </row>
    <row r="13" spans="2:10" x14ac:dyDescent="0.2">
      <c r="B13" s="6" t="s">
        <v>8</v>
      </c>
      <c r="F13" s="9"/>
      <c r="I13" s="9"/>
    </row>
    <row r="15" spans="2:10" x14ac:dyDescent="0.2">
      <c r="F15" s="1" t="s">
        <v>16</v>
      </c>
    </row>
    <row r="16" spans="2:10" x14ac:dyDescent="0.2">
      <c r="F16" s="1" t="s">
        <v>13</v>
      </c>
      <c r="G16" s="11">
        <f>C10/C5</f>
        <v>33333.333333333336</v>
      </c>
    </row>
    <row r="18" spans="3:11" x14ac:dyDescent="0.2">
      <c r="F18" s="1" t="s">
        <v>17</v>
      </c>
    </row>
    <row r="19" spans="3:11" x14ac:dyDescent="0.2">
      <c r="F19" s="44" t="s">
        <v>18</v>
      </c>
      <c r="G19" s="44"/>
      <c r="I19" s="44" t="s">
        <v>19</v>
      </c>
      <c r="J19" s="44"/>
    </row>
    <row r="20" spans="3:11" x14ac:dyDescent="0.2">
      <c r="F20" s="10">
        <v>33333</v>
      </c>
      <c r="I20" s="8"/>
      <c r="J20" s="12">
        <v>33333</v>
      </c>
    </row>
    <row r="21" spans="3:11" x14ac:dyDescent="0.2">
      <c r="F21" s="9"/>
      <c r="I21" s="9"/>
    </row>
    <row r="22" spans="3:11" x14ac:dyDescent="0.2">
      <c r="F22" s="9"/>
      <c r="I22" s="9"/>
    </row>
    <row r="25" spans="3:11" x14ac:dyDescent="0.2">
      <c r="F25" s="1" t="s">
        <v>20</v>
      </c>
    </row>
    <row r="27" spans="3:11" x14ac:dyDescent="0.2">
      <c r="F27" s="15" t="s">
        <v>21</v>
      </c>
      <c r="G27" s="15" t="s">
        <v>22</v>
      </c>
      <c r="H27" s="15" t="s">
        <v>37</v>
      </c>
      <c r="I27" s="15" t="s">
        <v>24</v>
      </c>
      <c r="J27" s="15" t="s">
        <v>23</v>
      </c>
    </row>
    <row r="28" spans="3:11" x14ac:dyDescent="0.2">
      <c r="F28" s="13">
        <v>1</v>
      </c>
      <c r="G28" s="14">
        <v>200000</v>
      </c>
      <c r="H28" s="14">
        <f>G28*$C$11</f>
        <v>10943.4</v>
      </c>
      <c r="I28" s="14">
        <f>$C$8</f>
        <v>40000</v>
      </c>
      <c r="J28" s="14">
        <f>G28-I28+H28</f>
        <v>170943.4</v>
      </c>
      <c r="K28" s="5"/>
    </row>
    <row r="29" spans="3:11" ht="18" x14ac:dyDescent="0.2">
      <c r="C29" s="7"/>
      <c r="F29" s="13">
        <v>2</v>
      </c>
      <c r="G29" s="14">
        <f>J28</f>
        <v>170943.4</v>
      </c>
      <c r="H29" s="14">
        <f>G29*$C$11</f>
        <v>9353.5100177999993</v>
      </c>
      <c r="I29" s="14">
        <f>$C$8</f>
        <v>40000</v>
      </c>
      <c r="J29" s="14">
        <f>G29-I29+H29</f>
        <v>140296.91001779999</v>
      </c>
      <c r="K29" s="5"/>
    </row>
    <row r="31" spans="3:11" x14ac:dyDescent="0.2">
      <c r="F31" s="43" t="s">
        <v>25</v>
      </c>
    </row>
    <row r="33" spans="6:10" x14ac:dyDescent="0.2">
      <c r="F33" s="44" t="s">
        <v>26</v>
      </c>
      <c r="G33" s="44"/>
      <c r="I33" s="44" t="s">
        <v>12</v>
      </c>
      <c r="J33" s="44"/>
    </row>
    <row r="34" spans="6:10" x14ac:dyDescent="0.2">
      <c r="F34" s="10">
        <f>H28</f>
        <v>10943.4</v>
      </c>
      <c r="I34" s="42">
        <f>Lease_table!M5</f>
        <v>29056.414000000001</v>
      </c>
      <c r="J34" s="12">
        <f>G28</f>
        <v>200000</v>
      </c>
    </row>
    <row r="35" spans="6:10" x14ac:dyDescent="0.2">
      <c r="F35" s="9"/>
      <c r="I35" s="8" t="s">
        <v>42</v>
      </c>
      <c r="J35" s="45">
        <f>J28</f>
        <v>170943.4</v>
      </c>
    </row>
    <row r="36" spans="6:10" x14ac:dyDescent="0.2">
      <c r="F36" s="9"/>
      <c r="I36" s="9"/>
    </row>
    <row r="37" spans="6:10" x14ac:dyDescent="0.2">
      <c r="F37" s="1" t="s">
        <v>41</v>
      </c>
    </row>
    <row r="39" spans="6:10" x14ac:dyDescent="0.2">
      <c r="F39" s="43" t="s">
        <v>27</v>
      </c>
    </row>
    <row r="40" spans="6:10" x14ac:dyDescent="0.2">
      <c r="F40" s="1" t="s">
        <v>39</v>
      </c>
    </row>
    <row r="41" spans="6:10" x14ac:dyDescent="0.2">
      <c r="F41" s="1" t="s">
        <v>40</v>
      </c>
    </row>
  </sheetData>
  <mergeCells count="6">
    <mergeCell ref="F10:G10"/>
    <mergeCell ref="I10:J10"/>
    <mergeCell ref="F19:G19"/>
    <mergeCell ref="I19:J19"/>
    <mergeCell ref="F33:G33"/>
    <mergeCell ref="I33:J3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BFC1-8C9A-4CB5-85B6-9A43378D6A39}">
  <dimension ref="B1:O12"/>
  <sheetViews>
    <sheetView workbookViewId="0"/>
  </sheetViews>
  <sheetFormatPr defaultRowHeight="15" x14ac:dyDescent="0.25"/>
  <cols>
    <col min="1" max="1" width="2" style="17" customWidth="1"/>
    <col min="2" max="2" width="7.7109375" style="17" customWidth="1"/>
    <col min="3" max="3" width="12.42578125" style="17" bestFit="1" customWidth="1"/>
    <col min="4" max="4" width="1.85546875" style="17" customWidth="1"/>
    <col min="5" max="5" width="24.85546875" style="17" bestFit="1" customWidth="1"/>
    <col min="6" max="6" width="1.85546875" style="17" customWidth="1"/>
    <col min="7" max="7" width="37.28515625" style="17" bestFit="1" customWidth="1"/>
    <col min="8" max="8" width="1.85546875" style="17" customWidth="1"/>
    <col min="9" max="9" width="16" style="17" bestFit="1" customWidth="1"/>
    <col min="10" max="10" width="1.85546875" style="17" customWidth="1"/>
    <col min="11" max="11" width="16" style="17" bestFit="1" customWidth="1"/>
    <col min="12" max="12" width="1.85546875" style="17" customWidth="1"/>
    <col min="13" max="13" width="17.28515625" style="17" bestFit="1" customWidth="1"/>
    <col min="14" max="14" width="1.85546875" style="17" customWidth="1"/>
    <col min="15" max="15" width="17.28515625" style="17" bestFit="1" customWidth="1"/>
    <col min="16" max="16384" width="9.140625" style="17"/>
  </cols>
  <sheetData>
    <row r="1" spans="2:15" ht="15.75" x14ac:dyDescent="0.25">
      <c r="B1" s="2" t="s">
        <v>43</v>
      </c>
    </row>
    <row r="2" spans="2:15" ht="15.75" thickBot="1" x14ac:dyDescent="0.3"/>
    <row r="3" spans="2:15" x14ac:dyDescent="0.25">
      <c r="B3" s="23" t="s">
        <v>21</v>
      </c>
      <c r="C3" s="24" t="s">
        <v>29</v>
      </c>
      <c r="D3" s="24"/>
      <c r="E3" s="24" t="s">
        <v>30</v>
      </c>
      <c r="F3" s="24"/>
      <c r="G3" s="25" t="s">
        <v>31</v>
      </c>
      <c r="H3" s="18"/>
      <c r="I3" s="35" t="s">
        <v>32</v>
      </c>
      <c r="K3" s="18" t="s">
        <v>33</v>
      </c>
      <c r="L3" s="18"/>
      <c r="M3" s="18" t="s">
        <v>34</v>
      </c>
      <c r="N3" s="18"/>
      <c r="O3" s="18" t="s">
        <v>38</v>
      </c>
    </row>
    <row r="4" spans="2:15" x14ac:dyDescent="0.25">
      <c r="B4" s="26">
        <v>0</v>
      </c>
      <c r="C4" s="27">
        <v>0</v>
      </c>
      <c r="D4" s="27"/>
      <c r="E4" s="27">
        <v>0</v>
      </c>
      <c r="F4" s="27"/>
      <c r="G4" s="28">
        <f>200000</f>
        <v>200000</v>
      </c>
      <c r="I4" s="36" t="s">
        <v>35</v>
      </c>
      <c r="K4" s="17">
        <v>0</v>
      </c>
      <c r="M4" s="17">
        <v>0</v>
      </c>
      <c r="O4" s="17">
        <f>200000</f>
        <v>200000</v>
      </c>
    </row>
    <row r="5" spans="2:15" x14ac:dyDescent="0.25">
      <c r="B5" s="26">
        <v>1</v>
      </c>
      <c r="C5" s="29">
        <f>200000/6</f>
        <v>33333.333333333336</v>
      </c>
      <c r="D5" s="27"/>
      <c r="E5" s="29">
        <f>C5</f>
        <v>33333.333333333336</v>
      </c>
      <c r="F5" s="27"/>
      <c r="G5" s="30">
        <f>$G$4-E5</f>
        <v>166666.66666666666</v>
      </c>
      <c r="I5" s="37">
        <f>$C$12*O4</f>
        <v>10943.585999999999</v>
      </c>
      <c r="K5" s="19">
        <v>40000</v>
      </c>
      <c r="M5" s="19">
        <f>K5-I5</f>
        <v>29056.414000000001</v>
      </c>
      <c r="N5" s="19"/>
      <c r="O5" s="19">
        <f>O4-M5</f>
        <v>170943.58600000001</v>
      </c>
    </row>
    <row r="6" spans="2:15" x14ac:dyDescent="0.25">
      <c r="B6" s="26">
        <v>2</v>
      </c>
      <c r="C6" s="29">
        <f t="shared" ref="C6:C10" si="0">200000/6</f>
        <v>33333.333333333336</v>
      </c>
      <c r="D6" s="27"/>
      <c r="E6" s="29">
        <f>E5+C6</f>
        <v>66666.666666666672</v>
      </c>
      <c r="F6" s="27"/>
      <c r="G6" s="30">
        <f t="shared" ref="G6:G10" si="1">$G$4-E6</f>
        <v>133333.33333333331</v>
      </c>
      <c r="I6" s="37">
        <f>$C$12*O5</f>
        <v>9353.6791726969805</v>
      </c>
      <c r="K6" s="19">
        <v>40000</v>
      </c>
      <c r="M6" s="19">
        <f>K6-I6</f>
        <v>30646.320827303018</v>
      </c>
      <c r="N6" s="19"/>
      <c r="O6" s="19">
        <f t="shared" ref="O6:O9" si="2">O5-M6</f>
        <v>140297.26517269699</v>
      </c>
    </row>
    <row r="7" spans="2:15" x14ac:dyDescent="0.25">
      <c r="B7" s="26">
        <v>3</v>
      </c>
      <c r="C7" s="29">
        <f t="shared" si="0"/>
        <v>33333.333333333336</v>
      </c>
      <c r="D7" s="27"/>
      <c r="E7" s="29">
        <f t="shared" ref="E7:E10" si="3">E6+C7</f>
        <v>100000</v>
      </c>
      <c r="F7" s="27"/>
      <c r="G7" s="30">
        <f t="shared" si="1"/>
        <v>100000</v>
      </c>
      <c r="I7" s="38">
        <f t="shared" ref="I7:I10" si="4">$C$12*O6</f>
        <v>7676.775934911072</v>
      </c>
      <c r="K7" s="19">
        <v>40000</v>
      </c>
      <c r="M7" s="19">
        <f t="shared" ref="M7:M10" si="5">K7-I7</f>
        <v>32323.224065088929</v>
      </c>
      <c r="N7" s="19"/>
      <c r="O7" s="19">
        <f t="shared" si="2"/>
        <v>107974.04110760806</v>
      </c>
    </row>
    <row r="8" spans="2:15" x14ac:dyDescent="0.25">
      <c r="B8" s="26">
        <v>4</v>
      </c>
      <c r="C8" s="29">
        <f t="shared" si="0"/>
        <v>33333.333333333336</v>
      </c>
      <c r="D8" s="27"/>
      <c r="E8" s="29">
        <f t="shared" si="3"/>
        <v>133333.33333333334</v>
      </c>
      <c r="F8" s="27"/>
      <c r="G8" s="30">
        <f t="shared" si="1"/>
        <v>66666.666666666657</v>
      </c>
      <c r="I8" s="38">
        <f t="shared" si="4"/>
        <v>5908.1160231432204</v>
      </c>
      <c r="K8" s="19">
        <v>40000</v>
      </c>
      <c r="M8" s="19">
        <f t="shared" si="5"/>
        <v>34091.883976856778</v>
      </c>
      <c r="N8" s="19"/>
      <c r="O8" s="19">
        <f t="shared" si="2"/>
        <v>73882.157130751293</v>
      </c>
    </row>
    <row r="9" spans="2:15" x14ac:dyDescent="0.25">
      <c r="B9" s="26">
        <v>5</v>
      </c>
      <c r="C9" s="29">
        <f t="shared" si="0"/>
        <v>33333.333333333336</v>
      </c>
      <c r="D9" s="27"/>
      <c r="E9" s="29">
        <f t="shared" si="3"/>
        <v>166666.66666666669</v>
      </c>
      <c r="F9" s="27"/>
      <c r="G9" s="30">
        <f t="shared" si="1"/>
        <v>33333.333333333314</v>
      </c>
      <c r="I9" s="38">
        <f t="shared" si="4"/>
        <v>4042.6787021294499</v>
      </c>
      <c r="K9" s="19">
        <v>40000</v>
      </c>
      <c r="M9" s="19">
        <f t="shared" si="5"/>
        <v>35957.321297870549</v>
      </c>
      <c r="N9" s="19"/>
      <c r="O9" s="19">
        <f t="shared" si="2"/>
        <v>37924.835832880744</v>
      </c>
    </row>
    <row r="10" spans="2:15" ht="15.75" thickBot="1" x14ac:dyDescent="0.3">
      <c r="B10" s="31">
        <v>6</v>
      </c>
      <c r="C10" s="32">
        <f t="shared" si="0"/>
        <v>33333.333333333336</v>
      </c>
      <c r="D10" s="33"/>
      <c r="E10" s="32">
        <f t="shared" si="3"/>
        <v>200000.00000000003</v>
      </c>
      <c r="F10" s="33"/>
      <c r="G10" s="34">
        <f t="shared" si="1"/>
        <v>0</v>
      </c>
      <c r="I10" s="39">
        <f t="shared" si="4"/>
        <v>2075.16851236506</v>
      </c>
      <c r="K10" s="19">
        <v>40000</v>
      </c>
      <c r="M10" s="19">
        <f t="shared" si="5"/>
        <v>37924.83148763494</v>
      </c>
      <c r="N10" s="19"/>
      <c r="O10" s="19">
        <v>0</v>
      </c>
    </row>
    <row r="11" spans="2:15" ht="15.75" thickBot="1" x14ac:dyDescent="0.3">
      <c r="I11" s="40"/>
      <c r="K11" s="19"/>
      <c r="M11" s="19"/>
      <c r="O11" s="19"/>
    </row>
    <row r="12" spans="2:15" ht="15.75" thickBot="1" x14ac:dyDescent="0.3">
      <c r="B12" s="21" t="s">
        <v>36</v>
      </c>
      <c r="C12" s="22">
        <v>5.4717929999999998E-2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438-B339-4969-9161-D472EFB86290}">
  <dimension ref="A1:I6"/>
  <sheetViews>
    <sheetView workbookViewId="0">
      <selection activeCell="E14" sqref="E14"/>
    </sheetView>
  </sheetViews>
  <sheetFormatPr defaultRowHeight="15" x14ac:dyDescent="0.25"/>
  <cols>
    <col min="9" max="9" width="11" bestFit="1" customWidth="1"/>
  </cols>
  <sheetData>
    <row r="1" spans="1:9" x14ac:dyDescent="0.25">
      <c r="A1" s="17">
        <v>200000</v>
      </c>
      <c r="B1" s="17"/>
      <c r="C1" s="16">
        <v>5.4717929999999998E-2</v>
      </c>
      <c r="D1" s="17"/>
      <c r="E1" s="17">
        <f t="shared" ref="E1:E6" si="0">A1*C1+A1</f>
        <v>210943.58600000001</v>
      </c>
      <c r="F1" s="17"/>
      <c r="G1" s="17">
        <v>40000</v>
      </c>
      <c r="H1" s="17"/>
      <c r="I1" s="17">
        <f t="shared" ref="I1:I6" si="1">E1-G1</f>
        <v>170943.58600000001</v>
      </c>
    </row>
    <row r="2" spans="1:9" x14ac:dyDescent="0.25">
      <c r="A2" s="17">
        <f>I1</f>
        <v>170943.58600000001</v>
      </c>
      <c r="B2" s="17"/>
      <c r="C2" s="16">
        <v>5.4717929999999998E-2</v>
      </c>
      <c r="D2" s="17"/>
      <c r="E2" s="17">
        <f t="shared" si="0"/>
        <v>180297.26517269699</v>
      </c>
      <c r="F2" s="17"/>
      <c r="G2" s="17">
        <v>40000</v>
      </c>
      <c r="H2" s="17"/>
      <c r="I2" s="20">
        <f t="shared" si="1"/>
        <v>140297.26517269699</v>
      </c>
    </row>
    <row r="3" spans="1:9" x14ac:dyDescent="0.25">
      <c r="A3" s="17">
        <f>I2</f>
        <v>140297.26517269699</v>
      </c>
      <c r="B3" s="17"/>
      <c r="C3" s="16">
        <v>5.4717929999999998E-2</v>
      </c>
      <c r="D3" s="17"/>
      <c r="E3" s="17">
        <f t="shared" si="0"/>
        <v>147974.04110760806</v>
      </c>
      <c r="F3" s="17"/>
      <c r="G3" s="17">
        <v>40000</v>
      </c>
      <c r="H3" s="17"/>
      <c r="I3" s="20">
        <f t="shared" si="1"/>
        <v>107974.04110760806</v>
      </c>
    </row>
    <row r="4" spans="1:9" x14ac:dyDescent="0.25">
      <c r="A4" s="17">
        <f>I3</f>
        <v>107974.04110760806</v>
      </c>
      <c r="B4" s="17"/>
      <c r="C4" s="16">
        <v>5.4717929999999998E-2</v>
      </c>
      <c r="D4" s="17"/>
      <c r="E4" s="17">
        <f t="shared" si="0"/>
        <v>113882.15713075128</v>
      </c>
      <c r="F4" s="17"/>
      <c r="G4" s="17">
        <v>40000</v>
      </c>
      <c r="H4" s="17"/>
      <c r="I4" s="20">
        <f t="shared" si="1"/>
        <v>73882.157130751279</v>
      </c>
    </row>
    <row r="5" spans="1:9" x14ac:dyDescent="0.25">
      <c r="A5" s="17">
        <f>I4</f>
        <v>73882.157130751279</v>
      </c>
      <c r="B5" s="17"/>
      <c r="C5" s="16">
        <v>5.4717929999999998E-2</v>
      </c>
      <c r="D5" s="17"/>
      <c r="E5" s="17">
        <f t="shared" si="0"/>
        <v>77924.835832880723</v>
      </c>
      <c r="F5" s="17"/>
      <c r="G5" s="17">
        <v>40000</v>
      </c>
      <c r="H5" s="17"/>
      <c r="I5" s="20">
        <f t="shared" si="1"/>
        <v>37924.835832880723</v>
      </c>
    </row>
    <row r="6" spans="1:9" x14ac:dyDescent="0.25">
      <c r="A6" s="17">
        <f>I5</f>
        <v>37924.835832880723</v>
      </c>
      <c r="B6" s="17"/>
      <c r="C6" s="16">
        <v>5.4717929999999998E-2</v>
      </c>
      <c r="D6" s="17"/>
      <c r="E6" s="17">
        <f t="shared" si="0"/>
        <v>40000.004345245783</v>
      </c>
      <c r="F6" s="17"/>
      <c r="G6" s="17">
        <v>40000</v>
      </c>
      <c r="H6" s="17"/>
      <c r="I6" s="20">
        <f t="shared" si="1"/>
        <v>4.3452457830426283E-3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Leasing</vt:lpstr>
      <vt:lpstr>Lease_table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2020-05-17T14:54:58Z</dcterms:modified>
</cp:coreProperties>
</file>