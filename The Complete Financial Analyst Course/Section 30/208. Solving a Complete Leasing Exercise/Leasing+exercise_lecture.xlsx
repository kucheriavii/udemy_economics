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The Finance Manager Course\"/>
    </mc:Choice>
  </mc:AlternateContent>
  <xr:revisionPtr revIDLastSave="0" documentId="8_{822ADFB5-CDA7-4107-92E1-39E943F798F5}" xr6:coauthVersionLast="45" xr6:coauthVersionMax="45" xr10:uidLastSave="{00000000-0000-0000-0000-000000000000}"/>
  <bookViews>
    <workbookView xWindow="-120" yWindow="-120" windowWidth="29040" windowHeight="15840" activeTab="1" xr2:uid="{0C3AFD3E-5E9F-4D5E-934F-2D6DD5ADEE2C}"/>
  </bookViews>
  <sheets>
    <sheet name="Workings" sheetId="3" r:id="rId1"/>
    <sheet name="Lease Lecture Exerci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3" i="1" l="1"/>
  <c r="J28" i="1"/>
  <c r="I28" i="1"/>
  <c r="J27" i="1"/>
  <c r="H33" i="1"/>
  <c r="D5" i="3" l="1"/>
  <c r="D4" i="3"/>
  <c r="F4" i="3"/>
  <c r="G4" i="3" s="1"/>
  <c r="C5" i="3" s="1"/>
  <c r="F5" i="3" l="1"/>
  <c r="G5" i="3"/>
  <c r="C6" i="3" s="1"/>
  <c r="L27" i="1"/>
  <c r="I15" i="1"/>
  <c r="L33" i="1"/>
  <c r="C8" i="1"/>
  <c r="D6" i="3" l="1"/>
  <c r="F6" i="3" s="1"/>
  <c r="G6" i="3" s="1"/>
  <c r="C7" i="3" s="1"/>
  <c r="D7" i="3" l="1"/>
  <c r="F7" i="3" s="1"/>
  <c r="G7" i="3" s="1"/>
  <c r="C8" i="3" s="1"/>
  <c r="L28" i="1"/>
  <c r="D8" i="3" l="1"/>
  <c r="F8" i="3" s="1"/>
  <c r="G8" i="3" s="1"/>
</calcChain>
</file>

<file path=xl/sharedStrings.xml><?xml version="1.0" encoding="utf-8"?>
<sst xmlns="http://schemas.openxmlformats.org/spreadsheetml/2006/main" count="41" uniqueCount="36">
  <si>
    <t>Asset's Fair Value</t>
  </si>
  <si>
    <t>Lease period</t>
  </si>
  <si>
    <t>Asset's Useful Life</t>
  </si>
  <si>
    <t>Annual Payments</t>
  </si>
  <si>
    <t>Interest Rate</t>
  </si>
  <si>
    <t>Year</t>
  </si>
  <si>
    <t>Capital Repaid</t>
  </si>
  <si>
    <t>Interest</t>
  </si>
  <si>
    <t>Solution:</t>
  </si>
  <si>
    <t>In terms of Accounting:</t>
  </si>
  <si>
    <t>(2) Recognize the asset and corresponding liabilities in the Balance Sheet</t>
  </si>
  <si>
    <t>Fixed assets</t>
  </si>
  <si>
    <t>Leasing liabilities</t>
  </si>
  <si>
    <t>(3) Calculate annual D&amp;A</t>
  </si>
  <si>
    <t>Annual D&amp;A:</t>
  </si>
  <si>
    <t>(4) Register D&amp;A</t>
  </si>
  <si>
    <t>D&amp;A</t>
  </si>
  <si>
    <t>Accumul. D&amp;A</t>
  </si>
  <si>
    <t>(5) Leasing calculations</t>
  </si>
  <si>
    <t>Starting</t>
  </si>
  <si>
    <t>Rent</t>
  </si>
  <si>
    <t>Ending</t>
  </si>
  <si>
    <t>(6) Account for interest expenses</t>
  </si>
  <si>
    <t>Interest expenses</t>
  </si>
  <si>
    <t>Interest expense will be credited from Cash.</t>
  </si>
  <si>
    <t>(7) Balance sheet entries</t>
  </si>
  <si>
    <t>Interest Rate (12.38%)</t>
  </si>
  <si>
    <t>Carrying value at the end of year 1 = 50000-14000+6188= $42188</t>
  </si>
  <si>
    <t>Lease liability at the end of year 1 =  $42188</t>
  </si>
  <si>
    <t>Year 1</t>
  </si>
  <si>
    <t>Year 2</t>
  </si>
  <si>
    <t>Accumulated Depreciation at Year 2 = 20,000</t>
  </si>
  <si>
    <t>Rental</t>
  </si>
  <si>
    <t>Leasing lecture example</t>
  </si>
  <si>
    <t>(1) This is a finance lease - the estimated useful life of the fixed asset is 5 years, and the company leases the asset for 5 years.</t>
  </si>
  <si>
    <t>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</si>
</sst>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* #,##0.00_);_(* \(#,##0.00\);_(* &quot;-&quot;??_);_(@_)"/>
    <numFmt numFmtId="166" formatCode="General\ &quot;Years&quot;"/>
    <numFmt numFmtId="168" formatCode="_(* #,##0_);_(* \(#,##0\);_(* &quot;-&quot;??_);_(@_)"/>
    <numFmt numFmtId="169" formatCode="0.0"/>
    <numFmt numFmtId="170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4" fillId="2" borderId="0" xfId="0" applyFont="1" applyFill="1" applyAlignment="1">
      <alignment horizontal="left"/>
    </xf>
    <xf numFmtId="169" fontId="4" fillId="2" borderId="0" xfId="0" applyNumberFormat="1" applyFont="1" applyFill="1" applyAlignment="1">
      <alignment horizontal="left"/>
    </xf>
    <xf numFmtId="170" fontId="4" fillId="2" borderId="0" xfId="0" applyNumberFormat="1" applyFont="1" applyFill="1" applyAlignment="1">
      <alignment horizontal="left"/>
    </xf>
    <xf numFmtId="3" fontId="4" fillId="2" borderId="0" xfId="0" applyNumberFormat="1" applyFont="1" applyFill="1" applyAlignment="1">
      <alignment horizontal="left"/>
    </xf>
    <xf numFmtId="10" fontId="4" fillId="2" borderId="0" xfId="2" applyNumberFormat="1" applyFont="1" applyFill="1" applyAlignment="1">
      <alignment horizontal="left"/>
    </xf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168" fontId="4" fillId="2" borderId="2" xfId="1" applyNumberFormat="1" applyFont="1" applyFill="1" applyBorder="1"/>
    <xf numFmtId="0" fontId="4" fillId="2" borderId="2" xfId="0" applyFont="1" applyFill="1" applyBorder="1"/>
    <xf numFmtId="168" fontId="4" fillId="2" borderId="0" xfId="1" applyNumberFormat="1" applyFont="1" applyFill="1" applyBorder="1"/>
    <xf numFmtId="0" fontId="4" fillId="2" borderId="3" xfId="0" applyFont="1" applyFill="1" applyBorder="1"/>
    <xf numFmtId="168" fontId="4" fillId="2" borderId="0" xfId="0" applyNumberFormat="1" applyFont="1" applyFill="1"/>
    <xf numFmtId="168" fontId="4" fillId="2" borderId="3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8" fontId="4" fillId="2" borderId="0" xfId="1" applyNumberFormat="1" applyFont="1" applyFill="1" applyAlignment="1">
      <alignment horizontal="center"/>
    </xf>
    <xf numFmtId="168" fontId="4" fillId="2" borderId="0" xfId="1" applyNumberFormat="1" applyFont="1" applyFill="1"/>
    <xf numFmtId="168" fontId="4" fillId="2" borderId="2" xfId="0" applyNumberFormat="1" applyFont="1" applyFill="1" applyBorder="1"/>
    <xf numFmtId="164" fontId="4" fillId="2" borderId="0" xfId="0" applyNumberFormat="1" applyFont="1" applyFill="1"/>
    <xf numFmtId="166" fontId="4" fillId="2" borderId="0" xfId="0" applyNumberFormat="1" applyFont="1" applyFill="1"/>
    <xf numFmtId="10" fontId="4" fillId="2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945E-42FA-4044-B13F-84398F570D4B}">
  <dimension ref="B1:G10"/>
  <sheetViews>
    <sheetView workbookViewId="0"/>
  </sheetViews>
  <sheetFormatPr defaultRowHeight="12" x14ac:dyDescent="0.2"/>
  <cols>
    <col min="1" max="1" width="2" style="4" customWidth="1"/>
    <col min="2" max="7" width="19.85546875" style="4" customWidth="1"/>
    <col min="8" max="16384" width="9.140625" style="4"/>
  </cols>
  <sheetData>
    <row r="1" spans="2:7" s="1" customFormat="1" ht="15.75" x14ac:dyDescent="0.25">
      <c r="B1" s="11" t="s">
        <v>33</v>
      </c>
    </row>
    <row r="2" spans="2:7" s="1" customFormat="1" ht="15" x14ac:dyDescent="0.25"/>
    <row r="3" spans="2:7" x14ac:dyDescent="0.2">
      <c r="B3" s="5" t="s">
        <v>5</v>
      </c>
      <c r="C3" s="5" t="s">
        <v>19</v>
      </c>
      <c r="D3" s="5" t="s">
        <v>7</v>
      </c>
      <c r="E3" s="5" t="s">
        <v>32</v>
      </c>
      <c r="F3" s="5" t="s">
        <v>6</v>
      </c>
      <c r="G3" s="5" t="s">
        <v>21</v>
      </c>
    </row>
    <row r="4" spans="2:7" x14ac:dyDescent="0.2">
      <c r="B4" s="6">
        <v>1</v>
      </c>
      <c r="C4" s="7">
        <v>50000</v>
      </c>
      <c r="D4" s="7">
        <f>C4*$C$10</f>
        <v>6188.0999999999995</v>
      </c>
      <c r="E4" s="7">
        <v>14000</v>
      </c>
      <c r="F4" s="7">
        <f>E4-D4</f>
        <v>7811.9000000000005</v>
      </c>
      <c r="G4" s="8">
        <f>C4-F4</f>
        <v>42188.1</v>
      </c>
    </row>
    <row r="5" spans="2:7" x14ac:dyDescent="0.2">
      <c r="B5" s="6">
        <v>2</v>
      </c>
      <c r="C5" s="7">
        <f>G4</f>
        <v>42188.1</v>
      </c>
      <c r="D5" s="7">
        <f t="shared" ref="D5:D8" si="0">C5*$C$10</f>
        <v>5221.2836321999994</v>
      </c>
      <c r="E5" s="7">
        <v>14000</v>
      </c>
      <c r="F5" s="7">
        <f t="shared" ref="F5:F8" si="1">E5-D5</f>
        <v>8778.7163677999997</v>
      </c>
      <c r="G5" s="8">
        <f t="shared" ref="G5:G8" si="2">C5-F5</f>
        <v>33409.383632199999</v>
      </c>
    </row>
    <row r="6" spans="2:7" x14ac:dyDescent="0.2">
      <c r="B6" s="6">
        <v>3</v>
      </c>
      <c r="C6" s="7">
        <f t="shared" ref="C6:C8" si="3">G5</f>
        <v>33409.383632199999</v>
      </c>
      <c r="D6" s="7">
        <f t="shared" si="0"/>
        <v>4134.8121370883364</v>
      </c>
      <c r="E6" s="7">
        <v>14000</v>
      </c>
      <c r="F6" s="7">
        <f t="shared" si="1"/>
        <v>9865.1878629116636</v>
      </c>
      <c r="G6" s="8">
        <f t="shared" si="2"/>
        <v>23544.195769288337</v>
      </c>
    </row>
    <row r="7" spans="2:7" x14ac:dyDescent="0.2">
      <c r="B7" s="6">
        <v>4</v>
      </c>
      <c r="C7" s="7">
        <f t="shared" si="3"/>
        <v>23544.195769288337</v>
      </c>
      <c r="D7" s="7">
        <f t="shared" si="0"/>
        <v>2913.8767567986629</v>
      </c>
      <c r="E7" s="7">
        <v>14000</v>
      </c>
      <c r="F7" s="7">
        <f t="shared" si="1"/>
        <v>11086.123243201337</v>
      </c>
      <c r="G7" s="8">
        <f t="shared" si="2"/>
        <v>12458.072526087</v>
      </c>
    </row>
    <row r="8" spans="2:7" x14ac:dyDescent="0.2">
      <c r="B8" s="6">
        <v>5</v>
      </c>
      <c r="C8" s="7">
        <f t="shared" si="3"/>
        <v>12458.072526087</v>
      </c>
      <c r="D8" s="7">
        <f t="shared" si="0"/>
        <v>1541.8359719735793</v>
      </c>
      <c r="E8" s="7">
        <v>14000</v>
      </c>
      <c r="F8" s="7">
        <f t="shared" si="1"/>
        <v>12458.16402802642</v>
      </c>
      <c r="G8" s="9">
        <f t="shared" si="2"/>
        <v>-9.1501939419686096E-2</v>
      </c>
    </row>
    <row r="10" spans="2:7" x14ac:dyDescent="0.2">
      <c r="B10" s="4" t="s">
        <v>7</v>
      </c>
      <c r="C10" s="10">
        <v>0.123762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65E-54DB-4C35-95FF-6956F4E4E055}">
  <dimension ref="B1:N40"/>
  <sheetViews>
    <sheetView tabSelected="1" workbookViewId="0"/>
  </sheetViews>
  <sheetFormatPr defaultRowHeight="12" x14ac:dyDescent="0.2"/>
  <cols>
    <col min="1" max="1" width="2" style="4" customWidth="1"/>
    <col min="2" max="2" width="17.28515625" style="4" bestFit="1" customWidth="1"/>
    <col min="3" max="7" width="9.140625" style="4"/>
    <col min="8" max="8" width="10" style="4" bestFit="1" customWidth="1"/>
    <col min="9" max="9" width="10.140625" style="4" customWidth="1"/>
    <col min="10" max="10" width="19" style="4" bestFit="1" customWidth="1"/>
    <col min="11" max="13" width="9.140625" style="4"/>
    <col min="14" max="14" width="5.28515625" style="4" customWidth="1"/>
    <col min="15" max="15" width="4.28515625" style="4" customWidth="1"/>
    <col min="16" max="16384" width="9.140625" style="4"/>
  </cols>
  <sheetData>
    <row r="1" spans="2:14" s="1" customFormat="1" ht="15.75" x14ac:dyDescent="0.25">
      <c r="B1" s="11" t="s">
        <v>35</v>
      </c>
      <c r="I1" s="2"/>
      <c r="J1" s="2"/>
      <c r="K1" s="2"/>
      <c r="L1" s="2"/>
      <c r="M1" s="2"/>
      <c r="N1" s="2"/>
    </row>
    <row r="2" spans="2:14" s="1" customFormat="1" ht="15.75" x14ac:dyDescent="0.25">
      <c r="B2" s="11"/>
      <c r="H2" s="3"/>
      <c r="I2" s="2"/>
      <c r="J2" s="2"/>
      <c r="K2" s="2"/>
      <c r="L2" s="2"/>
      <c r="M2" s="2"/>
      <c r="N2" s="2"/>
    </row>
    <row r="3" spans="2:14" ht="15.75" x14ac:dyDescent="0.25">
      <c r="B3" s="4" t="s">
        <v>0</v>
      </c>
      <c r="C3" s="24">
        <v>50000</v>
      </c>
      <c r="H3" s="3" t="s">
        <v>8</v>
      </c>
    </row>
    <row r="4" spans="2:14" x14ac:dyDescent="0.2">
      <c r="B4" s="4" t="s">
        <v>1</v>
      </c>
      <c r="C4" s="25">
        <v>5</v>
      </c>
      <c r="H4" s="4" t="s">
        <v>34</v>
      </c>
    </row>
    <row r="5" spans="2:14" x14ac:dyDescent="0.2">
      <c r="B5" s="4" t="s">
        <v>2</v>
      </c>
      <c r="C5" s="25">
        <v>5</v>
      </c>
    </row>
    <row r="6" spans="2:14" x14ac:dyDescent="0.2">
      <c r="B6" s="4" t="s">
        <v>3</v>
      </c>
      <c r="C6" s="24">
        <v>14000</v>
      </c>
      <c r="H6" s="4" t="s">
        <v>9</v>
      </c>
    </row>
    <row r="8" spans="2:14" x14ac:dyDescent="0.2">
      <c r="B8" s="4" t="s">
        <v>4</v>
      </c>
      <c r="C8" s="26">
        <f>RATE(5,-C6,C3)</f>
        <v>0.12376241456867565</v>
      </c>
      <c r="H8" s="4" t="s">
        <v>10</v>
      </c>
    </row>
    <row r="9" spans="2:14" x14ac:dyDescent="0.2">
      <c r="H9" s="12" t="s">
        <v>11</v>
      </c>
      <c r="I9" s="12"/>
      <c r="K9" s="12" t="s">
        <v>12</v>
      </c>
      <c r="L9" s="12"/>
    </row>
    <row r="10" spans="2:14" x14ac:dyDescent="0.2">
      <c r="H10" s="13">
        <v>50000</v>
      </c>
      <c r="K10" s="14"/>
      <c r="L10" s="15">
        <v>50000</v>
      </c>
    </row>
    <row r="11" spans="2:14" x14ac:dyDescent="0.2">
      <c r="H11" s="16"/>
      <c r="K11" s="16"/>
    </row>
    <row r="12" spans="2:14" x14ac:dyDescent="0.2">
      <c r="H12" s="16"/>
      <c r="K12" s="16"/>
    </row>
    <row r="14" spans="2:14" x14ac:dyDescent="0.2">
      <c r="H14" s="4" t="s">
        <v>13</v>
      </c>
    </row>
    <row r="15" spans="2:14" x14ac:dyDescent="0.2">
      <c r="H15" s="4" t="s">
        <v>14</v>
      </c>
      <c r="I15" s="17">
        <f>C3/C4</f>
        <v>10000</v>
      </c>
    </row>
    <row r="17" spans="7:13" x14ac:dyDescent="0.2">
      <c r="H17" s="4" t="s">
        <v>15</v>
      </c>
    </row>
    <row r="18" spans="7:13" x14ac:dyDescent="0.2">
      <c r="H18" s="12" t="s">
        <v>16</v>
      </c>
      <c r="I18" s="12"/>
      <c r="K18" s="12" t="s">
        <v>17</v>
      </c>
      <c r="L18" s="12"/>
    </row>
    <row r="19" spans="7:13" x14ac:dyDescent="0.2">
      <c r="G19" s="4" t="s">
        <v>29</v>
      </c>
      <c r="H19" s="13">
        <v>10000</v>
      </c>
      <c r="K19" s="14"/>
      <c r="L19" s="15">
        <v>10000</v>
      </c>
    </row>
    <row r="20" spans="7:13" x14ac:dyDescent="0.2">
      <c r="G20" s="4" t="s">
        <v>30</v>
      </c>
      <c r="H20" s="18">
        <v>10000</v>
      </c>
      <c r="K20" s="16"/>
      <c r="L20" s="15">
        <v>10000</v>
      </c>
    </row>
    <row r="21" spans="7:13" x14ac:dyDescent="0.2">
      <c r="H21" s="16"/>
      <c r="K21" s="16"/>
    </row>
    <row r="23" spans="7:13" x14ac:dyDescent="0.2">
      <c r="J23" s="4" t="s">
        <v>31</v>
      </c>
    </row>
    <row r="24" spans="7:13" x14ac:dyDescent="0.2">
      <c r="H24" s="4" t="s">
        <v>18</v>
      </c>
    </row>
    <row r="26" spans="7:13" x14ac:dyDescent="0.2">
      <c r="H26" s="19" t="s">
        <v>5</v>
      </c>
      <c r="I26" s="19" t="s">
        <v>19</v>
      </c>
      <c r="J26" s="19" t="s">
        <v>26</v>
      </c>
      <c r="K26" s="19" t="s">
        <v>20</v>
      </c>
      <c r="L26" s="19" t="s">
        <v>21</v>
      </c>
    </row>
    <row r="27" spans="7:13" x14ac:dyDescent="0.2">
      <c r="H27" s="20">
        <v>1</v>
      </c>
      <c r="I27" s="21">
        <v>50000</v>
      </c>
      <c r="J27" s="21">
        <f>Workings!D4</f>
        <v>6188.0999999999995</v>
      </c>
      <c r="K27" s="21">
        <v>14000</v>
      </c>
      <c r="L27" s="21">
        <f>I27-K27+J27</f>
        <v>42188.1</v>
      </c>
      <c r="M27" s="22"/>
    </row>
    <row r="28" spans="7:13" x14ac:dyDescent="0.2">
      <c r="H28" s="20">
        <v>2</v>
      </c>
      <c r="I28" s="21">
        <f>L27</f>
        <v>42188.1</v>
      </c>
      <c r="J28" s="21">
        <f>Workings!D5</f>
        <v>5221.2836321999994</v>
      </c>
      <c r="K28" s="21">
        <v>14000</v>
      </c>
      <c r="L28" s="21">
        <f>I28-K28+J28</f>
        <v>33409.383632199999</v>
      </c>
      <c r="M28" s="22"/>
    </row>
    <row r="30" spans="7:13" x14ac:dyDescent="0.2">
      <c r="H30" s="4" t="s">
        <v>22</v>
      </c>
    </row>
    <row r="32" spans="7:13" x14ac:dyDescent="0.2">
      <c r="H32" s="12" t="s">
        <v>23</v>
      </c>
      <c r="I32" s="12"/>
      <c r="K32" s="12" t="s">
        <v>12</v>
      </c>
      <c r="L32" s="12"/>
    </row>
    <row r="33" spans="8:12" x14ac:dyDescent="0.2">
      <c r="H33" s="13">
        <f>Workings!D4</f>
        <v>6188.0999999999995</v>
      </c>
      <c r="K33" s="23">
        <f>Workings!F4</f>
        <v>7811.9000000000005</v>
      </c>
      <c r="L33" s="15">
        <f>I27</f>
        <v>50000</v>
      </c>
    </row>
    <row r="34" spans="8:12" x14ac:dyDescent="0.2">
      <c r="H34" s="16"/>
      <c r="K34" s="16"/>
      <c r="L34" s="17"/>
    </row>
    <row r="35" spans="8:12" x14ac:dyDescent="0.2">
      <c r="H35" s="16"/>
      <c r="K35" s="16"/>
    </row>
    <row r="36" spans="8:12" x14ac:dyDescent="0.2">
      <c r="H36" s="4" t="s">
        <v>24</v>
      </c>
    </row>
    <row r="38" spans="8:12" x14ac:dyDescent="0.2">
      <c r="H38" s="4" t="s">
        <v>25</v>
      </c>
    </row>
    <row r="39" spans="8:12" x14ac:dyDescent="0.2">
      <c r="H39" s="4" t="s">
        <v>27</v>
      </c>
    </row>
    <row r="40" spans="8:12" x14ac:dyDescent="0.2">
      <c r="H40" s="4" t="s">
        <v>28</v>
      </c>
    </row>
  </sheetData>
  <mergeCells count="6">
    <mergeCell ref="H9:I9"/>
    <mergeCell ref="K9:L9"/>
    <mergeCell ref="K18:L18"/>
    <mergeCell ref="H18:I18"/>
    <mergeCell ref="H32:I32"/>
    <mergeCell ref="K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Workings</vt:lpstr>
      <vt:lpstr>Lease Lecture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NewPC20</cp:lastModifiedBy>
  <dcterms:created xsi:type="dcterms:W3CDTF">2020-06-10T18:57:37Z</dcterms:created>
  <dcterms:modified xsi:type="dcterms:W3CDTF">2020-06-23T10:47:16Z</dcterms:modified>
</cp:coreProperties>
</file>