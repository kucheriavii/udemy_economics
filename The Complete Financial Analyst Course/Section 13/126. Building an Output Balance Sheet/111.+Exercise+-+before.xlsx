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19215" windowHeight="7410" activeTab="6"/>
  </bookViews>
  <sheets>
    <sheet name="Original Source" sheetId="7" r:id="rId1"/>
    <sheet name="BS 2014" sheetId="16" r:id="rId2"/>
    <sheet name="BS 2015" sheetId="17" r:id="rId3"/>
    <sheet name="BS 2016" sheetId="18" r:id="rId4"/>
    <sheet name="Exercise --&gt;" sheetId="8" r:id="rId5"/>
    <sheet name="Workings" sheetId="11" r:id="rId6"/>
    <sheet name="P&amp;L" sheetId="15" r:id="rId7"/>
  </sheets>
  <definedNames>
    <definedName name="_xlnm._FilterDatabase" localSheetId="0" hidden="1">'Original Source'!#REF!</definedName>
    <definedName name="_xlnm._FilterDatabase" localSheetId="5" hidden="1">Workings!$B$3:$F$438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5" l="1"/>
  <c r="G14" i="15"/>
  <c r="E14" i="15"/>
  <c r="D14" i="15"/>
  <c r="C14" i="15"/>
  <c r="H13" i="15"/>
  <c r="G13" i="15"/>
  <c r="E13" i="15"/>
  <c r="D13" i="15"/>
  <c r="C13" i="15"/>
  <c r="H12" i="15"/>
  <c r="G12" i="15"/>
  <c r="E12" i="15"/>
  <c r="D12" i="15"/>
  <c r="C12" i="15"/>
  <c r="H11" i="15"/>
  <c r="G11" i="15"/>
  <c r="E11" i="15"/>
  <c r="D11" i="15"/>
  <c r="C11" i="15"/>
  <c r="H10" i="15"/>
  <c r="G10" i="15"/>
  <c r="E10" i="15"/>
  <c r="D10" i="15"/>
  <c r="C10" i="15"/>
  <c r="H9" i="15"/>
  <c r="G9" i="15"/>
  <c r="E9" i="15"/>
  <c r="D9" i="15"/>
  <c r="C9" i="15"/>
  <c r="H8" i="15"/>
  <c r="G8" i="15"/>
  <c r="E8" i="15"/>
  <c r="D8" i="15"/>
  <c r="C8" i="15"/>
  <c r="H7" i="15"/>
  <c r="G7" i="15"/>
  <c r="E7" i="15"/>
  <c r="D7" i="15"/>
  <c r="C7" i="15"/>
  <c r="H6" i="15"/>
  <c r="G6" i="15"/>
  <c r="E6" i="15"/>
  <c r="D6" i="15"/>
  <c r="C6" i="15"/>
  <c r="H5" i="15"/>
  <c r="G5" i="15"/>
  <c r="E5" i="15"/>
  <c r="D5" i="15"/>
  <c r="C5" i="15"/>
  <c r="H4" i="15"/>
  <c r="G4" i="15"/>
  <c r="E4" i="15"/>
  <c r="D4" i="15"/>
  <c r="C4" i="15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</calcChain>
</file>

<file path=xl/sharedStrings.xml><?xml version="1.0" encoding="utf-8"?>
<sst xmlns="http://schemas.openxmlformats.org/spreadsheetml/2006/main" count="1995" uniqueCount="120">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</sst>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_);\(#,##0.0\)"/>
    <numFmt numFmtId="165" formatCode="0.0%"/>
    <numFmt numFmtId="166" formatCode="_(* #,##0.0_);_(* \(#,##0.0\);_(* &quot;-&quot;??_);_(@_)"/>
    <numFmt numFmtId="167" formatCode="0.0"/>
  </numFmts>
  <fonts count="7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" fillId="2" borderId="1">
      <alignment horizontal="right"/>
    </xf>
    <xf numFmtId="164" fontId="1" fillId="2" borderId="0"/>
    <xf numFmtId="164" fontId="5" fillId="2" borderId="2"/>
    <xf numFmtId="164" fontId="5" fillId="2" borderId="3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 applyBorder="1"/>
    <xf numFmtId="0" fontId="4" fillId="2" borderId="1" xfId="1" applyFill="1" applyAlignment="1">
      <alignment horizontal="left"/>
    </xf>
    <xf numFmtId="0" fontId="4" fillId="2" borderId="1" xfId="1" applyFill="1">
      <alignment horizontal="right"/>
    </xf>
    <xf numFmtId="164" fontId="1" fillId="2" borderId="0" xfId="2" applyFill="1"/>
    <xf numFmtId="164" fontId="5" fillId="2" borderId="2" xfId="3" applyFill="1"/>
    <xf numFmtId="164" fontId="5" fillId="2" borderId="3" xfId="4" applyFill="1"/>
    <xf numFmtId="164" fontId="5" fillId="2" borderId="3" xfId="4"/>
    <xf numFmtId="0" fontId="4" fillId="2" borderId="1" xfId="1" applyFill="1" applyAlignment="1">
      <alignment horizontal="right" wrapText="1"/>
    </xf>
    <xf numFmtId="165" fontId="1" fillId="2" borderId="0" xfId="6" applyNumberFormat="1" applyFont="1" applyFill="1"/>
    <xf numFmtId="165" fontId="5" fillId="2" borderId="2" xfId="6" applyNumberFormat="1" applyFont="1" applyFill="1" applyBorder="1"/>
    <xf numFmtId="165" fontId="5" fillId="2" borderId="3" xfId="6" applyNumberFormat="1" applyFont="1" applyFill="1" applyBorder="1"/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2" borderId="0" xfId="0" applyFill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1" xfId="0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6" fontId="5" fillId="2" borderId="0" xfId="5" applyNumberFormat="1" applyFont="1" applyFill="1" applyBorder="1"/>
    <xf numFmtId="15" fontId="4" fillId="2" borderId="1" xfId="0" applyNumberFormat="1" applyFont="1" applyFill="1" applyBorder="1"/>
    <xf numFmtId="166" fontId="5" fillId="2" borderId="3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5" fontId="4" fillId="2" borderId="1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67" fontId="5" fillId="2" borderId="2" xfId="0" applyNumberFormat="1" applyFont="1" applyFill="1" applyBorder="1"/>
    <xf numFmtId="15" fontId="4" fillId="2" borderId="1" xfId="0" applyNumberFormat="1" applyFont="1" applyFill="1" applyBorder="1"/>
  </cellXfs>
  <cellStyles count="7">
    <cellStyle name="Comma" xfId="5" builtinId="3"/>
    <cellStyle name="General" xfId="2"/>
    <cellStyle name="Header" xfId="1"/>
    <cellStyle name="Normal" xfId="0" builtinId="0"/>
    <cellStyle name="Percent" xfId="6" builtinId="5"/>
    <cellStyle name="Subtotal" xfId="3"/>
    <cellStyle name="Total Format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/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8"/>
  <sheetViews>
    <sheetView workbookViewId="0"/>
  </sheetViews>
  <sheetFormatPr defaultRowHeight="12" x14ac:dyDescent="0.2"/>
  <cols>
    <col min="1" max="1" width="2" style="23" customWidth="1"/>
    <col min="2" max="2" width="26.42578125" style="23" bestFit="1" customWidth="1"/>
    <col min="3" max="16384" width="9.140625" style="23"/>
  </cols>
  <sheetData>
    <row r="1" spans="2:4" ht="15.75" x14ac:dyDescent="0.25">
      <c r="B1" s="24"/>
    </row>
    <row r="4" spans="2:4" ht="12.75" thickBot="1" x14ac:dyDescent="0.25">
      <c r="B4" s="27" t="s">
        <v>66</v>
      </c>
      <c r="C4" s="33"/>
      <c r="D4" s="37">
        <v>42004</v>
      </c>
    </row>
    <row r="5" spans="2:4" ht="15" x14ac:dyDescent="0.25">
      <c r="B5" s="25" t="s">
        <v>67</v>
      </c>
      <c r="C5" s="30"/>
      <c r="D5" s="31">
        <v>44.609000000000002</v>
      </c>
    </row>
    <row r="6" spans="2:4" ht="15" x14ac:dyDescent="0.25">
      <c r="B6" s="25" t="s">
        <v>68</v>
      </c>
      <c r="C6" s="30"/>
      <c r="D6" s="31">
        <v>33.097000000000001</v>
      </c>
    </row>
    <row r="7" spans="2:4" ht="15" x14ac:dyDescent="0.25">
      <c r="B7" s="25" t="s">
        <v>69</v>
      </c>
      <c r="C7" s="30"/>
      <c r="D7" s="31">
        <v>31.658000000000001</v>
      </c>
    </row>
    <row r="8" spans="2:4" ht="15" x14ac:dyDescent="0.25">
      <c r="B8" s="25" t="s">
        <v>70</v>
      </c>
      <c r="C8" s="30"/>
      <c r="D8" s="31">
        <v>20.146000000000004</v>
      </c>
    </row>
    <row r="9" spans="2:4" ht="15" x14ac:dyDescent="0.25">
      <c r="B9" s="25" t="s">
        <v>71</v>
      </c>
      <c r="C9" s="30"/>
      <c r="D9" s="31">
        <v>14.39</v>
      </c>
    </row>
    <row r="10" spans="2:4" x14ac:dyDescent="0.2">
      <c r="B10" s="28" t="s">
        <v>72</v>
      </c>
      <c r="C10" s="28"/>
      <c r="D10" s="32">
        <v>143.9</v>
      </c>
    </row>
    <row r="11" spans="2:4" x14ac:dyDescent="0.2">
      <c r="B11" s="34"/>
      <c r="C11" s="34"/>
      <c r="D11" s="36"/>
    </row>
    <row r="12" spans="2:4" ht="15" x14ac:dyDescent="0.25">
      <c r="B12" s="25" t="s">
        <v>73</v>
      </c>
      <c r="C12" s="30"/>
      <c r="D12" s="31">
        <v>29.749999999999996</v>
      </c>
    </row>
    <row r="13" spans="2:4" ht="15" x14ac:dyDescent="0.25">
      <c r="B13" s="25" t="s">
        <v>74</v>
      </c>
      <c r="C13" s="30"/>
      <c r="D13" s="31">
        <v>18.7</v>
      </c>
    </row>
    <row r="14" spans="2:4" ht="15" x14ac:dyDescent="0.25">
      <c r="B14" s="25" t="s">
        <v>75</v>
      </c>
      <c r="C14" s="30"/>
      <c r="D14" s="31">
        <v>16.149999999999999</v>
      </c>
    </row>
    <row r="15" spans="2:4" ht="15" x14ac:dyDescent="0.25">
      <c r="B15" s="25" t="s">
        <v>76</v>
      </c>
      <c r="C15" s="30"/>
      <c r="D15" s="31">
        <v>11.05</v>
      </c>
    </row>
    <row r="16" spans="2:4" ht="15" x14ac:dyDescent="0.25">
      <c r="B16" s="25" t="s">
        <v>77</v>
      </c>
      <c r="C16" s="30"/>
      <c r="D16" s="31">
        <v>9.35</v>
      </c>
    </row>
    <row r="17" spans="2:4" x14ac:dyDescent="0.2">
      <c r="B17" s="28" t="s">
        <v>78</v>
      </c>
      <c r="C17" s="28"/>
      <c r="D17" s="32">
        <v>84.999999999999986</v>
      </c>
    </row>
    <row r="18" spans="2:4" x14ac:dyDescent="0.2">
      <c r="B18" s="25"/>
      <c r="C18" s="25"/>
      <c r="D18" s="25"/>
    </row>
    <row r="19" spans="2:4" ht="15" x14ac:dyDescent="0.25">
      <c r="B19" s="25" t="s">
        <v>79</v>
      </c>
      <c r="C19" s="30"/>
      <c r="D19" s="31">
        <v>346.47500000000002</v>
      </c>
    </row>
    <row r="20" spans="2:4" ht="15" x14ac:dyDescent="0.25">
      <c r="B20" s="25" t="s">
        <v>80</v>
      </c>
      <c r="C20" s="30"/>
      <c r="D20" s="31">
        <v>139.52500000000001</v>
      </c>
    </row>
    <row r="21" spans="2:4" ht="15" x14ac:dyDescent="0.25">
      <c r="B21" s="25" t="s">
        <v>81</v>
      </c>
      <c r="C21" s="30"/>
      <c r="D21" s="31">
        <v>125.575</v>
      </c>
    </row>
    <row r="22" spans="2:4" ht="15" x14ac:dyDescent="0.25">
      <c r="B22" s="25" t="s">
        <v>82</v>
      </c>
      <c r="C22" s="30"/>
      <c r="D22" s="31">
        <v>20.925000000000001</v>
      </c>
    </row>
    <row r="23" spans="2:4" x14ac:dyDescent="0.2">
      <c r="B23" s="28" t="s">
        <v>83</v>
      </c>
      <c r="C23" s="28"/>
      <c r="D23" s="32">
        <v>632.5</v>
      </c>
    </row>
    <row r="24" spans="2:4" x14ac:dyDescent="0.2">
      <c r="B24" s="25"/>
      <c r="C24" s="25"/>
      <c r="D24" s="25"/>
    </row>
    <row r="25" spans="2:4" ht="15" x14ac:dyDescent="0.25">
      <c r="B25" s="25" t="s">
        <v>84</v>
      </c>
      <c r="C25" s="30"/>
      <c r="D25" s="35">
        <v>16.12</v>
      </c>
    </row>
    <row r="26" spans="2:4" ht="15" x14ac:dyDescent="0.25">
      <c r="B26" s="25" t="s">
        <v>85</v>
      </c>
      <c r="C26" s="30"/>
      <c r="D26" s="35">
        <v>6.2</v>
      </c>
    </row>
    <row r="27" spans="2:4" ht="15" x14ac:dyDescent="0.25">
      <c r="B27" s="25" t="s">
        <v>86</v>
      </c>
      <c r="C27" s="30"/>
      <c r="D27" s="35">
        <v>2.4800000000000004</v>
      </c>
    </row>
    <row r="28" spans="2:4" x14ac:dyDescent="0.2">
      <c r="B28" s="28" t="s">
        <v>87</v>
      </c>
      <c r="C28" s="28"/>
      <c r="D28" s="28">
        <v>24.8</v>
      </c>
    </row>
    <row r="29" spans="2:4" x14ac:dyDescent="0.2">
      <c r="B29" s="25"/>
      <c r="C29" s="25"/>
      <c r="D29" s="25"/>
    </row>
    <row r="30" spans="2:4" ht="15" x14ac:dyDescent="0.25">
      <c r="B30" s="25" t="s">
        <v>88</v>
      </c>
      <c r="C30" s="30"/>
      <c r="D30" s="25">
        <v>45.9</v>
      </c>
    </row>
    <row r="31" spans="2:4" x14ac:dyDescent="0.2">
      <c r="B31" s="28" t="s">
        <v>88</v>
      </c>
      <c r="C31" s="28"/>
      <c r="D31" s="28">
        <v>45.9</v>
      </c>
    </row>
    <row r="32" spans="2:4" x14ac:dyDescent="0.2">
      <c r="B32" s="34"/>
      <c r="C32" s="34"/>
      <c r="D32" s="34"/>
    </row>
    <row r="33" spans="2:4" ht="12.75" thickBot="1" x14ac:dyDescent="0.25">
      <c r="B33" s="29" t="s">
        <v>89</v>
      </c>
      <c r="C33" s="29"/>
      <c r="D33" s="38">
        <v>932.09999999999991</v>
      </c>
    </row>
    <row r="34" spans="2:4" x14ac:dyDescent="0.2">
      <c r="B34" s="25"/>
      <c r="C34" s="25"/>
      <c r="D34" s="25"/>
    </row>
    <row r="35" spans="2:4" ht="15" x14ac:dyDescent="0.25">
      <c r="B35" s="25" t="s">
        <v>90</v>
      </c>
      <c r="C35" s="30"/>
      <c r="D35" s="31">
        <v>17</v>
      </c>
    </row>
    <row r="36" spans="2:4" ht="15" x14ac:dyDescent="0.25">
      <c r="B36" s="25" t="s">
        <v>91</v>
      </c>
      <c r="C36" s="30"/>
      <c r="D36" s="31">
        <v>17</v>
      </c>
    </row>
    <row r="37" spans="2:4" ht="15" x14ac:dyDescent="0.25">
      <c r="B37" s="25" t="s">
        <v>92</v>
      </c>
      <c r="C37" s="30"/>
      <c r="D37" s="31">
        <v>14.96</v>
      </c>
    </row>
    <row r="38" spans="2:4" ht="15" x14ac:dyDescent="0.25">
      <c r="B38" s="25" t="s">
        <v>93</v>
      </c>
      <c r="C38" s="30"/>
      <c r="D38" s="31">
        <v>10.199999999999999</v>
      </c>
    </row>
    <row r="39" spans="2:4" ht="15" x14ac:dyDescent="0.25">
      <c r="B39" s="25" t="s">
        <v>94</v>
      </c>
      <c r="C39" s="30"/>
      <c r="D39" s="31">
        <v>8.84</v>
      </c>
    </row>
    <row r="40" spans="2:4" x14ac:dyDescent="0.2">
      <c r="B40" s="28" t="s">
        <v>95</v>
      </c>
      <c r="C40" s="28"/>
      <c r="D40" s="32">
        <v>68</v>
      </c>
    </row>
    <row r="41" spans="2:4" x14ac:dyDescent="0.2">
      <c r="B41" s="34"/>
      <c r="C41" s="34"/>
      <c r="D41" s="36"/>
    </row>
    <row r="42" spans="2:4" ht="15" x14ac:dyDescent="0.25">
      <c r="B42" s="25" t="s">
        <v>96</v>
      </c>
      <c r="C42" s="30"/>
      <c r="D42" s="31">
        <v>22.424999999999997</v>
      </c>
    </row>
    <row r="43" spans="2:4" ht="15" x14ac:dyDescent="0.25">
      <c r="B43" s="25" t="s">
        <v>97</v>
      </c>
      <c r="C43" s="30"/>
      <c r="D43" s="31">
        <v>6.8250000000000002</v>
      </c>
    </row>
    <row r="44" spans="2:4" ht="15" x14ac:dyDescent="0.25">
      <c r="B44" s="25" t="s">
        <v>98</v>
      </c>
      <c r="C44" s="30"/>
      <c r="D44" s="31">
        <v>3.25</v>
      </c>
    </row>
    <row r="45" spans="2:4" x14ac:dyDescent="0.2">
      <c r="B45" s="28" t="s">
        <v>99</v>
      </c>
      <c r="C45" s="28"/>
      <c r="D45" s="28">
        <v>32.5</v>
      </c>
    </row>
    <row r="46" spans="2:4" x14ac:dyDescent="0.2">
      <c r="B46" s="25"/>
      <c r="C46" s="25"/>
      <c r="D46" s="25"/>
    </row>
    <row r="47" spans="2:4" ht="15" x14ac:dyDescent="0.25">
      <c r="B47" s="25" t="s">
        <v>100</v>
      </c>
      <c r="C47" s="30"/>
      <c r="D47" s="25">
        <v>615.79999999999995</v>
      </c>
    </row>
    <row r="48" spans="2:4" x14ac:dyDescent="0.2">
      <c r="B48" s="28" t="s">
        <v>101</v>
      </c>
      <c r="C48" s="28"/>
      <c r="D48" s="28">
        <v>615.79999999999995</v>
      </c>
    </row>
    <row r="49" spans="2:4" x14ac:dyDescent="0.2">
      <c r="B49" s="25"/>
      <c r="C49" s="25"/>
      <c r="D49" s="25"/>
    </row>
    <row r="50" spans="2:4" ht="15" x14ac:dyDescent="0.25">
      <c r="B50" s="25" t="s">
        <v>102</v>
      </c>
      <c r="C50" s="30"/>
      <c r="D50" s="25">
        <v>48.3</v>
      </c>
    </row>
    <row r="51" spans="2:4" x14ac:dyDescent="0.2">
      <c r="B51" s="28" t="s">
        <v>102</v>
      </c>
      <c r="C51" s="28"/>
      <c r="D51" s="28">
        <v>48.3</v>
      </c>
    </row>
    <row r="52" spans="2:4" x14ac:dyDescent="0.2">
      <c r="B52" s="25"/>
      <c r="C52" s="25"/>
      <c r="D52" s="25"/>
    </row>
    <row r="53" spans="2:4" ht="15" x14ac:dyDescent="0.25">
      <c r="B53" s="25" t="s">
        <v>103</v>
      </c>
      <c r="C53" s="30"/>
      <c r="D53" s="31">
        <v>132.32500000000002</v>
      </c>
    </row>
    <row r="54" spans="2:4" ht="15" x14ac:dyDescent="0.25">
      <c r="B54" s="25" t="s">
        <v>104</v>
      </c>
      <c r="C54" s="30"/>
      <c r="D54" s="31">
        <v>18.425000000000001</v>
      </c>
    </row>
    <row r="55" spans="2:4" ht="15" x14ac:dyDescent="0.25">
      <c r="B55" s="25" t="s">
        <v>105</v>
      </c>
      <c r="C55" s="30"/>
      <c r="D55" s="31">
        <v>16.75</v>
      </c>
    </row>
    <row r="56" spans="2:4" x14ac:dyDescent="0.2">
      <c r="B56" s="28" t="s">
        <v>106</v>
      </c>
      <c r="C56" s="28"/>
      <c r="D56" s="28">
        <v>167.50000000000003</v>
      </c>
    </row>
    <row r="57" spans="2:4" x14ac:dyDescent="0.2">
      <c r="B57" s="25"/>
      <c r="C57" s="25"/>
      <c r="D57" s="25"/>
    </row>
    <row r="58" spans="2:4" ht="12.75" thickBot="1" x14ac:dyDescent="0.25">
      <c r="B58" s="29" t="s">
        <v>107</v>
      </c>
      <c r="C58" s="29"/>
      <c r="D58" s="29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8"/>
  <sheetViews>
    <sheetView workbookViewId="0"/>
  </sheetViews>
  <sheetFormatPr defaultRowHeight="12" x14ac:dyDescent="0.2"/>
  <cols>
    <col min="1" max="1" width="2" style="25" customWidth="1"/>
    <col min="2" max="2" width="26.42578125" style="25" bestFit="1" customWidth="1"/>
    <col min="3" max="16384" width="9.140625" style="25"/>
  </cols>
  <sheetData>
    <row r="1" spans="2:4" ht="15.75" x14ac:dyDescent="0.25">
      <c r="B1" s="26"/>
    </row>
    <row r="4" spans="2:4" ht="12.75" thickBot="1" x14ac:dyDescent="0.25">
      <c r="B4" s="40" t="s">
        <v>66</v>
      </c>
      <c r="C4" s="40" t="s">
        <v>108</v>
      </c>
      <c r="D4" s="48">
        <v>42369</v>
      </c>
    </row>
    <row r="5" spans="2:4" x14ac:dyDescent="0.2">
      <c r="B5" s="39" t="s">
        <v>67</v>
      </c>
      <c r="C5" s="39" t="s">
        <v>109</v>
      </c>
      <c r="D5" s="43">
        <v>40.248000000000005</v>
      </c>
    </row>
    <row r="6" spans="2:4" x14ac:dyDescent="0.2">
      <c r="B6" s="39" t="s">
        <v>69</v>
      </c>
      <c r="C6" s="39" t="s">
        <v>109</v>
      </c>
      <c r="D6" s="43">
        <v>34.056000000000004</v>
      </c>
    </row>
    <row r="7" spans="2:4" x14ac:dyDescent="0.2">
      <c r="B7" s="39" t="s">
        <v>68</v>
      </c>
      <c r="C7" s="39" t="s">
        <v>109</v>
      </c>
      <c r="D7" s="43">
        <v>29.412000000000003</v>
      </c>
    </row>
    <row r="8" spans="2:4" x14ac:dyDescent="0.2">
      <c r="B8" s="39" t="s">
        <v>70</v>
      </c>
      <c r="C8" s="39" t="s">
        <v>109</v>
      </c>
      <c r="D8" s="43">
        <v>27.864000000000001</v>
      </c>
    </row>
    <row r="9" spans="2:4" x14ac:dyDescent="0.2">
      <c r="B9" s="39" t="s">
        <v>71</v>
      </c>
      <c r="C9" s="39" t="s">
        <v>109</v>
      </c>
      <c r="D9" s="43">
        <v>23.220000000000002</v>
      </c>
    </row>
    <row r="10" spans="2:4" x14ac:dyDescent="0.2">
      <c r="B10" s="41" t="s">
        <v>72</v>
      </c>
      <c r="C10" s="41"/>
      <c r="D10" s="44">
        <v>154.80000000000001</v>
      </c>
    </row>
    <row r="12" spans="2:4" x14ac:dyDescent="0.2">
      <c r="B12" s="39" t="s">
        <v>73</v>
      </c>
      <c r="C12" s="39" t="s">
        <v>110</v>
      </c>
      <c r="D12" s="43">
        <v>24.840000000000003</v>
      </c>
    </row>
    <row r="13" spans="2:4" x14ac:dyDescent="0.2">
      <c r="B13" s="39" t="s">
        <v>74</v>
      </c>
      <c r="C13" s="39" t="s">
        <v>110</v>
      </c>
      <c r="D13" s="43">
        <v>20.239999999999998</v>
      </c>
    </row>
    <row r="14" spans="2:4" x14ac:dyDescent="0.2">
      <c r="B14" s="39" t="s">
        <v>75</v>
      </c>
      <c r="C14" s="39" t="s">
        <v>110</v>
      </c>
      <c r="D14" s="43">
        <v>17.48</v>
      </c>
    </row>
    <row r="15" spans="2:4" x14ac:dyDescent="0.2">
      <c r="B15" s="39" t="s">
        <v>77</v>
      </c>
      <c r="C15" s="39" t="s">
        <v>110</v>
      </c>
      <c r="D15" s="43">
        <v>17.48</v>
      </c>
    </row>
    <row r="16" spans="2:4" x14ac:dyDescent="0.2">
      <c r="B16" s="39" t="s">
        <v>76</v>
      </c>
      <c r="C16" s="39" t="s">
        <v>110</v>
      </c>
      <c r="D16" s="43">
        <v>11.96</v>
      </c>
    </row>
    <row r="17" spans="2:4" x14ac:dyDescent="0.2">
      <c r="B17" s="41" t="s">
        <v>78</v>
      </c>
      <c r="C17" s="41" t="s">
        <v>110</v>
      </c>
      <c r="D17" s="44">
        <v>92.000000000000014</v>
      </c>
    </row>
    <row r="19" spans="2:4" x14ac:dyDescent="0.2">
      <c r="B19" s="39" t="s">
        <v>79</v>
      </c>
      <c r="C19" s="39" t="s">
        <v>111</v>
      </c>
      <c r="D19" s="43">
        <v>346.47500000000002</v>
      </c>
    </row>
    <row r="20" spans="2:4" x14ac:dyDescent="0.2">
      <c r="B20" s="39" t="s">
        <v>80</v>
      </c>
      <c r="C20" s="39" t="s">
        <v>111</v>
      </c>
      <c r="D20" s="43">
        <v>139.52500000000001</v>
      </c>
    </row>
    <row r="21" spans="2:4" x14ac:dyDescent="0.2">
      <c r="B21" s="39" t="s">
        <v>81</v>
      </c>
      <c r="C21" s="39" t="s">
        <v>111</v>
      </c>
      <c r="D21" s="43">
        <v>125.575</v>
      </c>
    </row>
    <row r="22" spans="2:4" x14ac:dyDescent="0.2">
      <c r="B22" s="39" t="s">
        <v>82</v>
      </c>
      <c r="C22" s="39" t="s">
        <v>111</v>
      </c>
      <c r="D22" s="43">
        <v>20.925000000000001</v>
      </c>
    </row>
    <row r="23" spans="2:4" x14ac:dyDescent="0.2">
      <c r="B23" s="41" t="s">
        <v>83</v>
      </c>
      <c r="C23" s="41" t="s">
        <v>111</v>
      </c>
      <c r="D23" s="44">
        <v>632.5</v>
      </c>
    </row>
    <row r="25" spans="2:4" x14ac:dyDescent="0.2">
      <c r="B25" s="39" t="s">
        <v>84</v>
      </c>
      <c r="C25" s="39" t="s">
        <v>112</v>
      </c>
      <c r="D25" s="46">
        <v>13.298</v>
      </c>
    </row>
    <row r="26" spans="2:4" x14ac:dyDescent="0.2">
      <c r="B26" s="39" t="s">
        <v>85</v>
      </c>
      <c r="C26" s="39" t="s">
        <v>112</v>
      </c>
      <c r="D26" s="46">
        <v>5.45</v>
      </c>
    </row>
    <row r="27" spans="2:4" x14ac:dyDescent="0.2">
      <c r="B27" s="39" t="s">
        <v>86</v>
      </c>
      <c r="C27" s="39" t="s">
        <v>112</v>
      </c>
      <c r="D27" s="46">
        <v>3.0520000000000005</v>
      </c>
    </row>
    <row r="28" spans="2:4" x14ac:dyDescent="0.2">
      <c r="B28" s="41" t="s">
        <v>87</v>
      </c>
      <c r="C28" s="41"/>
      <c r="D28" s="41">
        <v>21.8</v>
      </c>
    </row>
    <row r="30" spans="2:4" x14ac:dyDescent="0.2">
      <c r="B30" s="39" t="s">
        <v>88</v>
      </c>
      <c r="C30" s="39" t="s">
        <v>113</v>
      </c>
      <c r="D30" s="39">
        <v>46.9</v>
      </c>
    </row>
    <row r="31" spans="2:4" x14ac:dyDescent="0.2">
      <c r="B31" s="41" t="s">
        <v>88</v>
      </c>
      <c r="C31" s="41"/>
      <c r="D31" s="41">
        <v>46.9</v>
      </c>
    </row>
    <row r="32" spans="2:4" x14ac:dyDescent="0.2">
      <c r="B32" s="45"/>
      <c r="C32" s="45"/>
      <c r="D32" s="45"/>
    </row>
    <row r="33" spans="2:4" ht="12.75" thickBot="1" x14ac:dyDescent="0.25">
      <c r="B33" s="42" t="s">
        <v>89</v>
      </c>
      <c r="C33" s="42"/>
      <c r="D33" s="47">
        <v>947.99999999999989</v>
      </c>
    </row>
    <row r="35" spans="2:4" x14ac:dyDescent="0.2">
      <c r="B35" s="39" t="s">
        <v>90</v>
      </c>
      <c r="C35" s="39" t="s">
        <v>114</v>
      </c>
      <c r="D35" s="43">
        <v>19.981000000000002</v>
      </c>
    </row>
    <row r="36" spans="2:4" x14ac:dyDescent="0.2">
      <c r="B36" s="39" t="s">
        <v>94</v>
      </c>
      <c r="C36" s="39" t="s">
        <v>114</v>
      </c>
      <c r="D36" s="43">
        <v>15.847000000000001</v>
      </c>
    </row>
    <row r="37" spans="2:4" x14ac:dyDescent="0.2">
      <c r="B37" s="39" t="s">
        <v>91</v>
      </c>
      <c r="C37" s="39" t="s">
        <v>114</v>
      </c>
      <c r="D37" s="43">
        <v>14.469000000000001</v>
      </c>
    </row>
    <row r="38" spans="2:4" x14ac:dyDescent="0.2">
      <c r="B38" s="39" t="s">
        <v>93</v>
      </c>
      <c r="C38" s="39" t="s">
        <v>114</v>
      </c>
      <c r="D38" s="43">
        <v>10.335000000000001</v>
      </c>
    </row>
    <row r="39" spans="2:4" x14ac:dyDescent="0.2">
      <c r="B39" s="39" t="s">
        <v>92</v>
      </c>
      <c r="C39" s="39" t="s">
        <v>114</v>
      </c>
      <c r="D39" s="43">
        <v>8.2680000000000007</v>
      </c>
    </row>
    <row r="40" spans="2:4" x14ac:dyDescent="0.2">
      <c r="B40" s="41" t="s">
        <v>95</v>
      </c>
      <c r="C40" s="41"/>
      <c r="D40" s="44">
        <v>68.900000000000006</v>
      </c>
    </row>
    <row r="42" spans="2:4" x14ac:dyDescent="0.2">
      <c r="B42" s="39" t="s">
        <v>96</v>
      </c>
      <c r="C42" s="39" t="s">
        <v>111</v>
      </c>
      <c r="D42" s="43">
        <v>17.506999999999998</v>
      </c>
    </row>
    <row r="43" spans="2:4" x14ac:dyDescent="0.2">
      <c r="B43" s="39" t="s">
        <v>97</v>
      </c>
      <c r="C43" s="39" t="s">
        <v>111</v>
      </c>
      <c r="D43" s="43">
        <v>6.601</v>
      </c>
    </row>
    <row r="44" spans="2:4" x14ac:dyDescent="0.2">
      <c r="B44" s="39" t="s">
        <v>98</v>
      </c>
      <c r="C44" s="39" t="s">
        <v>111</v>
      </c>
      <c r="D44" s="43">
        <v>4.5919999999999996</v>
      </c>
    </row>
    <row r="45" spans="2:4" x14ac:dyDescent="0.2">
      <c r="B45" s="41" t="s">
        <v>99</v>
      </c>
      <c r="C45" s="41"/>
      <c r="D45" s="41">
        <v>28.699999999999996</v>
      </c>
    </row>
    <row r="47" spans="2:4" x14ac:dyDescent="0.2">
      <c r="B47" s="39" t="s">
        <v>100</v>
      </c>
      <c r="C47" s="39" t="s">
        <v>115</v>
      </c>
      <c r="D47" s="39">
        <v>610.4</v>
      </c>
    </row>
    <row r="48" spans="2:4" x14ac:dyDescent="0.2">
      <c r="B48" s="41" t="s">
        <v>101</v>
      </c>
      <c r="C48" s="41"/>
      <c r="D48" s="41">
        <v>610.4</v>
      </c>
    </row>
    <row r="50" spans="2:4" x14ac:dyDescent="0.2">
      <c r="B50" s="39" t="s">
        <v>102</v>
      </c>
      <c r="C50" s="39" t="s">
        <v>113</v>
      </c>
      <c r="D50" s="39">
        <v>43.3</v>
      </c>
    </row>
    <row r="51" spans="2:4" x14ac:dyDescent="0.2">
      <c r="B51" s="41" t="s">
        <v>102</v>
      </c>
      <c r="C51" s="41"/>
      <c r="D51" s="41">
        <v>43.3</v>
      </c>
    </row>
    <row r="53" spans="2:4" x14ac:dyDescent="0.2">
      <c r="B53" s="39" t="s">
        <v>103</v>
      </c>
      <c r="C53" s="39" t="s">
        <v>116</v>
      </c>
      <c r="D53" s="43">
        <v>161.52499999999998</v>
      </c>
    </row>
    <row r="54" spans="2:4" x14ac:dyDescent="0.2">
      <c r="B54" s="39" t="s">
        <v>104</v>
      </c>
      <c r="C54" s="39" t="s">
        <v>116</v>
      </c>
      <c r="D54" s="43">
        <v>18.425000000000001</v>
      </c>
    </row>
    <row r="55" spans="2:4" x14ac:dyDescent="0.2">
      <c r="B55" s="39" t="s">
        <v>105</v>
      </c>
      <c r="C55" s="39" t="s">
        <v>116</v>
      </c>
      <c r="D55" s="43">
        <v>16.75</v>
      </c>
    </row>
    <row r="56" spans="2:4" x14ac:dyDescent="0.2">
      <c r="B56" s="41" t="s">
        <v>106</v>
      </c>
      <c r="C56" s="41"/>
      <c r="D56" s="41">
        <v>196.7</v>
      </c>
    </row>
    <row r="58" spans="2:4" ht="12.75" thickBot="1" x14ac:dyDescent="0.25">
      <c r="B58" s="42" t="s">
        <v>107</v>
      </c>
      <c r="C58" s="42"/>
      <c r="D58" s="47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8"/>
  <sheetViews>
    <sheetView workbookViewId="0">
      <selection activeCell="B1" sqref="B1"/>
    </sheetView>
  </sheetViews>
  <sheetFormatPr defaultRowHeight="12" x14ac:dyDescent="0.2"/>
  <cols>
    <col min="1" max="1" width="2" style="25" customWidth="1"/>
    <col min="2" max="2" width="26.42578125" style="25" bestFit="1" customWidth="1"/>
    <col min="3" max="16384" width="9.140625" style="25"/>
  </cols>
  <sheetData>
    <row r="1" spans="2:5" ht="15.75" x14ac:dyDescent="0.25">
      <c r="B1" s="26"/>
    </row>
    <row r="4" spans="2:5" ht="12.75" thickBot="1" x14ac:dyDescent="0.25">
      <c r="B4" s="50" t="s">
        <v>66</v>
      </c>
      <c r="C4" s="59" t="s">
        <v>108</v>
      </c>
      <c r="D4" s="59" t="s">
        <v>117</v>
      </c>
      <c r="E4" s="59">
        <v>42735</v>
      </c>
    </row>
    <row r="5" spans="2:5" x14ac:dyDescent="0.2">
      <c r="B5" s="49" t="s">
        <v>67</v>
      </c>
      <c r="C5" s="49" t="s">
        <v>109</v>
      </c>
      <c r="D5" s="49" t="s">
        <v>118</v>
      </c>
      <c r="E5" s="53">
        <v>44.018000000000008</v>
      </c>
    </row>
    <row r="6" spans="2:5" x14ac:dyDescent="0.2">
      <c r="B6" s="49" t="s">
        <v>69</v>
      </c>
      <c r="C6" s="49" t="s">
        <v>109</v>
      </c>
      <c r="D6" s="49" t="s">
        <v>118</v>
      </c>
      <c r="E6" s="53">
        <v>40.631999999999998</v>
      </c>
    </row>
    <row r="7" spans="2:5" x14ac:dyDescent="0.2">
      <c r="B7" s="49" t="s">
        <v>68</v>
      </c>
      <c r="C7" s="49" t="s">
        <v>109</v>
      </c>
      <c r="D7" s="49" t="s">
        <v>118</v>
      </c>
      <c r="E7" s="53">
        <v>32.167000000000002</v>
      </c>
    </row>
    <row r="8" spans="2:5" x14ac:dyDescent="0.2">
      <c r="B8" s="49" t="s">
        <v>70</v>
      </c>
      <c r="C8" s="49" t="s">
        <v>109</v>
      </c>
      <c r="D8" s="49" t="s">
        <v>118</v>
      </c>
      <c r="E8" s="53">
        <v>27.088000000000001</v>
      </c>
    </row>
    <row r="9" spans="2:5" x14ac:dyDescent="0.2">
      <c r="B9" s="49" t="s">
        <v>71</v>
      </c>
      <c r="C9" s="49" t="s">
        <v>109</v>
      </c>
      <c r="D9" s="49" t="s">
        <v>118</v>
      </c>
      <c r="E9" s="53">
        <v>25.395</v>
      </c>
    </row>
    <row r="10" spans="2:5" x14ac:dyDescent="0.2">
      <c r="B10" s="51" t="s">
        <v>72</v>
      </c>
      <c r="C10" s="51"/>
      <c r="D10" s="51"/>
      <c r="E10" s="54">
        <v>169.3</v>
      </c>
    </row>
    <row r="12" spans="2:5" x14ac:dyDescent="0.2">
      <c r="B12" s="49" t="s">
        <v>73</v>
      </c>
      <c r="C12" s="49" t="s">
        <v>110</v>
      </c>
      <c r="D12" s="49" t="s">
        <v>118</v>
      </c>
      <c r="E12" s="53">
        <v>26.4</v>
      </c>
    </row>
    <row r="13" spans="2:5" x14ac:dyDescent="0.2">
      <c r="B13" s="49" t="s">
        <v>74</v>
      </c>
      <c r="C13" s="49" t="s">
        <v>110</v>
      </c>
      <c r="D13" s="49" t="s">
        <v>118</v>
      </c>
      <c r="E13" s="53">
        <v>25.3</v>
      </c>
    </row>
    <row r="14" spans="2:5" x14ac:dyDescent="0.2">
      <c r="B14" s="49" t="s">
        <v>75</v>
      </c>
      <c r="C14" s="49" t="s">
        <v>110</v>
      </c>
      <c r="D14" s="49" t="s">
        <v>118</v>
      </c>
      <c r="E14" s="53">
        <v>20.9</v>
      </c>
    </row>
    <row r="15" spans="2:5" x14ac:dyDescent="0.2">
      <c r="B15" s="49" t="s">
        <v>77</v>
      </c>
      <c r="C15" s="49" t="s">
        <v>110</v>
      </c>
      <c r="D15" s="49" t="s">
        <v>118</v>
      </c>
      <c r="E15" s="53">
        <v>20.9</v>
      </c>
    </row>
    <row r="16" spans="2:5" x14ac:dyDescent="0.2">
      <c r="B16" s="49" t="s">
        <v>76</v>
      </c>
      <c r="C16" s="49" t="s">
        <v>110</v>
      </c>
      <c r="D16" s="49" t="s">
        <v>118</v>
      </c>
      <c r="E16" s="53">
        <v>16.5</v>
      </c>
    </row>
    <row r="17" spans="2:5" x14ac:dyDescent="0.2">
      <c r="B17" s="51" t="s">
        <v>78</v>
      </c>
      <c r="C17" s="51" t="s">
        <v>110</v>
      </c>
      <c r="D17" s="51"/>
      <c r="E17" s="54">
        <v>110</v>
      </c>
    </row>
    <row r="19" spans="2:5" x14ac:dyDescent="0.2">
      <c r="B19" s="49" t="s">
        <v>79</v>
      </c>
      <c r="C19" s="49" t="s">
        <v>111</v>
      </c>
      <c r="D19" s="49" t="s">
        <v>118</v>
      </c>
      <c r="E19" s="53">
        <v>350.51</v>
      </c>
    </row>
    <row r="20" spans="2:5" x14ac:dyDescent="0.2">
      <c r="B20" s="49" t="s">
        <v>80</v>
      </c>
      <c r="C20" s="49" t="s">
        <v>111</v>
      </c>
      <c r="D20" s="49" t="s">
        <v>118</v>
      </c>
      <c r="E20" s="53">
        <v>146.71</v>
      </c>
    </row>
    <row r="21" spans="2:5" x14ac:dyDescent="0.2">
      <c r="B21" s="49" t="s">
        <v>81</v>
      </c>
      <c r="C21" s="49" t="s">
        <v>111</v>
      </c>
      <c r="D21" s="49" t="s">
        <v>118</v>
      </c>
      <c r="E21" s="53">
        <v>133.73500000000001</v>
      </c>
    </row>
    <row r="22" spans="2:5" x14ac:dyDescent="0.2">
      <c r="B22" s="49" t="s">
        <v>82</v>
      </c>
      <c r="C22" s="49" t="s">
        <v>111</v>
      </c>
      <c r="D22" s="49" t="s">
        <v>118</v>
      </c>
      <c r="E22" s="53">
        <v>28.545000000000002</v>
      </c>
    </row>
    <row r="23" spans="2:5" x14ac:dyDescent="0.2">
      <c r="B23" s="51" t="s">
        <v>83</v>
      </c>
      <c r="C23" s="51"/>
      <c r="D23" s="51"/>
      <c r="E23" s="54">
        <v>659.5</v>
      </c>
    </row>
    <row r="25" spans="2:5" x14ac:dyDescent="0.2">
      <c r="B25" s="49" t="s">
        <v>84</v>
      </c>
      <c r="C25" s="49" t="s">
        <v>112</v>
      </c>
      <c r="D25" s="49" t="s">
        <v>118</v>
      </c>
      <c r="E25" s="56">
        <v>125.39999999999999</v>
      </c>
    </row>
    <row r="26" spans="2:5" x14ac:dyDescent="0.2">
      <c r="B26" s="49" t="s">
        <v>85</v>
      </c>
      <c r="C26" s="49" t="s">
        <v>112</v>
      </c>
      <c r="D26" s="49" t="s">
        <v>118</v>
      </c>
      <c r="E26" s="56">
        <v>59.400000000000006</v>
      </c>
    </row>
    <row r="27" spans="2:5" x14ac:dyDescent="0.2">
      <c r="B27" s="49" t="s">
        <v>86</v>
      </c>
      <c r="C27" s="49" t="s">
        <v>112</v>
      </c>
      <c r="D27" s="49" t="s">
        <v>118</v>
      </c>
      <c r="E27" s="56">
        <v>35.200000000000003</v>
      </c>
    </row>
    <row r="28" spans="2:5" x14ac:dyDescent="0.2">
      <c r="B28" s="51" t="s">
        <v>87</v>
      </c>
      <c r="C28" s="51"/>
      <c r="D28" s="51"/>
      <c r="E28" s="58">
        <v>220</v>
      </c>
    </row>
    <row r="30" spans="2:5" x14ac:dyDescent="0.2">
      <c r="B30" s="49" t="s">
        <v>88</v>
      </c>
      <c r="C30" s="49" t="s">
        <v>113</v>
      </c>
      <c r="D30" s="49" t="s">
        <v>118</v>
      </c>
      <c r="E30" s="56">
        <v>68</v>
      </c>
    </row>
    <row r="31" spans="2:5" x14ac:dyDescent="0.2">
      <c r="B31" s="51" t="s">
        <v>88</v>
      </c>
      <c r="C31" s="51"/>
      <c r="D31" s="51"/>
      <c r="E31" s="58">
        <v>68</v>
      </c>
    </row>
    <row r="32" spans="2:5" x14ac:dyDescent="0.2">
      <c r="B32" s="55"/>
      <c r="C32" s="55"/>
      <c r="D32" s="55"/>
      <c r="E32" s="55"/>
    </row>
    <row r="33" spans="2:5" ht="12.75" thickBot="1" x14ac:dyDescent="0.25">
      <c r="B33" s="52" t="s">
        <v>89</v>
      </c>
      <c r="C33" s="52"/>
      <c r="D33" s="52"/>
      <c r="E33" s="57">
        <v>1226.8</v>
      </c>
    </row>
    <row r="35" spans="2:5" x14ac:dyDescent="0.2">
      <c r="B35" s="49" t="s">
        <v>90</v>
      </c>
      <c r="C35" s="49" t="s">
        <v>114</v>
      </c>
      <c r="D35" s="49" t="s">
        <v>119</v>
      </c>
      <c r="E35" s="53">
        <v>19.981000000000002</v>
      </c>
    </row>
    <row r="36" spans="2:5" x14ac:dyDescent="0.2">
      <c r="B36" s="49" t="s">
        <v>94</v>
      </c>
      <c r="C36" s="49" t="s">
        <v>114</v>
      </c>
      <c r="D36" s="49" t="s">
        <v>119</v>
      </c>
      <c r="E36" s="53">
        <v>15.847000000000001</v>
      </c>
    </row>
    <row r="37" spans="2:5" x14ac:dyDescent="0.2">
      <c r="B37" s="49" t="s">
        <v>91</v>
      </c>
      <c r="C37" s="49" t="s">
        <v>114</v>
      </c>
      <c r="D37" s="49" t="s">
        <v>119</v>
      </c>
      <c r="E37" s="53">
        <v>14.469000000000001</v>
      </c>
    </row>
    <row r="38" spans="2:5" x14ac:dyDescent="0.2">
      <c r="B38" s="49" t="s">
        <v>93</v>
      </c>
      <c r="C38" s="49" t="s">
        <v>114</v>
      </c>
      <c r="D38" s="49" t="s">
        <v>119</v>
      </c>
      <c r="E38" s="53">
        <v>10.335000000000001</v>
      </c>
    </row>
    <row r="39" spans="2:5" x14ac:dyDescent="0.2">
      <c r="B39" s="49" t="s">
        <v>92</v>
      </c>
      <c r="C39" s="49" t="s">
        <v>114</v>
      </c>
      <c r="D39" s="49" t="s">
        <v>119</v>
      </c>
      <c r="E39" s="53">
        <v>8.2680000000000007</v>
      </c>
    </row>
    <row r="40" spans="2:5" x14ac:dyDescent="0.2">
      <c r="B40" s="51" t="s">
        <v>95</v>
      </c>
      <c r="C40" s="51"/>
      <c r="D40" s="51"/>
      <c r="E40" s="54">
        <v>68.900000000000006</v>
      </c>
    </row>
    <row r="42" spans="2:5" x14ac:dyDescent="0.2">
      <c r="B42" s="49" t="s">
        <v>96</v>
      </c>
      <c r="C42" s="49" t="s">
        <v>111</v>
      </c>
      <c r="D42" s="49" t="s">
        <v>119</v>
      </c>
      <c r="E42" s="53">
        <v>17.506999999999998</v>
      </c>
    </row>
    <row r="43" spans="2:5" x14ac:dyDescent="0.2">
      <c r="B43" s="49" t="s">
        <v>97</v>
      </c>
      <c r="C43" s="49" t="s">
        <v>111</v>
      </c>
      <c r="D43" s="49" t="s">
        <v>119</v>
      </c>
      <c r="E43" s="53">
        <v>6.601</v>
      </c>
    </row>
    <row r="44" spans="2:5" x14ac:dyDescent="0.2">
      <c r="B44" s="49" t="s">
        <v>98</v>
      </c>
      <c r="C44" s="49" t="s">
        <v>111</v>
      </c>
      <c r="D44" s="49" t="s">
        <v>119</v>
      </c>
      <c r="E44" s="53">
        <v>4.5919999999999996</v>
      </c>
    </row>
    <row r="45" spans="2:5" x14ac:dyDescent="0.2">
      <c r="B45" s="51" t="s">
        <v>99</v>
      </c>
      <c r="C45" s="51"/>
      <c r="D45" s="51"/>
      <c r="E45" s="51">
        <v>28.699999999999996</v>
      </c>
    </row>
    <row r="47" spans="2:5" x14ac:dyDescent="0.2">
      <c r="B47" s="49" t="s">
        <v>100</v>
      </c>
      <c r="C47" s="49" t="s">
        <v>115</v>
      </c>
      <c r="D47" s="49" t="s">
        <v>119</v>
      </c>
      <c r="E47" s="56">
        <v>605</v>
      </c>
    </row>
    <row r="48" spans="2:5" x14ac:dyDescent="0.2">
      <c r="B48" s="51" t="s">
        <v>101</v>
      </c>
      <c r="C48" s="51"/>
      <c r="D48" s="51"/>
      <c r="E48" s="58">
        <v>605</v>
      </c>
    </row>
    <row r="50" spans="2:5" x14ac:dyDescent="0.2">
      <c r="B50" s="49" t="s">
        <v>102</v>
      </c>
      <c r="C50" s="49" t="s">
        <v>113</v>
      </c>
      <c r="D50" s="49" t="s">
        <v>119</v>
      </c>
      <c r="E50" s="49">
        <v>38.9</v>
      </c>
    </row>
    <row r="51" spans="2:5" x14ac:dyDescent="0.2">
      <c r="B51" s="51" t="s">
        <v>102</v>
      </c>
      <c r="C51" s="51"/>
      <c r="D51" s="51"/>
      <c r="E51" s="51">
        <v>38.9</v>
      </c>
    </row>
    <row r="53" spans="2:5" x14ac:dyDescent="0.2">
      <c r="B53" s="49" t="s">
        <v>103</v>
      </c>
      <c r="C53" s="49" t="s">
        <v>116</v>
      </c>
      <c r="D53" s="49" t="s">
        <v>116</v>
      </c>
      <c r="E53" s="53">
        <v>450.125</v>
      </c>
    </row>
    <row r="54" spans="2:5" x14ac:dyDescent="0.2">
      <c r="B54" s="49" t="s">
        <v>104</v>
      </c>
      <c r="C54" s="49" t="s">
        <v>116</v>
      </c>
      <c r="D54" s="49" t="s">
        <v>116</v>
      </c>
      <c r="E54" s="53">
        <v>18.425000000000001</v>
      </c>
    </row>
    <row r="55" spans="2:5" x14ac:dyDescent="0.2">
      <c r="B55" s="49" t="s">
        <v>105</v>
      </c>
      <c r="C55" s="49" t="s">
        <v>116</v>
      </c>
      <c r="D55" s="49" t="s">
        <v>116</v>
      </c>
      <c r="E55" s="53">
        <v>16.75</v>
      </c>
    </row>
    <row r="56" spans="2:5" x14ac:dyDescent="0.2">
      <c r="B56" s="51" t="s">
        <v>106</v>
      </c>
      <c r="C56" s="51"/>
      <c r="D56" s="51"/>
      <c r="E56" s="51">
        <v>485.3</v>
      </c>
    </row>
    <row r="58" spans="2:5" ht="12.75" thickBot="1" x14ac:dyDescent="0.25">
      <c r="B58" s="52" t="s">
        <v>107</v>
      </c>
      <c r="C58" s="52"/>
      <c r="D58" s="52"/>
      <c r="E58" s="57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workbookViewId="0">
      <selection activeCell="C1" sqref="C1:C1048576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42"/>
  <sheetViews>
    <sheetView tabSelected="1" workbookViewId="0">
      <selection activeCell="L26" sqref="L26"/>
    </sheetView>
  </sheetViews>
  <sheetFormatPr defaultRowHeight="12" x14ac:dyDescent="0.2"/>
  <cols>
    <col min="1" max="1" width="2" style="2" customWidth="1"/>
    <col min="2" max="2" width="18.140625" style="2" customWidth="1"/>
    <col min="3" max="5" width="9.140625" style="2"/>
    <col min="6" max="6" width="2" style="2" customWidth="1"/>
    <col min="7" max="16384" width="9.140625" style="2"/>
  </cols>
  <sheetData>
    <row r="1" spans="2:8" ht="15.75" x14ac:dyDescent="0.25">
      <c r="B1" s="11" t="s">
        <v>57</v>
      </c>
    </row>
    <row r="3" spans="2:8" ht="24.75" thickBot="1" x14ac:dyDescent="0.25">
      <c r="B3" s="13" t="s">
        <v>63</v>
      </c>
      <c r="C3" s="14">
        <v>2014</v>
      </c>
      <c r="D3" s="14">
        <v>2015</v>
      </c>
      <c r="E3" s="14">
        <v>2016</v>
      </c>
      <c r="G3" s="19" t="s">
        <v>64</v>
      </c>
      <c r="H3" s="19" t="s">
        <v>65</v>
      </c>
    </row>
    <row r="4" spans="2:8" x14ac:dyDescent="0.2">
      <c r="B4" s="15" t="s">
        <v>55</v>
      </c>
      <c r="C4" s="15">
        <f>+SUMIFS(Workings!$E:$E,Workings!$F:$F,'P&amp;L'!$B4,Workings!$C:$C,'P&amp;L'!C$3)</f>
        <v>2922</v>
      </c>
      <c r="D4" s="15">
        <f>+SUMIFS(Workings!$E:$E,Workings!$F:$F,'P&amp;L'!$B4,Workings!$C:$C,'P&amp;L'!D$3)</f>
        <v>2984</v>
      </c>
      <c r="E4" s="15">
        <f>+SUMIFS(Workings!$E:$E,Workings!$F:$F,'P&amp;L'!$B4,Workings!$C:$C,'P&amp;L'!E$3)</f>
        <v>3040</v>
      </c>
      <c r="G4" s="20">
        <f>D4/C4-1</f>
        <v>2.1218343600273748E-2</v>
      </c>
      <c r="H4" s="20">
        <f t="shared" ref="H4:H14" si="0">E4/D4-1</f>
        <v>1.8766756032171594E-2</v>
      </c>
    </row>
    <row r="5" spans="2:8" x14ac:dyDescent="0.2">
      <c r="B5" s="15" t="s">
        <v>56</v>
      </c>
      <c r="C5" s="15">
        <f>-1*SUMIFS(Workings!$E:$E,Workings!$F:$F,'P&amp;L'!$B5,Workings!$C:$C,'P&amp;L'!C$3)</f>
        <v>-1401</v>
      </c>
      <c r="D5" s="15">
        <f>-1*SUMIFS(Workings!$E:$E,Workings!$F:$F,'P&amp;L'!$B5,Workings!$C:$C,'P&amp;L'!D$3)</f>
        <v>-1383</v>
      </c>
      <c r="E5" s="15">
        <f>-1*SUMIFS(Workings!$E:$E,Workings!$F:$F,'P&amp;L'!$B5,Workings!$C:$C,'P&amp;L'!E$3)</f>
        <v>-1367</v>
      </c>
      <c r="G5" s="20">
        <f t="shared" ref="G5:G14" si="1">D5/C5-1</f>
        <v>-1.2847965738758016E-2</v>
      </c>
      <c r="H5" s="20">
        <f t="shared" si="0"/>
        <v>-1.156905278380338E-2</v>
      </c>
    </row>
    <row r="6" spans="2:8" x14ac:dyDescent="0.2">
      <c r="B6" s="16" t="s">
        <v>58</v>
      </c>
      <c r="C6" s="16">
        <f>SUM(C4:C5)</f>
        <v>1521</v>
      </c>
      <c r="D6" s="16">
        <f>SUM(D4:D5)</f>
        <v>1601</v>
      </c>
      <c r="E6" s="16">
        <f>SUM(E4:E5)</f>
        <v>1673</v>
      </c>
      <c r="G6" s="21">
        <f t="shared" si="1"/>
        <v>5.2596975673898649E-2</v>
      </c>
      <c r="H6" s="21">
        <f t="shared" si="0"/>
        <v>4.4971892567145622E-2</v>
      </c>
    </row>
    <row r="7" spans="2:8" x14ac:dyDescent="0.2">
      <c r="B7" s="15" t="s">
        <v>8</v>
      </c>
      <c r="C7" s="15">
        <f>-1*SUMIFS(Workings!$E:$E,Workings!$F:$F,'P&amp;L'!$B7,Workings!$C:$C,'P&amp;L'!C$3)</f>
        <v>-1212.1799999999998</v>
      </c>
      <c r="D7" s="15">
        <f>-1*SUMIFS(Workings!$E:$E,Workings!$F:$F,'P&amp;L'!$B7,Workings!$C:$C,'P&amp;L'!D$3)</f>
        <v>-1245.3399999999999</v>
      </c>
      <c r="E7" s="15">
        <f>-1*SUMIFS(Workings!$E:$E,Workings!$F:$F,'P&amp;L'!$B7,Workings!$C:$C,'P&amp;L'!E$3)</f>
        <v>-1068.24</v>
      </c>
      <c r="G7" s="20">
        <f t="shared" si="1"/>
        <v>2.7355673249847445E-2</v>
      </c>
      <c r="H7" s="20">
        <f t="shared" si="0"/>
        <v>-0.14221015947452098</v>
      </c>
    </row>
    <row r="8" spans="2:8" x14ac:dyDescent="0.2">
      <c r="B8" s="16" t="s">
        <v>59</v>
      </c>
      <c r="C8" s="16">
        <f>SUM(C6:C7)</f>
        <v>308.82000000000016</v>
      </c>
      <c r="D8" s="16">
        <f>SUM(D6:D7)</f>
        <v>355.66000000000008</v>
      </c>
      <c r="E8" s="16">
        <f>SUM(E6:E7)</f>
        <v>604.76</v>
      </c>
      <c r="G8" s="21">
        <f t="shared" si="1"/>
        <v>0.15167411437083045</v>
      </c>
      <c r="H8" s="21">
        <f t="shared" si="0"/>
        <v>0.70038801102176196</v>
      </c>
    </row>
    <row r="9" spans="2:8" x14ac:dyDescent="0.2">
      <c r="B9" s="15" t="s">
        <v>12</v>
      </c>
      <c r="C9" s="15">
        <f>-1*SUMIFS(Workings!$E:$E,Workings!$F:$F,'P&amp;L'!$B9,Workings!$C:$C,'P&amp;L'!C$3)</f>
        <v>-31</v>
      </c>
      <c r="D9" s="15">
        <f>-1*SUMIFS(Workings!$E:$E,Workings!$F:$F,'P&amp;L'!$B9,Workings!$C:$C,'P&amp;L'!D$3)</f>
        <v>-44</v>
      </c>
      <c r="E9" s="15">
        <f>-1*SUMIFS(Workings!$E:$E,Workings!$F:$F,'P&amp;L'!$B9,Workings!$C:$C,'P&amp;L'!E$3)</f>
        <v>-41</v>
      </c>
      <c r="G9" s="20">
        <f t="shared" si="1"/>
        <v>0.41935483870967749</v>
      </c>
      <c r="H9" s="20">
        <f t="shared" si="0"/>
        <v>-6.8181818181818232E-2</v>
      </c>
    </row>
    <row r="10" spans="2:8" x14ac:dyDescent="0.2">
      <c r="B10" s="16" t="s">
        <v>60</v>
      </c>
      <c r="C10" s="16">
        <f>SUM(C8:C9)</f>
        <v>277.82000000000016</v>
      </c>
      <c r="D10" s="16">
        <f>SUM(D8:D9)</f>
        <v>311.66000000000008</v>
      </c>
      <c r="E10" s="16">
        <f>SUM(E8:E9)</f>
        <v>563.76</v>
      </c>
      <c r="G10" s="21">
        <f t="shared" si="1"/>
        <v>0.12180548556619364</v>
      </c>
      <c r="H10" s="21">
        <f t="shared" si="0"/>
        <v>0.80889430789963379</v>
      </c>
    </row>
    <row r="11" spans="2:8" x14ac:dyDescent="0.2">
      <c r="B11" s="15" t="s">
        <v>50</v>
      </c>
      <c r="C11" s="15">
        <f>-1*SUMIFS(Workings!$E:$E,Workings!$F:$F,'P&amp;L'!$B11,Workings!$C:$C,'P&amp;L'!C$3)</f>
        <v>-56</v>
      </c>
      <c r="D11" s="15">
        <f>-1*SUMIFS(Workings!$E:$E,Workings!$F:$F,'P&amp;L'!$B11,Workings!$C:$C,'P&amp;L'!D$3)</f>
        <v>-65</v>
      </c>
      <c r="E11" s="15">
        <f>-1*SUMIFS(Workings!$E:$E,Workings!$F:$F,'P&amp;L'!$B11,Workings!$C:$C,'P&amp;L'!E$3)</f>
        <v>-52</v>
      </c>
      <c r="G11" s="20">
        <f t="shared" si="1"/>
        <v>0.16071428571428581</v>
      </c>
      <c r="H11" s="20">
        <f t="shared" si="0"/>
        <v>-0.19999999999999996</v>
      </c>
    </row>
    <row r="12" spans="2:8" x14ac:dyDescent="0.2">
      <c r="B12" s="16" t="s">
        <v>61</v>
      </c>
      <c r="C12" s="16">
        <f>SUM(C10:C11)</f>
        <v>221.82000000000016</v>
      </c>
      <c r="D12" s="16">
        <f>SUM(D10:D11)</f>
        <v>246.66000000000008</v>
      </c>
      <c r="E12" s="16">
        <f>SUM(E10:E11)</f>
        <v>511.76</v>
      </c>
      <c r="G12" s="21">
        <f t="shared" si="1"/>
        <v>0.11198268866648586</v>
      </c>
      <c r="H12" s="21">
        <f t="shared" si="0"/>
        <v>1.0747587772642495</v>
      </c>
    </row>
    <row r="13" spans="2:8" x14ac:dyDescent="0.2">
      <c r="B13" s="15" t="s">
        <v>51</v>
      </c>
      <c r="C13" s="15">
        <f>-1*SUMIFS(Workings!$E:$E,Workings!$F:$F,'P&amp;L'!$B13,Workings!$C:$C,'P&amp;L'!C$3)</f>
        <v>-207.52</v>
      </c>
      <c r="D13" s="15">
        <f>-1*SUMIFS(Workings!$E:$E,Workings!$F:$F,'P&amp;L'!$B13,Workings!$C:$C,'P&amp;L'!D$3)</f>
        <v>-209.98</v>
      </c>
      <c r="E13" s="15">
        <f>-1*SUMIFS(Workings!$E:$E,Workings!$F:$F,'P&amp;L'!$B13,Workings!$C:$C,'P&amp;L'!E$3)</f>
        <v>-208.57999999999998</v>
      </c>
      <c r="G13" s="20">
        <f t="shared" si="1"/>
        <v>1.1854279105628196E-2</v>
      </c>
      <c r="H13" s="20">
        <f t="shared" si="0"/>
        <v>-6.6673016477759584E-3</v>
      </c>
    </row>
    <row r="14" spans="2:8" ht="12.75" thickBot="1" x14ac:dyDescent="0.25">
      <c r="B14" s="17" t="s">
        <v>62</v>
      </c>
      <c r="C14" s="18">
        <f>SUM(C12:C13)</f>
        <v>14.300000000000153</v>
      </c>
      <c r="D14" s="18">
        <f>SUM(D12:D13)</f>
        <v>36.680000000000092</v>
      </c>
      <c r="E14" s="18">
        <f>SUM(E12:E13)</f>
        <v>303.18</v>
      </c>
      <c r="G14" s="22">
        <f t="shared" si="1"/>
        <v>1.5650349650349438</v>
      </c>
      <c r="H14" s="22">
        <f t="shared" si="0"/>
        <v>7.2655398037077212</v>
      </c>
    </row>
    <row r="15" spans="2:8" ht="15" x14ac:dyDescent="0.25">
      <c r="B15" s="12"/>
      <c r="D15" s="10"/>
    </row>
    <row r="16" spans="2:8" ht="15" x14ac:dyDescent="0.25">
      <c r="B16" s="12"/>
      <c r="D16" s="10"/>
    </row>
    <row r="17" spans="2:4" ht="15" x14ac:dyDescent="0.25">
      <c r="D17" s="10"/>
    </row>
    <row r="18" spans="2:4" ht="15" x14ac:dyDescent="0.25">
      <c r="D18" s="10"/>
    </row>
    <row r="19" spans="2:4" ht="15" x14ac:dyDescent="0.25">
      <c r="D19" s="10"/>
    </row>
    <row r="20" spans="2:4" ht="15" x14ac:dyDescent="0.25">
      <c r="D20" s="10"/>
    </row>
    <row r="21" spans="2:4" ht="15" x14ac:dyDescent="0.25">
      <c r="D21" s="10"/>
    </row>
    <row r="22" spans="2:4" ht="15" x14ac:dyDescent="0.25">
      <c r="B22" s="10"/>
      <c r="D22" s="10"/>
    </row>
    <row r="23" spans="2:4" ht="15" x14ac:dyDescent="0.25">
      <c r="B23" s="10"/>
      <c r="D23" s="10"/>
    </row>
    <row r="24" spans="2:4" ht="15" x14ac:dyDescent="0.25">
      <c r="B24" s="10"/>
      <c r="D24" s="10"/>
    </row>
    <row r="25" spans="2:4" ht="15" x14ac:dyDescent="0.25">
      <c r="B25" s="10"/>
      <c r="D25" s="10"/>
    </row>
    <row r="26" spans="2:4" ht="15" x14ac:dyDescent="0.25">
      <c r="B26" s="10"/>
      <c r="D26" s="10"/>
    </row>
    <row r="27" spans="2:4" ht="15" x14ac:dyDescent="0.25">
      <c r="B27" s="10"/>
      <c r="D27" s="10"/>
    </row>
    <row r="28" spans="2:4" ht="15" x14ac:dyDescent="0.25">
      <c r="B28" s="10"/>
      <c r="D28" s="10"/>
    </row>
    <row r="29" spans="2:4" ht="15" x14ac:dyDescent="0.25">
      <c r="B29" s="10"/>
      <c r="D29" s="10"/>
    </row>
    <row r="30" spans="2:4" ht="15" x14ac:dyDescent="0.25">
      <c r="B30" s="10"/>
      <c r="D30" s="10"/>
    </row>
    <row r="31" spans="2:4" ht="15" x14ac:dyDescent="0.25">
      <c r="B31" s="10"/>
      <c r="D31" s="10"/>
    </row>
    <row r="32" spans="2:4" ht="15" x14ac:dyDescent="0.25">
      <c r="B32" s="10"/>
      <c r="D32" s="10"/>
    </row>
    <row r="33" spans="2:4" ht="15" x14ac:dyDescent="0.25">
      <c r="B33" s="10"/>
      <c r="D33" s="10"/>
    </row>
    <row r="34" spans="2:4" ht="15" x14ac:dyDescent="0.25">
      <c r="B34" s="10"/>
      <c r="D34" s="10"/>
    </row>
    <row r="35" spans="2:4" ht="15" x14ac:dyDescent="0.25">
      <c r="B35" s="10"/>
      <c r="D35" s="10"/>
    </row>
    <row r="36" spans="2:4" ht="15" x14ac:dyDescent="0.25">
      <c r="B36" s="10"/>
      <c r="D36" s="10"/>
    </row>
    <row r="37" spans="2:4" ht="15" x14ac:dyDescent="0.25">
      <c r="B37" s="10"/>
      <c r="D37" s="10"/>
    </row>
    <row r="38" spans="2:4" ht="15" x14ac:dyDescent="0.25">
      <c r="B38" s="10"/>
      <c r="D38" s="10"/>
    </row>
    <row r="39" spans="2:4" ht="15" x14ac:dyDescent="0.25">
      <c r="B39" s="10"/>
      <c r="D39" s="10"/>
    </row>
    <row r="40" spans="2:4" ht="15" x14ac:dyDescent="0.25">
      <c r="B40" s="10"/>
      <c r="D40" s="10"/>
    </row>
    <row r="41" spans="2:4" ht="15" x14ac:dyDescent="0.25">
      <c r="B41" s="10"/>
      <c r="D41" s="10"/>
    </row>
    <row r="42" spans="2:4" ht="15" x14ac:dyDescent="0.25">
      <c r="B42" s="10"/>
      <c r="D42" s="10"/>
    </row>
    <row r="43" spans="2:4" ht="15" x14ac:dyDescent="0.25">
      <c r="B43" s="10"/>
      <c r="D43" s="10"/>
    </row>
    <row r="44" spans="2:4" ht="15" x14ac:dyDescent="0.25">
      <c r="B44" s="10"/>
      <c r="D44" s="10"/>
    </row>
    <row r="45" spans="2:4" ht="15" x14ac:dyDescent="0.25">
      <c r="B45" s="10"/>
      <c r="D45" s="10"/>
    </row>
    <row r="46" spans="2:4" ht="15" x14ac:dyDescent="0.25">
      <c r="B46" s="10"/>
      <c r="D46" s="10"/>
    </row>
    <row r="47" spans="2:4" ht="15" x14ac:dyDescent="0.25">
      <c r="B47" s="10"/>
      <c r="D47" s="10"/>
    </row>
    <row r="48" spans="2:4" ht="15" x14ac:dyDescent="0.25">
      <c r="B48" s="10"/>
      <c r="D48" s="10"/>
    </row>
    <row r="49" spans="2:4" ht="15" x14ac:dyDescent="0.25">
      <c r="B49" s="10"/>
      <c r="D49" s="10"/>
    </row>
    <row r="50" spans="2:4" ht="15" x14ac:dyDescent="0.25">
      <c r="B50" s="10"/>
      <c r="D50" s="10"/>
    </row>
    <row r="51" spans="2:4" ht="15" x14ac:dyDescent="0.25">
      <c r="B51" s="10"/>
      <c r="D51" s="10"/>
    </row>
    <row r="52" spans="2:4" ht="15" x14ac:dyDescent="0.25">
      <c r="B52" s="10"/>
      <c r="D52" s="10"/>
    </row>
    <row r="53" spans="2:4" ht="15" x14ac:dyDescent="0.25">
      <c r="B53" s="10"/>
      <c r="D53" s="10"/>
    </row>
    <row r="54" spans="2:4" ht="15" x14ac:dyDescent="0.25">
      <c r="B54" s="10"/>
      <c r="D54" s="10"/>
    </row>
    <row r="55" spans="2:4" ht="15" x14ac:dyDescent="0.25">
      <c r="B55" s="10"/>
      <c r="D55" s="10"/>
    </row>
    <row r="56" spans="2:4" ht="15" x14ac:dyDescent="0.25">
      <c r="B56" s="10"/>
      <c r="D56" s="10"/>
    </row>
    <row r="57" spans="2:4" ht="15" x14ac:dyDescent="0.25">
      <c r="B57" s="10"/>
      <c r="D57" s="10"/>
    </row>
    <row r="58" spans="2:4" ht="15" x14ac:dyDescent="0.25">
      <c r="B58" s="10"/>
      <c r="D58" s="10"/>
    </row>
    <row r="59" spans="2:4" ht="15" x14ac:dyDescent="0.25">
      <c r="B59" s="10"/>
      <c r="D59" s="10"/>
    </row>
    <row r="60" spans="2:4" ht="15" x14ac:dyDescent="0.25">
      <c r="B60" s="10"/>
      <c r="D60" s="10"/>
    </row>
    <row r="61" spans="2:4" ht="15" x14ac:dyDescent="0.25">
      <c r="B61" s="10"/>
      <c r="D61" s="10"/>
    </row>
    <row r="62" spans="2:4" ht="15" x14ac:dyDescent="0.25">
      <c r="B62" s="10"/>
      <c r="D62" s="10"/>
    </row>
    <row r="63" spans="2:4" ht="15" x14ac:dyDescent="0.25">
      <c r="B63" s="10"/>
      <c r="D63" s="10"/>
    </row>
    <row r="64" spans="2:4" ht="15" x14ac:dyDescent="0.25">
      <c r="B64" s="10"/>
      <c r="D64" s="10"/>
    </row>
    <row r="65" spans="2:4" ht="15" x14ac:dyDescent="0.25">
      <c r="B65" s="10"/>
      <c r="D65" s="10"/>
    </row>
    <row r="66" spans="2:4" ht="15" x14ac:dyDescent="0.25">
      <c r="B66" s="10"/>
      <c r="D66" s="10"/>
    </row>
    <row r="67" spans="2:4" ht="15" x14ac:dyDescent="0.25">
      <c r="B67" s="10"/>
      <c r="D67" s="10"/>
    </row>
    <row r="68" spans="2:4" ht="15" x14ac:dyDescent="0.25">
      <c r="B68" s="10"/>
      <c r="D68" s="10"/>
    </row>
    <row r="69" spans="2:4" ht="15" x14ac:dyDescent="0.25">
      <c r="B69" s="10"/>
      <c r="D69" s="10"/>
    </row>
    <row r="70" spans="2:4" ht="15" x14ac:dyDescent="0.25">
      <c r="B70" s="10"/>
      <c r="D70" s="10"/>
    </row>
    <row r="71" spans="2:4" ht="15" x14ac:dyDescent="0.25">
      <c r="B71" s="10"/>
      <c r="D71" s="10"/>
    </row>
    <row r="72" spans="2:4" ht="15" x14ac:dyDescent="0.25">
      <c r="B72" s="10"/>
      <c r="D72" s="10"/>
    </row>
    <row r="73" spans="2:4" ht="15" x14ac:dyDescent="0.25">
      <c r="B73" s="10"/>
      <c r="D73" s="10"/>
    </row>
    <row r="74" spans="2:4" ht="15" x14ac:dyDescent="0.25">
      <c r="B74" s="10"/>
      <c r="D74" s="10"/>
    </row>
    <row r="75" spans="2:4" ht="15" x14ac:dyDescent="0.25">
      <c r="B75" s="10"/>
      <c r="D75" s="10"/>
    </row>
    <row r="76" spans="2:4" ht="15" x14ac:dyDescent="0.25">
      <c r="B76" s="10"/>
      <c r="D76" s="10"/>
    </row>
    <row r="77" spans="2:4" ht="15" x14ac:dyDescent="0.25">
      <c r="B77" s="10"/>
      <c r="D77" s="10"/>
    </row>
    <row r="78" spans="2:4" ht="15" x14ac:dyDescent="0.25">
      <c r="B78" s="10"/>
      <c r="D78" s="10"/>
    </row>
    <row r="79" spans="2:4" ht="15" x14ac:dyDescent="0.25">
      <c r="B79" s="10"/>
      <c r="D79" s="10"/>
    </row>
    <row r="80" spans="2:4" ht="15" x14ac:dyDescent="0.25">
      <c r="B80" s="10"/>
      <c r="D80" s="10"/>
    </row>
    <row r="81" spans="2:4" ht="15" x14ac:dyDescent="0.25">
      <c r="B81" s="10"/>
      <c r="D81" s="10"/>
    </row>
    <row r="82" spans="2:4" ht="15" x14ac:dyDescent="0.25">
      <c r="B82" s="10"/>
      <c r="D82" s="10"/>
    </row>
    <row r="83" spans="2:4" ht="15" x14ac:dyDescent="0.25">
      <c r="B83" s="10"/>
      <c r="D83" s="10"/>
    </row>
    <row r="84" spans="2:4" ht="15" x14ac:dyDescent="0.25">
      <c r="B84" s="10"/>
      <c r="D84" s="10"/>
    </row>
    <row r="85" spans="2:4" ht="15" x14ac:dyDescent="0.25">
      <c r="B85" s="10"/>
      <c r="D85" s="10"/>
    </row>
    <row r="86" spans="2:4" ht="15" x14ac:dyDescent="0.25">
      <c r="B86" s="10"/>
      <c r="D86" s="10"/>
    </row>
    <row r="87" spans="2:4" ht="15" x14ac:dyDescent="0.25">
      <c r="B87" s="10"/>
      <c r="D87" s="10"/>
    </row>
    <row r="88" spans="2:4" ht="15" x14ac:dyDescent="0.25">
      <c r="B88" s="10"/>
      <c r="D88" s="10"/>
    </row>
    <row r="89" spans="2:4" ht="15" x14ac:dyDescent="0.25">
      <c r="B89" s="10"/>
      <c r="D89" s="10"/>
    </row>
    <row r="90" spans="2:4" ht="15" x14ac:dyDescent="0.25">
      <c r="B90" s="10"/>
      <c r="D90" s="10"/>
    </row>
    <row r="91" spans="2:4" ht="15" x14ac:dyDescent="0.25">
      <c r="B91" s="10"/>
      <c r="D91" s="10"/>
    </row>
    <row r="92" spans="2:4" ht="15" x14ac:dyDescent="0.25">
      <c r="B92" s="10"/>
      <c r="D92" s="10"/>
    </row>
    <row r="93" spans="2:4" ht="15" x14ac:dyDescent="0.25">
      <c r="B93" s="10"/>
      <c r="D93" s="10"/>
    </row>
    <row r="94" spans="2:4" ht="15" x14ac:dyDescent="0.25">
      <c r="B94" s="10"/>
      <c r="D94" s="10"/>
    </row>
    <row r="95" spans="2:4" ht="15" x14ac:dyDescent="0.25">
      <c r="B95" s="10"/>
      <c r="D95" s="10"/>
    </row>
    <row r="96" spans="2:4" ht="15" x14ac:dyDescent="0.25">
      <c r="B96" s="10"/>
      <c r="D96" s="10"/>
    </row>
    <row r="97" spans="2:4" ht="15" x14ac:dyDescent="0.25">
      <c r="B97" s="10"/>
      <c r="D97" s="10"/>
    </row>
    <row r="98" spans="2:4" ht="15" x14ac:dyDescent="0.25">
      <c r="B98" s="10"/>
      <c r="D98" s="10"/>
    </row>
    <row r="99" spans="2:4" ht="15" x14ac:dyDescent="0.25">
      <c r="B99" s="10"/>
      <c r="D99" s="10"/>
    </row>
    <row r="100" spans="2:4" ht="15" x14ac:dyDescent="0.25">
      <c r="B100" s="10"/>
      <c r="D100" s="10"/>
    </row>
    <row r="101" spans="2:4" ht="15" x14ac:dyDescent="0.25">
      <c r="B101" s="10"/>
      <c r="D101" s="10"/>
    </row>
    <row r="102" spans="2:4" ht="15" x14ac:dyDescent="0.25">
      <c r="B102" s="10"/>
      <c r="D102" s="10"/>
    </row>
    <row r="103" spans="2:4" ht="15" x14ac:dyDescent="0.25">
      <c r="B103" s="10"/>
      <c r="D103" s="10"/>
    </row>
    <row r="104" spans="2:4" ht="15" x14ac:dyDescent="0.25">
      <c r="B104" s="10"/>
      <c r="D104" s="10"/>
    </row>
    <row r="105" spans="2:4" ht="15" x14ac:dyDescent="0.25">
      <c r="B105" s="10"/>
      <c r="D105" s="10"/>
    </row>
    <row r="106" spans="2:4" ht="15" x14ac:dyDescent="0.25">
      <c r="B106" s="10"/>
      <c r="D106" s="10"/>
    </row>
    <row r="107" spans="2:4" ht="15" x14ac:dyDescent="0.25">
      <c r="B107" s="10"/>
      <c r="D107" s="10"/>
    </row>
    <row r="108" spans="2:4" ht="15" x14ac:dyDescent="0.25">
      <c r="B108" s="10"/>
      <c r="D108" s="10"/>
    </row>
    <row r="109" spans="2:4" ht="15" x14ac:dyDescent="0.25">
      <c r="B109" s="10"/>
      <c r="D109" s="10"/>
    </row>
    <row r="110" spans="2:4" ht="15" x14ac:dyDescent="0.25">
      <c r="B110" s="10"/>
      <c r="D110" s="10"/>
    </row>
    <row r="111" spans="2:4" ht="15" x14ac:dyDescent="0.25">
      <c r="B111" s="10"/>
      <c r="D111" s="10"/>
    </row>
    <row r="112" spans="2:4" ht="15" x14ac:dyDescent="0.25">
      <c r="B112" s="10"/>
      <c r="D112" s="10"/>
    </row>
    <row r="113" spans="2:4" ht="15" x14ac:dyDescent="0.25">
      <c r="B113" s="10"/>
      <c r="D113" s="10"/>
    </row>
    <row r="114" spans="2:4" ht="15" x14ac:dyDescent="0.25">
      <c r="B114" s="10"/>
      <c r="D114" s="10"/>
    </row>
    <row r="115" spans="2:4" ht="15" x14ac:dyDescent="0.25">
      <c r="B115" s="10"/>
      <c r="D115" s="10"/>
    </row>
    <row r="116" spans="2:4" ht="15" x14ac:dyDescent="0.25">
      <c r="B116" s="10"/>
      <c r="D116" s="10"/>
    </row>
    <row r="117" spans="2:4" ht="15" x14ac:dyDescent="0.25">
      <c r="B117" s="10"/>
      <c r="D117" s="10"/>
    </row>
    <row r="118" spans="2:4" ht="15" x14ac:dyDescent="0.25">
      <c r="B118" s="10"/>
      <c r="D118" s="10"/>
    </row>
    <row r="119" spans="2:4" ht="15" x14ac:dyDescent="0.25">
      <c r="B119" s="10"/>
      <c r="D119" s="10"/>
    </row>
    <row r="120" spans="2:4" ht="15" x14ac:dyDescent="0.25">
      <c r="B120" s="10"/>
      <c r="D120" s="10"/>
    </row>
    <row r="121" spans="2:4" ht="15" x14ac:dyDescent="0.25">
      <c r="B121" s="10"/>
      <c r="D121" s="10"/>
    </row>
    <row r="122" spans="2:4" ht="15" x14ac:dyDescent="0.25">
      <c r="B122" s="10"/>
      <c r="D122" s="10"/>
    </row>
    <row r="123" spans="2:4" ht="15" x14ac:dyDescent="0.25">
      <c r="B123" s="10"/>
      <c r="D123" s="10"/>
    </row>
    <row r="124" spans="2:4" ht="15" x14ac:dyDescent="0.25">
      <c r="B124" s="10"/>
      <c r="D124" s="10"/>
    </row>
    <row r="125" spans="2:4" ht="15" x14ac:dyDescent="0.25">
      <c r="B125" s="10"/>
      <c r="D125" s="10"/>
    </row>
    <row r="126" spans="2:4" ht="15" x14ac:dyDescent="0.25">
      <c r="B126" s="10"/>
      <c r="D126" s="10"/>
    </row>
    <row r="127" spans="2:4" ht="15" x14ac:dyDescent="0.25">
      <c r="B127" s="10"/>
      <c r="D127" s="10"/>
    </row>
    <row r="128" spans="2:4" ht="15" x14ac:dyDescent="0.25">
      <c r="B128" s="10"/>
      <c r="D128" s="10"/>
    </row>
    <row r="129" spans="2:4" ht="15" x14ac:dyDescent="0.25">
      <c r="B129" s="10"/>
      <c r="D129" s="10"/>
    </row>
    <row r="130" spans="2:4" ht="15" x14ac:dyDescent="0.25">
      <c r="B130" s="10"/>
      <c r="D130" s="10"/>
    </row>
    <row r="131" spans="2:4" ht="15" x14ac:dyDescent="0.25">
      <c r="B131" s="10"/>
      <c r="D131" s="10"/>
    </row>
    <row r="132" spans="2:4" ht="15" x14ac:dyDescent="0.25">
      <c r="B132" s="10"/>
      <c r="D132" s="10"/>
    </row>
    <row r="133" spans="2:4" ht="15" x14ac:dyDescent="0.25">
      <c r="B133" s="10"/>
      <c r="D133" s="10"/>
    </row>
    <row r="134" spans="2:4" ht="15" x14ac:dyDescent="0.25">
      <c r="B134" s="10"/>
      <c r="D134" s="10"/>
    </row>
    <row r="135" spans="2:4" ht="15" x14ac:dyDescent="0.25">
      <c r="B135" s="10"/>
      <c r="D135" s="10"/>
    </row>
    <row r="136" spans="2:4" ht="15" x14ac:dyDescent="0.25">
      <c r="B136" s="10"/>
      <c r="D136" s="10"/>
    </row>
    <row r="137" spans="2:4" ht="15" x14ac:dyDescent="0.25">
      <c r="B137" s="10"/>
      <c r="D137" s="10"/>
    </row>
    <row r="138" spans="2:4" ht="15" x14ac:dyDescent="0.25">
      <c r="B138" s="10"/>
      <c r="D138" s="10"/>
    </row>
    <row r="139" spans="2:4" ht="15" x14ac:dyDescent="0.25">
      <c r="B139" s="10"/>
      <c r="D139" s="10"/>
    </row>
    <row r="140" spans="2:4" ht="15" x14ac:dyDescent="0.25">
      <c r="B140" s="10"/>
      <c r="D140" s="10"/>
    </row>
    <row r="141" spans="2:4" ht="15" x14ac:dyDescent="0.25">
      <c r="B141" s="10"/>
      <c r="D141" s="10"/>
    </row>
    <row r="142" spans="2:4" ht="15" x14ac:dyDescent="0.25">
      <c r="B142" s="10"/>
      <c r="D142" s="10"/>
    </row>
    <row r="143" spans="2:4" ht="15" x14ac:dyDescent="0.25">
      <c r="B143" s="10"/>
      <c r="D143" s="10"/>
    </row>
    <row r="144" spans="2:4" ht="15" x14ac:dyDescent="0.25">
      <c r="B144" s="10"/>
      <c r="D144" s="10"/>
    </row>
    <row r="145" spans="2:4" ht="15" x14ac:dyDescent="0.25">
      <c r="B145" s="10"/>
      <c r="D145" s="10"/>
    </row>
    <row r="146" spans="2:4" ht="15" x14ac:dyDescent="0.25">
      <c r="B146" s="10"/>
      <c r="D146" s="10"/>
    </row>
    <row r="147" spans="2:4" ht="15" x14ac:dyDescent="0.25">
      <c r="B147" s="10"/>
      <c r="D147" s="10"/>
    </row>
    <row r="148" spans="2:4" ht="15" x14ac:dyDescent="0.25">
      <c r="B148" s="10"/>
      <c r="D148" s="10"/>
    </row>
    <row r="149" spans="2:4" ht="15" x14ac:dyDescent="0.25">
      <c r="B149" s="10"/>
      <c r="D149" s="10"/>
    </row>
    <row r="150" spans="2:4" ht="15" x14ac:dyDescent="0.25">
      <c r="B150" s="10"/>
      <c r="D150" s="10"/>
    </row>
    <row r="151" spans="2:4" ht="15" x14ac:dyDescent="0.25">
      <c r="B151" s="10"/>
      <c r="D151" s="10"/>
    </row>
    <row r="152" spans="2:4" ht="15" x14ac:dyDescent="0.25">
      <c r="B152" s="10"/>
      <c r="D152" s="10"/>
    </row>
    <row r="153" spans="2:4" ht="15" x14ac:dyDescent="0.25">
      <c r="B153" s="10"/>
      <c r="D153" s="10"/>
    </row>
    <row r="154" spans="2:4" ht="15" x14ac:dyDescent="0.25">
      <c r="B154" s="10"/>
      <c r="D154" s="10"/>
    </row>
    <row r="155" spans="2:4" ht="15" x14ac:dyDescent="0.25">
      <c r="B155" s="10"/>
      <c r="D155" s="10"/>
    </row>
    <row r="156" spans="2:4" ht="15" x14ac:dyDescent="0.25">
      <c r="B156" s="10"/>
      <c r="D156" s="10"/>
    </row>
    <row r="157" spans="2:4" ht="15" x14ac:dyDescent="0.25">
      <c r="B157" s="10"/>
      <c r="D157" s="10"/>
    </row>
    <row r="158" spans="2:4" ht="15" x14ac:dyDescent="0.25">
      <c r="B158" s="10"/>
      <c r="D158" s="10"/>
    </row>
    <row r="159" spans="2:4" ht="15" x14ac:dyDescent="0.25">
      <c r="B159" s="10"/>
      <c r="D159" s="10"/>
    </row>
    <row r="160" spans="2:4" ht="15" x14ac:dyDescent="0.25">
      <c r="B160" s="10"/>
      <c r="D160" s="10"/>
    </row>
    <row r="161" spans="2:4" ht="15" x14ac:dyDescent="0.25">
      <c r="B161" s="10"/>
      <c r="D161" s="10"/>
    </row>
    <row r="162" spans="2:4" ht="15" x14ac:dyDescent="0.25">
      <c r="B162" s="10"/>
      <c r="D162" s="10"/>
    </row>
    <row r="163" spans="2:4" ht="15" x14ac:dyDescent="0.25">
      <c r="B163" s="10"/>
      <c r="D163" s="10"/>
    </row>
    <row r="164" spans="2:4" ht="15" x14ac:dyDescent="0.25">
      <c r="B164" s="10"/>
      <c r="D164" s="10"/>
    </row>
    <row r="165" spans="2:4" ht="15" x14ac:dyDescent="0.25">
      <c r="B165" s="10"/>
      <c r="D165" s="10"/>
    </row>
    <row r="166" spans="2:4" ht="15" x14ac:dyDescent="0.25">
      <c r="B166" s="10"/>
      <c r="D166" s="10"/>
    </row>
    <row r="167" spans="2:4" ht="15" x14ac:dyDescent="0.25">
      <c r="B167" s="10"/>
      <c r="D167" s="10"/>
    </row>
    <row r="168" spans="2:4" ht="15" x14ac:dyDescent="0.25">
      <c r="B168" s="10"/>
      <c r="D168" s="10"/>
    </row>
    <row r="169" spans="2:4" ht="15" x14ac:dyDescent="0.25">
      <c r="B169" s="10"/>
      <c r="D169" s="10"/>
    </row>
    <row r="170" spans="2:4" ht="15" x14ac:dyDescent="0.25">
      <c r="B170" s="10"/>
      <c r="D170" s="10"/>
    </row>
    <row r="171" spans="2:4" ht="15" x14ac:dyDescent="0.25">
      <c r="B171" s="10"/>
      <c r="D171" s="10"/>
    </row>
    <row r="172" spans="2:4" ht="15" x14ac:dyDescent="0.25">
      <c r="B172" s="10"/>
      <c r="D172" s="10"/>
    </row>
    <row r="173" spans="2:4" ht="15" x14ac:dyDescent="0.25">
      <c r="B173" s="10"/>
      <c r="D173" s="10"/>
    </row>
    <row r="174" spans="2:4" ht="15" x14ac:dyDescent="0.25">
      <c r="B174" s="10"/>
      <c r="D174" s="10"/>
    </row>
    <row r="175" spans="2:4" ht="15" x14ac:dyDescent="0.25">
      <c r="B175" s="10"/>
      <c r="D175" s="10"/>
    </row>
    <row r="176" spans="2:4" ht="15" x14ac:dyDescent="0.25">
      <c r="B176" s="10"/>
      <c r="D176" s="10"/>
    </row>
    <row r="177" spans="2:4" ht="15" x14ac:dyDescent="0.25">
      <c r="B177" s="10"/>
      <c r="D177" s="10"/>
    </row>
    <row r="178" spans="2:4" ht="15" x14ac:dyDescent="0.25">
      <c r="B178" s="10"/>
      <c r="D178" s="10"/>
    </row>
    <row r="179" spans="2:4" ht="15" x14ac:dyDescent="0.25">
      <c r="B179" s="10"/>
      <c r="D179" s="10"/>
    </row>
    <row r="180" spans="2:4" ht="15" x14ac:dyDescent="0.25">
      <c r="B180" s="10"/>
      <c r="D180" s="10"/>
    </row>
    <row r="181" spans="2:4" ht="15" x14ac:dyDescent="0.25">
      <c r="B181" s="10"/>
      <c r="D181" s="10"/>
    </row>
    <row r="182" spans="2:4" ht="15" x14ac:dyDescent="0.25">
      <c r="B182" s="10"/>
      <c r="D182" s="10"/>
    </row>
    <row r="183" spans="2:4" ht="15" x14ac:dyDescent="0.25">
      <c r="B183" s="10"/>
      <c r="D183" s="10"/>
    </row>
    <row r="184" spans="2:4" ht="15" x14ac:dyDescent="0.25">
      <c r="B184" s="10"/>
      <c r="D184" s="10"/>
    </row>
    <row r="185" spans="2:4" ht="15" x14ac:dyDescent="0.25">
      <c r="B185" s="10"/>
      <c r="D185" s="10"/>
    </row>
    <row r="186" spans="2:4" ht="15" x14ac:dyDescent="0.25">
      <c r="B186" s="10"/>
      <c r="D186" s="10"/>
    </row>
    <row r="187" spans="2:4" ht="15" x14ac:dyDescent="0.25">
      <c r="B187" s="10"/>
      <c r="D187" s="10"/>
    </row>
    <row r="188" spans="2:4" ht="15" x14ac:dyDescent="0.25">
      <c r="B188" s="10"/>
      <c r="D188" s="10"/>
    </row>
    <row r="189" spans="2:4" ht="15" x14ac:dyDescent="0.25">
      <c r="B189" s="10"/>
      <c r="D189" s="10"/>
    </row>
    <row r="190" spans="2:4" ht="15" x14ac:dyDescent="0.25">
      <c r="B190" s="10"/>
      <c r="D190" s="10"/>
    </row>
    <row r="191" spans="2:4" ht="15" x14ac:dyDescent="0.25">
      <c r="B191" s="10"/>
      <c r="D191" s="10"/>
    </row>
    <row r="192" spans="2:4" ht="15" x14ac:dyDescent="0.25">
      <c r="B192" s="10"/>
      <c r="D192" s="10"/>
    </row>
    <row r="193" spans="2:4" ht="15" x14ac:dyDescent="0.25">
      <c r="B193" s="10"/>
      <c r="D193" s="10"/>
    </row>
    <row r="194" spans="2:4" ht="15" x14ac:dyDescent="0.25">
      <c r="B194" s="10"/>
      <c r="D194" s="10"/>
    </row>
    <row r="195" spans="2:4" ht="15" x14ac:dyDescent="0.25">
      <c r="B195" s="10"/>
      <c r="D195" s="10"/>
    </row>
    <row r="196" spans="2:4" ht="15" x14ac:dyDescent="0.25">
      <c r="B196" s="10"/>
      <c r="D196" s="10"/>
    </row>
    <row r="197" spans="2:4" ht="15" x14ac:dyDescent="0.25">
      <c r="B197" s="10"/>
      <c r="D197" s="10"/>
    </row>
    <row r="198" spans="2:4" ht="15" x14ac:dyDescent="0.25">
      <c r="B198" s="10"/>
      <c r="D198" s="10"/>
    </row>
    <row r="199" spans="2:4" ht="15" x14ac:dyDescent="0.25">
      <c r="B199" s="10"/>
      <c r="D199" s="10"/>
    </row>
    <row r="200" spans="2:4" ht="15" x14ac:dyDescent="0.25">
      <c r="B200" s="10"/>
      <c r="D200" s="10"/>
    </row>
    <row r="201" spans="2:4" ht="15" x14ac:dyDescent="0.25">
      <c r="B201" s="10"/>
      <c r="D201" s="10"/>
    </row>
    <row r="202" spans="2:4" ht="15" x14ac:dyDescent="0.25">
      <c r="B202" s="10"/>
      <c r="D202" s="10"/>
    </row>
    <row r="203" spans="2:4" ht="15" x14ac:dyDescent="0.25">
      <c r="B203" s="10"/>
      <c r="D203" s="10"/>
    </row>
    <row r="204" spans="2:4" ht="15" x14ac:dyDescent="0.25">
      <c r="B204" s="10"/>
      <c r="D204" s="10"/>
    </row>
    <row r="205" spans="2:4" ht="15" x14ac:dyDescent="0.25">
      <c r="B205" s="10"/>
      <c r="D205" s="10"/>
    </row>
    <row r="206" spans="2:4" ht="15" x14ac:dyDescent="0.25">
      <c r="B206" s="10"/>
      <c r="D206" s="10"/>
    </row>
    <row r="207" spans="2:4" ht="15" x14ac:dyDescent="0.25">
      <c r="B207" s="10"/>
      <c r="D207" s="10"/>
    </row>
    <row r="208" spans="2:4" ht="15" x14ac:dyDescent="0.25">
      <c r="B208" s="10"/>
      <c r="D208" s="10"/>
    </row>
    <row r="209" spans="2:4" ht="15" x14ac:dyDescent="0.25">
      <c r="B209" s="10"/>
      <c r="D209" s="10"/>
    </row>
    <row r="210" spans="2:4" ht="15" x14ac:dyDescent="0.25">
      <c r="B210" s="10"/>
      <c r="D210" s="10"/>
    </row>
    <row r="211" spans="2:4" ht="15" x14ac:dyDescent="0.25">
      <c r="B211" s="10"/>
      <c r="D211" s="10"/>
    </row>
    <row r="212" spans="2:4" ht="15" x14ac:dyDescent="0.25">
      <c r="B212" s="10"/>
      <c r="D212" s="10"/>
    </row>
    <row r="213" spans="2:4" ht="15" x14ac:dyDescent="0.25">
      <c r="B213" s="10"/>
      <c r="D213" s="10"/>
    </row>
    <row r="214" spans="2:4" ht="15" x14ac:dyDescent="0.25">
      <c r="B214" s="10"/>
      <c r="D214" s="10"/>
    </row>
    <row r="215" spans="2:4" ht="15" x14ac:dyDescent="0.25">
      <c r="B215" s="10"/>
      <c r="D215" s="10"/>
    </row>
    <row r="216" spans="2:4" ht="15" x14ac:dyDescent="0.25">
      <c r="B216" s="10"/>
      <c r="D216" s="10"/>
    </row>
    <row r="217" spans="2:4" ht="15" x14ac:dyDescent="0.25">
      <c r="B217" s="10"/>
      <c r="D217" s="10"/>
    </row>
    <row r="218" spans="2:4" ht="15" x14ac:dyDescent="0.25">
      <c r="B218" s="10"/>
      <c r="D218" s="10"/>
    </row>
    <row r="219" spans="2:4" ht="15" x14ac:dyDescent="0.25">
      <c r="B219" s="10"/>
      <c r="D219" s="10"/>
    </row>
    <row r="220" spans="2:4" ht="15" x14ac:dyDescent="0.25">
      <c r="B220" s="10"/>
      <c r="D220" s="10"/>
    </row>
    <row r="221" spans="2:4" ht="15" x14ac:dyDescent="0.25">
      <c r="B221" s="10"/>
      <c r="D221" s="10"/>
    </row>
    <row r="222" spans="2:4" ht="15" x14ac:dyDescent="0.25">
      <c r="B222" s="10"/>
      <c r="D222" s="10"/>
    </row>
    <row r="223" spans="2:4" ht="15" x14ac:dyDescent="0.25">
      <c r="B223" s="10"/>
      <c r="D223" s="10"/>
    </row>
    <row r="224" spans="2:4" ht="15" x14ac:dyDescent="0.25">
      <c r="B224" s="10"/>
      <c r="D224" s="10"/>
    </row>
    <row r="225" spans="2:4" ht="15" x14ac:dyDescent="0.25">
      <c r="B225" s="10"/>
      <c r="D225" s="10"/>
    </row>
    <row r="226" spans="2:4" ht="15" x14ac:dyDescent="0.25">
      <c r="B226" s="10"/>
      <c r="D226" s="10"/>
    </row>
    <row r="227" spans="2:4" ht="15" x14ac:dyDescent="0.25">
      <c r="B227" s="10"/>
      <c r="D227" s="10"/>
    </row>
    <row r="228" spans="2:4" ht="15" x14ac:dyDescent="0.25">
      <c r="B228" s="10"/>
      <c r="D228" s="10"/>
    </row>
    <row r="229" spans="2:4" ht="15" x14ac:dyDescent="0.25">
      <c r="B229" s="10"/>
      <c r="D229" s="10"/>
    </row>
    <row r="230" spans="2:4" ht="15" x14ac:dyDescent="0.25">
      <c r="B230" s="10"/>
      <c r="D230" s="10"/>
    </row>
    <row r="231" spans="2:4" ht="15" x14ac:dyDescent="0.25">
      <c r="B231" s="10"/>
      <c r="D231" s="10"/>
    </row>
    <row r="232" spans="2:4" ht="15" x14ac:dyDescent="0.25">
      <c r="B232" s="10"/>
      <c r="D232" s="10"/>
    </row>
    <row r="233" spans="2:4" ht="15" x14ac:dyDescent="0.25">
      <c r="B233" s="10"/>
      <c r="D233" s="10"/>
    </row>
    <row r="234" spans="2:4" ht="15" x14ac:dyDescent="0.25">
      <c r="B234" s="10"/>
      <c r="D234" s="10"/>
    </row>
    <row r="235" spans="2:4" ht="15" x14ac:dyDescent="0.25">
      <c r="B235" s="10"/>
      <c r="D235" s="10"/>
    </row>
    <row r="236" spans="2:4" ht="15" x14ac:dyDescent="0.25">
      <c r="B236" s="10"/>
      <c r="D236" s="10"/>
    </row>
    <row r="237" spans="2:4" ht="15" x14ac:dyDescent="0.25">
      <c r="B237" s="10"/>
      <c r="D237" s="10"/>
    </row>
    <row r="238" spans="2:4" ht="15" x14ac:dyDescent="0.25">
      <c r="B238" s="10"/>
      <c r="D238" s="10"/>
    </row>
    <row r="239" spans="2:4" ht="15" x14ac:dyDescent="0.25">
      <c r="B239" s="10"/>
      <c r="D239" s="10"/>
    </row>
    <row r="240" spans="2:4" ht="15" x14ac:dyDescent="0.25">
      <c r="B240" s="10"/>
      <c r="D240" s="10"/>
    </row>
    <row r="241" spans="2:4" ht="15" x14ac:dyDescent="0.25">
      <c r="B241" s="10"/>
      <c r="D241" s="10"/>
    </row>
    <row r="242" spans="2:4" ht="15" x14ac:dyDescent="0.25">
      <c r="B242" s="10"/>
      <c r="D242" s="10"/>
    </row>
    <row r="243" spans="2:4" ht="15" x14ac:dyDescent="0.25">
      <c r="B243" s="10"/>
      <c r="D243" s="10"/>
    </row>
    <row r="244" spans="2:4" ht="15" x14ac:dyDescent="0.25">
      <c r="B244" s="10"/>
      <c r="D244" s="10"/>
    </row>
    <row r="245" spans="2:4" ht="15" x14ac:dyDescent="0.25">
      <c r="B245" s="10"/>
      <c r="D245" s="10"/>
    </row>
    <row r="246" spans="2:4" ht="15" x14ac:dyDescent="0.25">
      <c r="B246" s="10"/>
      <c r="D246" s="10"/>
    </row>
    <row r="247" spans="2:4" ht="15" x14ac:dyDescent="0.25">
      <c r="B247" s="10"/>
      <c r="D247" s="10"/>
    </row>
    <row r="248" spans="2:4" ht="15" x14ac:dyDescent="0.25">
      <c r="B248" s="10"/>
      <c r="D248" s="10"/>
    </row>
    <row r="249" spans="2:4" ht="15" x14ac:dyDescent="0.25">
      <c r="B249" s="10"/>
      <c r="D249" s="10"/>
    </row>
    <row r="250" spans="2:4" ht="15" x14ac:dyDescent="0.25">
      <c r="B250" s="10"/>
      <c r="D250" s="10"/>
    </row>
    <row r="251" spans="2:4" ht="15" x14ac:dyDescent="0.25">
      <c r="B251" s="10"/>
      <c r="D251" s="10"/>
    </row>
    <row r="252" spans="2:4" ht="15" x14ac:dyDescent="0.25">
      <c r="B252" s="10"/>
      <c r="D252" s="10"/>
    </row>
    <row r="253" spans="2:4" ht="15" x14ac:dyDescent="0.25">
      <c r="B253" s="10"/>
      <c r="D253" s="10"/>
    </row>
    <row r="254" spans="2:4" ht="15" x14ac:dyDescent="0.25">
      <c r="B254" s="10"/>
      <c r="D254" s="10"/>
    </row>
    <row r="255" spans="2:4" ht="15" x14ac:dyDescent="0.25">
      <c r="B255" s="10"/>
      <c r="D255" s="10"/>
    </row>
    <row r="256" spans="2:4" ht="15" x14ac:dyDescent="0.25">
      <c r="B256" s="10"/>
      <c r="D256" s="10"/>
    </row>
    <row r="257" spans="2:4" ht="15" x14ac:dyDescent="0.25">
      <c r="B257" s="10"/>
      <c r="D257" s="10"/>
    </row>
    <row r="258" spans="2:4" ht="15" x14ac:dyDescent="0.25">
      <c r="B258" s="10"/>
      <c r="D258" s="10"/>
    </row>
    <row r="259" spans="2:4" ht="15" x14ac:dyDescent="0.25">
      <c r="B259" s="10"/>
      <c r="D259" s="10"/>
    </row>
    <row r="260" spans="2:4" ht="15" x14ac:dyDescent="0.25">
      <c r="B260" s="10"/>
      <c r="D260" s="10"/>
    </row>
    <row r="261" spans="2:4" ht="15" x14ac:dyDescent="0.25">
      <c r="B261" s="10"/>
      <c r="D261" s="10"/>
    </row>
    <row r="262" spans="2:4" ht="15" x14ac:dyDescent="0.25">
      <c r="B262" s="10"/>
      <c r="D262" s="10"/>
    </row>
    <row r="263" spans="2:4" ht="15" x14ac:dyDescent="0.25">
      <c r="B263" s="10"/>
      <c r="D263" s="10"/>
    </row>
    <row r="264" spans="2:4" ht="15" x14ac:dyDescent="0.25">
      <c r="B264" s="10"/>
      <c r="D264" s="10"/>
    </row>
    <row r="265" spans="2:4" ht="15" x14ac:dyDescent="0.25">
      <c r="B265" s="10"/>
      <c r="D265" s="10"/>
    </row>
    <row r="266" spans="2:4" ht="15" x14ac:dyDescent="0.25">
      <c r="B266" s="10"/>
      <c r="D266" s="10"/>
    </row>
    <row r="267" spans="2:4" ht="15" x14ac:dyDescent="0.25">
      <c r="B267" s="10"/>
      <c r="D267" s="10"/>
    </row>
    <row r="268" spans="2:4" ht="15" x14ac:dyDescent="0.25">
      <c r="B268" s="10"/>
      <c r="D268" s="10"/>
    </row>
    <row r="269" spans="2:4" ht="15" x14ac:dyDescent="0.25">
      <c r="B269" s="10"/>
      <c r="D269" s="10"/>
    </row>
    <row r="270" spans="2:4" ht="15" x14ac:dyDescent="0.25">
      <c r="B270" s="10"/>
      <c r="D270" s="10"/>
    </row>
    <row r="271" spans="2:4" ht="15" x14ac:dyDescent="0.25">
      <c r="B271" s="10"/>
      <c r="D271" s="10"/>
    </row>
    <row r="272" spans="2:4" ht="15" x14ac:dyDescent="0.25">
      <c r="B272" s="10"/>
      <c r="D272" s="10"/>
    </row>
    <row r="273" spans="2:4" ht="15" x14ac:dyDescent="0.25">
      <c r="B273" s="10"/>
      <c r="D273" s="10"/>
    </row>
    <row r="274" spans="2:4" ht="15" x14ac:dyDescent="0.25">
      <c r="B274" s="10"/>
      <c r="D274" s="10"/>
    </row>
    <row r="275" spans="2:4" ht="15" x14ac:dyDescent="0.25">
      <c r="B275" s="10"/>
      <c r="D275" s="10"/>
    </row>
    <row r="276" spans="2:4" ht="15" x14ac:dyDescent="0.25">
      <c r="B276" s="10"/>
      <c r="D276" s="10"/>
    </row>
    <row r="277" spans="2:4" ht="15" x14ac:dyDescent="0.25">
      <c r="B277" s="10"/>
      <c r="D277" s="10"/>
    </row>
    <row r="278" spans="2:4" ht="15" x14ac:dyDescent="0.25">
      <c r="B278" s="10"/>
      <c r="D278" s="10"/>
    </row>
    <row r="279" spans="2:4" ht="15" x14ac:dyDescent="0.25">
      <c r="B279" s="10"/>
      <c r="D279" s="10"/>
    </row>
    <row r="280" spans="2:4" ht="15" x14ac:dyDescent="0.25">
      <c r="B280" s="10"/>
      <c r="D280" s="10"/>
    </row>
    <row r="281" spans="2:4" ht="15" x14ac:dyDescent="0.25">
      <c r="B281" s="10"/>
      <c r="D281" s="10"/>
    </row>
    <row r="282" spans="2:4" ht="15" x14ac:dyDescent="0.25">
      <c r="B282" s="10"/>
      <c r="D282" s="10"/>
    </row>
    <row r="283" spans="2:4" ht="15" x14ac:dyDescent="0.25">
      <c r="B283" s="10"/>
      <c r="D283" s="10"/>
    </row>
    <row r="284" spans="2:4" ht="15" x14ac:dyDescent="0.25">
      <c r="B284" s="10"/>
      <c r="D284" s="10"/>
    </row>
    <row r="285" spans="2:4" ht="15" x14ac:dyDescent="0.25">
      <c r="B285" s="10"/>
      <c r="D285" s="10"/>
    </row>
    <row r="286" spans="2:4" ht="15" x14ac:dyDescent="0.25">
      <c r="B286" s="10"/>
      <c r="D286" s="10"/>
    </row>
    <row r="287" spans="2:4" ht="15" x14ac:dyDescent="0.25">
      <c r="B287" s="10"/>
      <c r="D287" s="10"/>
    </row>
    <row r="288" spans="2:4" ht="15" x14ac:dyDescent="0.25">
      <c r="B288" s="10"/>
      <c r="D288" s="10"/>
    </row>
    <row r="289" spans="2:4" ht="15" x14ac:dyDescent="0.25">
      <c r="B289" s="10"/>
      <c r="D289" s="10"/>
    </row>
    <row r="290" spans="2:4" ht="15" x14ac:dyDescent="0.25">
      <c r="B290" s="10"/>
      <c r="D290" s="10"/>
    </row>
    <row r="291" spans="2:4" ht="15" x14ac:dyDescent="0.25">
      <c r="B291" s="10"/>
      <c r="D291" s="10"/>
    </row>
    <row r="292" spans="2:4" ht="15" x14ac:dyDescent="0.25">
      <c r="B292" s="10"/>
      <c r="D292" s="10"/>
    </row>
    <row r="293" spans="2:4" ht="15" x14ac:dyDescent="0.25">
      <c r="B293" s="10"/>
      <c r="D293" s="10"/>
    </row>
    <row r="294" spans="2:4" ht="15" x14ac:dyDescent="0.25">
      <c r="B294" s="10"/>
      <c r="D294" s="10"/>
    </row>
    <row r="295" spans="2:4" ht="15" x14ac:dyDescent="0.25">
      <c r="B295" s="10"/>
      <c r="D295" s="10"/>
    </row>
    <row r="296" spans="2:4" ht="15" x14ac:dyDescent="0.25">
      <c r="B296" s="10"/>
      <c r="D296" s="10"/>
    </row>
    <row r="297" spans="2:4" ht="15" x14ac:dyDescent="0.25">
      <c r="B297" s="10"/>
      <c r="D297" s="10"/>
    </row>
    <row r="298" spans="2:4" ht="15" x14ac:dyDescent="0.25">
      <c r="B298" s="10"/>
      <c r="D298" s="10"/>
    </row>
    <row r="299" spans="2:4" ht="15" x14ac:dyDescent="0.25">
      <c r="B299" s="10"/>
      <c r="D299" s="10"/>
    </row>
    <row r="300" spans="2:4" ht="15" x14ac:dyDescent="0.25">
      <c r="B300" s="10"/>
      <c r="D300" s="10"/>
    </row>
    <row r="301" spans="2:4" ht="15" x14ac:dyDescent="0.25">
      <c r="B301" s="10"/>
      <c r="D301" s="10"/>
    </row>
    <row r="302" spans="2:4" ht="15" x14ac:dyDescent="0.25">
      <c r="B302" s="10"/>
      <c r="D302" s="10"/>
    </row>
    <row r="303" spans="2:4" ht="15" x14ac:dyDescent="0.25">
      <c r="B303" s="10"/>
      <c r="D303" s="10"/>
    </row>
    <row r="304" spans="2:4" ht="15" x14ac:dyDescent="0.25">
      <c r="B304" s="10"/>
      <c r="D304" s="10"/>
    </row>
    <row r="305" spans="2:4" ht="15" x14ac:dyDescent="0.25">
      <c r="B305" s="10"/>
      <c r="D305" s="10"/>
    </row>
    <row r="306" spans="2:4" ht="15" x14ac:dyDescent="0.25">
      <c r="B306" s="10"/>
      <c r="D306" s="10"/>
    </row>
    <row r="307" spans="2:4" ht="15" x14ac:dyDescent="0.25">
      <c r="B307" s="10"/>
      <c r="D307" s="10"/>
    </row>
    <row r="308" spans="2:4" ht="15" x14ac:dyDescent="0.25">
      <c r="B308" s="10"/>
      <c r="D308" s="10"/>
    </row>
    <row r="309" spans="2:4" ht="15" x14ac:dyDescent="0.25">
      <c r="B309" s="10"/>
      <c r="D309" s="10"/>
    </row>
    <row r="310" spans="2:4" ht="15" x14ac:dyDescent="0.25">
      <c r="B310" s="10"/>
      <c r="D310" s="10"/>
    </row>
    <row r="311" spans="2:4" ht="15" x14ac:dyDescent="0.25">
      <c r="B311" s="10"/>
      <c r="D311" s="10"/>
    </row>
    <row r="312" spans="2:4" ht="15" x14ac:dyDescent="0.25">
      <c r="B312" s="10"/>
      <c r="D312" s="10"/>
    </row>
    <row r="313" spans="2:4" ht="15" x14ac:dyDescent="0.25">
      <c r="B313" s="10"/>
      <c r="D313" s="10"/>
    </row>
    <row r="314" spans="2:4" ht="15" x14ac:dyDescent="0.25">
      <c r="B314" s="10"/>
      <c r="D314" s="10"/>
    </row>
    <row r="315" spans="2:4" ht="15" x14ac:dyDescent="0.25">
      <c r="B315" s="10"/>
      <c r="D315" s="10"/>
    </row>
    <row r="316" spans="2:4" ht="15" x14ac:dyDescent="0.25">
      <c r="B316" s="10"/>
      <c r="D316" s="10"/>
    </row>
    <row r="317" spans="2:4" ht="15" x14ac:dyDescent="0.25">
      <c r="B317" s="10"/>
      <c r="D317" s="10"/>
    </row>
    <row r="318" spans="2:4" ht="15" x14ac:dyDescent="0.25">
      <c r="B318" s="10"/>
      <c r="D318" s="10"/>
    </row>
    <row r="319" spans="2:4" ht="15" x14ac:dyDescent="0.25">
      <c r="B319" s="10"/>
      <c r="D319" s="10"/>
    </row>
    <row r="320" spans="2:4" ht="15" x14ac:dyDescent="0.25">
      <c r="B320" s="10"/>
      <c r="D320" s="10"/>
    </row>
    <row r="321" spans="2:4" ht="15" x14ac:dyDescent="0.25">
      <c r="B321" s="10"/>
      <c r="D321" s="10"/>
    </row>
    <row r="322" spans="2:4" ht="15" x14ac:dyDescent="0.25">
      <c r="B322" s="10"/>
      <c r="D322" s="10"/>
    </row>
    <row r="323" spans="2:4" ht="15" x14ac:dyDescent="0.25">
      <c r="B323" s="10"/>
      <c r="D323" s="10"/>
    </row>
    <row r="324" spans="2:4" ht="15" x14ac:dyDescent="0.25">
      <c r="B324" s="10"/>
      <c r="D324" s="10"/>
    </row>
    <row r="325" spans="2:4" ht="15" x14ac:dyDescent="0.25">
      <c r="B325" s="10"/>
      <c r="D325" s="10"/>
    </row>
    <row r="326" spans="2:4" ht="15" x14ac:dyDescent="0.25">
      <c r="B326" s="10"/>
      <c r="D326" s="10"/>
    </row>
    <row r="327" spans="2:4" ht="15" x14ac:dyDescent="0.25">
      <c r="B327" s="10"/>
      <c r="D327" s="10"/>
    </row>
    <row r="328" spans="2:4" ht="15" x14ac:dyDescent="0.25">
      <c r="B328" s="10"/>
      <c r="D328" s="10"/>
    </row>
    <row r="329" spans="2:4" ht="15" x14ac:dyDescent="0.25">
      <c r="B329" s="10"/>
      <c r="D329" s="10"/>
    </row>
    <row r="330" spans="2:4" ht="15" x14ac:dyDescent="0.25">
      <c r="B330" s="10"/>
      <c r="D330" s="10"/>
    </row>
    <row r="331" spans="2:4" ht="15" x14ac:dyDescent="0.25">
      <c r="B331" s="10"/>
      <c r="D331" s="10"/>
    </row>
    <row r="332" spans="2:4" ht="15" x14ac:dyDescent="0.25">
      <c r="B332" s="10"/>
      <c r="D332" s="10"/>
    </row>
    <row r="333" spans="2:4" ht="15" x14ac:dyDescent="0.25">
      <c r="B333" s="10"/>
      <c r="D333" s="10"/>
    </row>
    <row r="334" spans="2:4" ht="15" x14ac:dyDescent="0.25">
      <c r="B334" s="10"/>
      <c r="D334" s="10"/>
    </row>
    <row r="335" spans="2:4" ht="15" x14ac:dyDescent="0.25">
      <c r="B335" s="10"/>
      <c r="D335" s="10"/>
    </row>
    <row r="336" spans="2:4" ht="15" x14ac:dyDescent="0.25">
      <c r="B336" s="10"/>
      <c r="D336" s="10"/>
    </row>
    <row r="337" spans="2:4" ht="15" x14ac:dyDescent="0.25">
      <c r="B337" s="10"/>
      <c r="D337" s="10"/>
    </row>
    <row r="338" spans="2:4" ht="15" x14ac:dyDescent="0.25">
      <c r="B338" s="10"/>
      <c r="D338" s="10"/>
    </row>
    <row r="339" spans="2:4" ht="15" x14ac:dyDescent="0.25">
      <c r="B339" s="10"/>
      <c r="D339" s="10"/>
    </row>
    <row r="340" spans="2:4" ht="15" x14ac:dyDescent="0.25">
      <c r="B340" s="10"/>
      <c r="D340" s="10"/>
    </row>
    <row r="341" spans="2:4" ht="15" x14ac:dyDescent="0.25">
      <c r="B341" s="10"/>
      <c r="D341" s="10"/>
    </row>
    <row r="342" spans="2:4" ht="15" x14ac:dyDescent="0.25">
      <c r="B342" s="10"/>
      <c r="D342" s="10"/>
    </row>
    <row r="343" spans="2:4" ht="15" x14ac:dyDescent="0.25">
      <c r="B343" s="10"/>
      <c r="D343" s="10"/>
    </row>
    <row r="344" spans="2:4" ht="15" x14ac:dyDescent="0.25">
      <c r="B344" s="10"/>
      <c r="D344" s="10"/>
    </row>
    <row r="345" spans="2:4" ht="15" x14ac:dyDescent="0.25">
      <c r="B345" s="10"/>
      <c r="D345" s="10"/>
    </row>
    <row r="346" spans="2:4" ht="15" x14ac:dyDescent="0.25">
      <c r="B346" s="10"/>
      <c r="D346" s="10"/>
    </row>
    <row r="347" spans="2:4" ht="15" x14ac:dyDescent="0.25">
      <c r="B347" s="10"/>
      <c r="D347" s="10"/>
    </row>
    <row r="348" spans="2:4" ht="15" x14ac:dyDescent="0.25">
      <c r="B348" s="10"/>
      <c r="D348" s="10"/>
    </row>
    <row r="349" spans="2:4" ht="15" x14ac:dyDescent="0.25">
      <c r="B349" s="10"/>
      <c r="D349" s="10"/>
    </row>
    <row r="350" spans="2:4" ht="15" x14ac:dyDescent="0.25">
      <c r="B350" s="10"/>
      <c r="D350" s="10"/>
    </row>
    <row r="351" spans="2:4" ht="15" x14ac:dyDescent="0.25">
      <c r="B351" s="10"/>
      <c r="D351" s="10"/>
    </row>
    <row r="352" spans="2:4" ht="15" x14ac:dyDescent="0.25">
      <c r="B352" s="10"/>
      <c r="D352" s="10"/>
    </row>
    <row r="353" spans="2:4" ht="15" x14ac:dyDescent="0.25">
      <c r="B353" s="10"/>
      <c r="D353" s="10"/>
    </row>
    <row r="354" spans="2:4" ht="15" x14ac:dyDescent="0.25">
      <c r="B354" s="10"/>
      <c r="D354" s="10"/>
    </row>
    <row r="355" spans="2:4" ht="15" x14ac:dyDescent="0.25">
      <c r="B355" s="10"/>
      <c r="D355" s="10"/>
    </row>
    <row r="356" spans="2:4" ht="15" x14ac:dyDescent="0.25">
      <c r="B356" s="10"/>
      <c r="D356" s="10"/>
    </row>
    <row r="357" spans="2:4" ht="15" x14ac:dyDescent="0.25">
      <c r="B357" s="10"/>
      <c r="D357" s="10"/>
    </row>
    <row r="358" spans="2:4" ht="15" x14ac:dyDescent="0.25">
      <c r="B358" s="10"/>
      <c r="D358" s="10"/>
    </row>
    <row r="359" spans="2:4" ht="15" x14ac:dyDescent="0.25">
      <c r="B359" s="10"/>
      <c r="D359" s="10"/>
    </row>
    <row r="360" spans="2:4" ht="15" x14ac:dyDescent="0.25">
      <c r="B360" s="10"/>
      <c r="D360" s="10"/>
    </row>
    <row r="361" spans="2:4" ht="15" x14ac:dyDescent="0.25">
      <c r="B361" s="10"/>
      <c r="D361" s="10"/>
    </row>
    <row r="362" spans="2:4" ht="15" x14ac:dyDescent="0.25">
      <c r="B362" s="10"/>
      <c r="D362" s="10"/>
    </row>
    <row r="363" spans="2:4" ht="15" x14ac:dyDescent="0.25">
      <c r="B363" s="10"/>
      <c r="D363" s="10"/>
    </row>
    <row r="364" spans="2:4" ht="15" x14ac:dyDescent="0.25">
      <c r="B364" s="10"/>
      <c r="D364" s="10"/>
    </row>
    <row r="365" spans="2:4" ht="15" x14ac:dyDescent="0.25">
      <c r="B365" s="10"/>
      <c r="D365" s="10"/>
    </row>
    <row r="366" spans="2:4" ht="15" x14ac:dyDescent="0.25">
      <c r="B366" s="10"/>
      <c r="D366" s="10"/>
    </row>
    <row r="367" spans="2:4" ht="15" x14ac:dyDescent="0.25">
      <c r="B367" s="10"/>
      <c r="D367" s="10"/>
    </row>
    <row r="368" spans="2:4" ht="15" x14ac:dyDescent="0.25">
      <c r="B368" s="10"/>
      <c r="D368" s="10"/>
    </row>
    <row r="369" spans="2:4" ht="15" x14ac:dyDescent="0.25">
      <c r="B369" s="10"/>
      <c r="D369" s="10"/>
    </row>
    <row r="370" spans="2:4" ht="15" x14ac:dyDescent="0.25">
      <c r="B370" s="10"/>
      <c r="D370" s="10"/>
    </row>
    <row r="371" spans="2:4" ht="15" x14ac:dyDescent="0.25">
      <c r="B371" s="10"/>
      <c r="D371" s="10"/>
    </row>
    <row r="372" spans="2:4" ht="15" x14ac:dyDescent="0.25">
      <c r="B372" s="10"/>
      <c r="D372" s="10"/>
    </row>
    <row r="373" spans="2:4" ht="15" x14ac:dyDescent="0.25">
      <c r="B373" s="10"/>
      <c r="D373" s="10"/>
    </row>
    <row r="374" spans="2:4" ht="15" x14ac:dyDescent="0.25">
      <c r="B374" s="10"/>
      <c r="D374" s="10"/>
    </row>
    <row r="375" spans="2:4" ht="15" x14ac:dyDescent="0.25">
      <c r="B375" s="10"/>
      <c r="D375" s="10"/>
    </row>
    <row r="376" spans="2:4" ht="15" x14ac:dyDescent="0.25">
      <c r="B376" s="10"/>
      <c r="D376" s="10"/>
    </row>
    <row r="377" spans="2:4" ht="15" x14ac:dyDescent="0.25">
      <c r="B377" s="10"/>
      <c r="D377" s="10"/>
    </row>
    <row r="378" spans="2:4" ht="15" x14ac:dyDescent="0.25">
      <c r="B378" s="10"/>
      <c r="D378" s="10"/>
    </row>
    <row r="379" spans="2:4" ht="15" x14ac:dyDescent="0.25">
      <c r="B379" s="10"/>
      <c r="D379" s="10"/>
    </row>
    <row r="380" spans="2:4" ht="15" x14ac:dyDescent="0.25">
      <c r="B380" s="10"/>
      <c r="D380" s="10"/>
    </row>
    <row r="381" spans="2:4" ht="15" x14ac:dyDescent="0.25">
      <c r="B381" s="10"/>
      <c r="D381" s="10"/>
    </row>
    <row r="382" spans="2:4" ht="15" x14ac:dyDescent="0.25">
      <c r="B382" s="10"/>
      <c r="D382" s="10"/>
    </row>
    <row r="383" spans="2:4" ht="15" x14ac:dyDescent="0.25">
      <c r="B383" s="10"/>
      <c r="D383" s="10"/>
    </row>
    <row r="384" spans="2:4" ht="15" x14ac:dyDescent="0.25">
      <c r="B384" s="10"/>
      <c r="D384" s="10"/>
    </row>
    <row r="385" spans="2:4" ht="15" x14ac:dyDescent="0.25">
      <c r="B385" s="10"/>
      <c r="D385" s="10"/>
    </row>
    <row r="386" spans="2:4" ht="15" x14ac:dyDescent="0.25">
      <c r="B386" s="10"/>
      <c r="D386" s="10"/>
    </row>
    <row r="387" spans="2:4" ht="15" x14ac:dyDescent="0.25">
      <c r="B387" s="10"/>
      <c r="D387" s="10"/>
    </row>
    <row r="388" spans="2:4" ht="15" x14ac:dyDescent="0.25">
      <c r="B388" s="10"/>
      <c r="D388" s="10"/>
    </row>
    <row r="389" spans="2:4" ht="15" x14ac:dyDescent="0.25">
      <c r="B389" s="10"/>
      <c r="D389" s="10"/>
    </row>
    <row r="390" spans="2:4" ht="15" x14ac:dyDescent="0.25">
      <c r="B390" s="10"/>
      <c r="D390" s="10"/>
    </row>
    <row r="391" spans="2:4" ht="15" x14ac:dyDescent="0.25">
      <c r="B391" s="10"/>
      <c r="D391" s="10"/>
    </row>
    <row r="392" spans="2:4" ht="15" x14ac:dyDescent="0.25">
      <c r="B392" s="10"/>
      <c r="D392" s="10"/>
    </row>
    <row r="393" spans="2:4" ht="15" x14ac:dyDescent="0.25">
      <c r="B393" s="10"/>
      <c r="D393" s="10"/>
    </row>
    <row r="394" spans="2:4" ht="15" x14ac:dyDescent="0.25">
      <c r="B394" s="10"/>
      <c r="D394" s="10"/>
    </row>
    <row r="395" spans="2:4" ht="15" x14ac:dyDescent="0.25">
      <c r="B395" s="10"/>
      <c r="D395" s="10"/>
    </row>
    <row r="396" spans="2:4" ht="15" x14ac:dyDescent="0.25">
      <c r="B396" s="10"/>
      <c r="D396" s="10"/>
    </row>
    <row r="397" spans="2:4" ht="15" x14ac:dyDescent="0.25">
      <c r="B397" s="10"/>
      <c r="D397" s="10"/>
    </row>
    <row r="398" spans="2:4" ht="15" x14ac:dyDescent="0.25">
      <c r="B398" s="10"/>
      <c r="D398" s="10"/>
    </row>
    <row r="399" spans="2:4" ht="15" x14ac:dyDescent="0.25">
      <c r="B399" s="10"/>
      <c r="D399" s="10"/>
    </row>
    <row r="400" spans="2:4" ht="15" x14ac:dyDescent="0.25">
      <c r="B400" s="10"/>
      <c r="D400" s="10"/>
    </row>
    <row r="401" spans="2:4" ht="15" x14ac:dyDescent="0.25">
      <c r="B401" s="10"/>
      <c r="D401" s="10"/>
    </row>
    <row r="402" spans="2:4" ht="15" x14ac:dyDescent="0.25">
      <c r="B402" s="10"/>
      <c r="D402" s="10"/>
    </row>
    <row r="403" spans="2:4" ht="15" x14ac:dyDescent="0.25">
      <c r="B403" s="10"/>
      <c r="D403" s="10"/>
    </row>
    <row r="404" spans="2:4" ht="15" x14ac:dyDescent="0.25">
      <c r="B404" s="10"/>
      <c r="D404" s="10"/>
    </row>
    <row r="405" spans="2:4" ht="15" x14ac:dyDescent="0.25">
      <c r="B405" s="10"/>
      <c r="D405" s="10"/>
    </row>
    <row r="406" spans="2:4" ht="15" x14ac:dyDescent="0.25">
      <c r="B406" s="10"/>
      <c r="D406" s="10"/>
    </row>
    <row r="407" spans="2:4" ht="15" x14ac:dyDescent="0.25">
      <c r="B407" s="10"/>
      <c r="D407" s="10"/>
    </row>
    <row r="408" spans="2:4" ht="15" x14ac:dyDescent="0.25">
      <c r="B408" s="10"/>
      <c r="D408" s="10"/>
    </row>
    <row r="409" spans="2:4" ht="15" x14ac:dyDescent="0.25">
      <c r="B409" s="10"/>
      <c r="D409" s="10"/>
    </row>
    <row r="410" spans="2:4" ht="15" x14ac:dyDescent="0.25">
      <c r="B410" s="10"/>
      <c r="D410" s="10"/>
    </row>
    <row r="411" spans="2:4" ht="15" x14ac:dyDescent="0.25">
      <c r="B411" s="10"/>
      <c r="D411" s="10"/>
    </row>
    <row r="412" spans="2:4" ht="15" x14ac:dyDescent="0.25">
      <c r="B412" s="10"/>
      <c r="D412" s="10"/>
    </row>
    <row r="413" spans="2:4" ht="15" x14ac:dyDescent="0.25">
      <c r="B413" s="10"/>
      <c r="D413" s="10"/>
    </row>
    <row r="414" spans="2:4" ht="15" x14ac:dyDescent="0.25">
      <c r="B414" s="10"/>
      <c r="D414" s="10"/>
    </row>
    <row r="415" spans="2:4" ht="15" x14ac:dyDescent="0.25">
      <c r="B415" s="10"/>
      <c r="D415" s="10"/>
    </row>
    <row r="416" spans="2:4" ht="15" x14ac:dyDescent="0.25">
      <c r="B416" s="10"/>
      <c r="D416" s="10"/>
    </row>
    <row r="417" spans="2:4" ht="15" x14ac:dyDescent="0.25">
      <c r="B417" s="10"/>
      <c r="D417" s="10"/>
    </row>
    <row r="418" spans="2:4" ht="15" x14ac:dyDescent="0.25">
      <c r="B418" s="10"/>
      <c r="D418" s="10"/>
    </row>
    <row r="419" spans="2:4" ht="15" x14ac:dyDescent="0.25">
      <c r="B419" s="10"/>
      <c r="D419" s="10"/>
    </row>
    <row r="420" spans="2:4" ht="15" x14ac:dyDescent="0.25">
      <c r="B420" s="10"/>
      <c r="D420" s="10"/>
    </row>
    <row r="421" spans="2:4" ht="15" x14ac:dyDescent="0.25">
      <c r="B421" s="10"/>
      <c r="D421" s="10"/>
    </row>
    <row r="422" spans="2:4" ht="15" x14ac:dyDescent="0.25">
      <c r="B422" s="10"/>
      <c r="D422" s="10"/>
    </row>
    <row r="423" spans="2:4" ht="15" x14ac:dyDescent="0.25">
      <c r="B423" s="10"/>
      <c r="D423" s="10"/>
    </row>
    <row r="424" spans="2:4" ht="15" x14ac:dyDescent="0.25">
      <c r="B424" s="10"/>
      <c r="D424" s="10"/>
    </row>
    <row r="425" spans="2:4" ht="15" x14ac:dyDescent="0.25">
      <c r="B425" s="10"/>
      <c r="D425" s="10"/>
    </row>
    <row r="426" spans="2:4" ht="15" x14ac:dyDescent="0.25">
      <c r="B426" s="10"/>
      <c r="D426" s="10"/>
    </row>
    <row r="427" spans="2:4" ht="15" x14ac:dyDescent="0.25">
      <c r="B427" s="10"/>
      <c r="D427" s="10"/>
    </row>
    <row r="428" spans="2:4" ht="15" x14ac:dyDescent="0.25">
      <c r="B428" s="10"/>
      <c r="D428" s="10"/>
    </row>
    <row r="429" spans="2:4" ht="15" x14ac:dyDescent="0.25">
      <c r="B429" s="10"/>
      <c r="D429" s="10"/>
    </row>
    <row r="430" spans="2:4" ht="15" x14ac:dyDescent="0.25">
      <c r="B430" s="10"/>
      <c r="D430" s="10"/>
    </row>
    <row r="431" spans="2:4" ht="15" x14ac:dyDescent="0.25">
      <c r="B431" s="10"/>
      <c r="D431" s="10"/>
    </row>
    <row r="432" spans="2:4" ht="15" x14ac:dyDescent="0.25">
      <c r="B432" s="10"/>
      <c r="D432" s="10"/>
    </row>
    <row r="433" spans="2:4" ht="15" x14ac:dyDescent="0.25">
      <c r="B433" s="10"/>
      <c r="D433" s="10"/>
    </row>
    <row r="434" spans="2:4" ht="15" x14ac:dyDescent="0.25">
      <c r="B434" s="10"/>
      <c r="D434" s="10"/>
    </row>
    <row r="435" spans="2:4" ht="15" x14ac:dyDescent="0.25">
      <c r="B435" s="10"/>
      <c r="D435" s="10"/>
    </row>
    <row r="436" spans="2:4" ht="15" x14ac:dyDescent="0.25">
      <c r="B436" s="10"/>
      <c r="D436" s="10"/>
    </row>
    <row r="437" spans="2:4" ht="15" x14ac:dyDescent="0.25">
      <c r="B437" s="10"/>
      <c r="D437" s="10"/>
    </row>
    <row r="438" spans="2:4" ht="15" x14ac:dyDescent="0.25">
      <c r="B438" s="10"/>
      <c r="D438" s="10"/>
    </row>
    <row r="439" spans="2:4" ht="15" x14ac:dyDescent="0.25">
      <c r="B439" s="10"/>
    </row>
    <row r="440" spans="2:4" ht="15" x14ac:dyDescent="0.25">
      <c r="B440" s="10"/>
    </row>
    <row r="441" spans="2:4" ht="15" x14ac:dyDescent="0.25">
      <c r="B441" s="10"/>
    </row>
    <row r="442" spans="2:4" ht="15" x14ac:dyDescent="0.25">
      <c r="B442" s="10"/>
    </row>
  </sheetData>
  <conditionalFormatting sqref="G4:H14">
    <cfRule type="iconSet" priority="1">
      <iconSet>
        <cfvo type="percent" val="0"/>
        <cfvo type="num" val="0"/>
        <cfvo type="num" val="0.1"/>
      </iconSet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Source</vt:lpstr>
      <vt:lpstr>BS 2014</vt:lpstr>
      <vt:lpstr>BS 2015</vt:lpstr>
      <vt:lpstr>BS 2016</vt:lpstr>
      <vt:lpstr>Exercise --&gt;</vt:lpstr>
      <vt:lpstr>Workings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2016-11-04T12:19:27Z</dcterms:modified>
</cp:coreProperties>
</file>