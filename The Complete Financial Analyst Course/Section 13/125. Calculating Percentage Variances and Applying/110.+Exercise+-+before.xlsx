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activeTab="3"/>
  </bookViews>
  <sheets>
    <sheet name="Original Source" sheetId="7" r:id="rId1"/>
    <sheet name="Exercise --&gt;" sheetId="8" r:id="rId2"/>
    <sheet name="Workings" sheetId="11" r:id="rId3"/>
    <sheet name="P&amp;L" sheetId="15" r:id="rId4"/>
  </sheets>
  <definedNames>
    <definedName name="_xlnm._FilterDatabase" localSheetId="0" hidden="1">'Original Source'!#REF!</definedName>
    <definedName name="_xlnm._FilterDatabase" localSheetId="2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5" l="1"/>
  <c r="D14" i="15"/>
  <c r="C14" i="15"/>
  <c r="E12" i="15"/>
  <c r="D12" i="15"/>
  <c r="C12" i="15"/>
  <c r="E10" i="15"/>
  <c r="D10" i="15"/>
  <c r="C10" i="15"/>
  <c r="E8" i="15"/>
  <c r="D8" i="15"/>
  <c r="C8" i="15"/>
  <c r="E6" i="15"/>
  <c r="D6" i="15"/>
  <c r="C6" i="15"/>
  <c r="E13" i="15"/>
  <c r="D13" i="15"/>
  <c r="C13" i="15"/>
  <c r="E11" i="15"/>
  <c r="D11" i="15"/>
  <c r="C11" i="15"/>
  <c r="E9" i="15"/>
  <c r="D9" i="15"/>
  <c r="C9" i="15"/>
  <c r="E7" i="15"/>
  <c r="D7" i="15"/>
  <c r="C7" i="15"/>
  <c r="E5" i="15"/>
  <c r="D5" i="15"/>
  <c r="C5" i="15"/>
  <c r="E4" i="15"/>
  <c r="D4" i="15"/>
  <c r="C4" i="15"/>
  <c r="C438" i="11" l="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<sst xmlns="http://schemas.openxmlformats.org/spreadsheetml/2006/main" count="1762" uniqueCount="64">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</sst>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);\(#,##0.0\)"/>
  </numFmts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</cellXfs>
  <cellStyles count="5">
    <cellStyle name="General" xfId="2"/>
    <cellStyle name="Header" xfId="1"/>
    <cellStyle name="Normal" xfId="0" builtinId="0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42"/>
  <sheetViews>
    <sheetView tabSelected="1" workbookViewId="0">
      <selection activeCell="M16" sqref="M16"/>
    </sheetView>
  </sheetViews>
  <sheetFormatPr defaultRowHeight="12" x14ac:dyDescent="0.2"/>
  <cols>
    <col min="1" max="1" width="2" style="2" customWidth="1"/>
    <col min="2" max="2" width="18.140625" style="2" customWidth="1"/>
    <col min="3" max="16384" width="9.140625" style="2"/>
  </cols>
  <sheetData>
    <row r="1" spans="2:5" ht="15.75" x14ac:dyDescent="0.25">
      <c r="B1" s="11" t="s">
        <v>57</v>
      </c>
    </row>
    <row r="3" spans="2:5" ht="12.75" thickBot="1" x14ac:dyDescent="0.25">
      <c r="B3" s="13" t="s">
        <v>63</v>
      </c>
      <c r="C3" s="14">
        <v>2014</v>
      </c>
      <c r="D3" s="14">
        <v>2015</v>
      </c>
      <c r="E3" s="14">
        <v>2016</v>
      </c>
    </row>
    <row r="4" spans="2:5" x14ac:dyDescent="0.2">
      <c r="B4" s="15" t="s">
        <v>55</v>
      </c>
      <c r="C4" s="15">
        <f>+SUMIFS(Workings!$E:$E,Workings!$F:$F,'P&amp;L'!$B4,Workings!$C:$C,'P&amp;L'!C$3)</f>
        <v>2922</v>
      </c>
      <c r="D4" s="15">
        <f>+SUMIFS(Workings!$E:$E,Workings!$F:$F,'P&amp;L'!$B4,Workings!$C:$C,'P&amp;L'!D$3)</f>
        <v>2984</v>
      </c>
      <c r="E4" s="15">
        <f>+SUMIFS(Workings!$E:$E,Workings!$F:$F,'P&amp;L'!$B4,Workings!$C:$C,'P&amp;L'!E$3)</f>
        <v>3040</v>
      </c>
    </row>
    <row r="5" spans="2:5" x14ac:dyDescent="0.2">
      <c r="B5" s="15" t="s">
        <v>56</v>
      </c>
      <c r="C5" s="15">
        <f>-1*SUMIFS(Workings!$E:$E,Workings!$F:$F,'P&amp;L'!$B5,Workings!$C:$C,'P&amp;L'!C$3)</f>
        <v>-1401</v>
      </c>
      <c r="D5" s="15">
        <f>-1*SUMIFS(Workings!$E:$E,Workings!$F:$F,'P&amp;L'!$B5,Workings!$C:$C,'P&amp;L'!D$3)</f>
        <v>-1383</v>
      </c>
      <c r="E5" s="15">
        <f>-1*SUMIFS(Workings!$E:$E,Workings!$F:$F,'P&amp;L'!$B5,Workings!$C:$C,'P&amp;L'!E$3)</f>
        <v>-1367</v>
      </c>
    </row>
    <row r="6" spans="2:5" x14ac:dyDescent="0.2">
      <c r="B6" s="16" t="s">
        <v>58</v>
      </c>
      <c r="C6" s="16">
        <f>SUM(C4:C5)</f>
        <v>1521</v>
      </c>
      <c r="D6" s="16">
        <f t="shared" ref="D6:E6" si="0">SUM(D4:D5)</f>
        <v>1601</v>
      </c>
      <c r="E6" s="16">
        <f t="shared" si="0"/>
        <v>1673</v>
      </c>
    </row>
    <row r="7" spans="2:5" x14ac:dyDescent="0.2">
      <c r="B7" s="15" t="s">
        <v>8</v>
      </c>
      <c r="C7" s="15">
        <f>-1*SUMIFS(Workings!$E:$E,Workings!$F:$F,'P&amp;L'!$B7,Workings!$C:$C,'P&amp;L'!C$3)</f>
        <v>-1212.1799999999998</v>
      </c>
      <c r="D7" s="15">
        <f>-1*SUMIFS(Workings!$E:$E,Workings!$F:$F,'P&amp;L'!$B7,Workings!$C:$C,'P&amp;L'!D$3)</f>
        <v>-1245.3399999999999</v>
      </c>
      <c r="E7" s="15">
        <f>-1*SUMIFS(Workings!$E:$E,Workings!$F:$F,'P&amp;L'!$B7,Workings!$C:$C,'P&amp;L'!E$3)</f>
        <v>-1068.24</v>
      </c>
    </row>
    <row r="8" spans="2:5" x14ac:dyDescent="0.2">
      <c r="B8" s="16" t="s">
        <v>59</v>
      </c>
      <c r="C8" s="16">
        <f>SUM(C6:C7)</f>
        <v>308.82000000000016</v>
      </c>
      <c r="D8" s="16">
        <f t="shared" ref="D8:E8" si="1">SUM(D6:D7)</f>
        <v>355.66000000000008</v>
      </c>
      <c r="E8" s="16">
        <f t="shared" si="1"/>
        <v>604.76</v>
      </c>
    </row>
    <row r="9" spans="2:5" x14ac:dyDescent="0.2">
      <c r="B9" s="15" t="s">
        <v>12</v>
      </c>
      <c r="C9" s="15">
        <f>-1*SUMIFS(Workings!$E:$E,Workings!$F:$F,'P&amp;L'!$B9,Workings!$C:$C,'P&amp;L'!C$3)</f>
        <v>-31</v>
      </c>
      <c r="D9" s="15">
        <f>-1*SUMIFS(Workings!$E:$E,Workings!$F:$F,'P&amp;L'!$B9,Workings!$C:$C,'P&amp;L'!D$3)</f>
        <v>-44</v>
      </c>
      <c r="E9" s="15">
        <f>-1*SUMIFS(Workings!$E:$E,Workings!$F:$F,'P&amp;L'!$B9,Workings!$C:$C,'P&amp;L'!E$3)</f>
        <v>-41</v>
      </c>
    </row>
    <row r="10" spans="2:5" x14ac:dyDescent="0.2">
      <c r="B10" s="16" t="s">
        <v>60</v>
      </c>
      <c r="C10" s="16">
        <f t="shared" ref="C10:E10" si="2">SUM(C8:C9)</f>
        <v>277.82000000000016</v>
      </c>
      <c r="D10" s="16">
        <f t="shared" si="2"/>
        <v>311.66000000000008</v>
      </c>
      <c r="E10" s="16">
        <f t="shared" si="2"/>
        <v>563.76</v>
      </c>
    </row>
    <row r="11" spans="2:5" x14ac:dyDescent="0.2">
      <c r="B11" s="15" t="s">
        <v>50</v>
      </c>
      <c r="C11" s="15">
        <f>-1*SUMIFS(Workings!$E:$E,Workings!$F:$F,'P&amp;L'!$B11,Workings!$C:$C,'P&amp;L'!C$3)</f>
        <v>-56</v>
      </c>
      <c r="D11" s="15">
        <f>-1*SUMIFS(Workings!$E:$E,Workings!$F:$F,'P&amp;L'!$B11,Workings!$C:$C,'P&amp;L'!D$3)</f>
        <v>-65</v>
      </c>
      <c r="E11" s="15">
        <f>-1*SUMIFS(Workings!$E:$E,Workings!$F:$F,'P&amp;L'!$B11,Workings!$C:$C,'P&amp;L'!E$3)</f>
        <v>-52</v>
      </c>
    </row>
    <row r="12" spans="2:5" x14ac:dyDescent="0.2">
      <c r="B12" s="16" t="s">
        <v>61</v>
      </c>
      <c r="C12" s="16">
        <f t="shared" ref="C12:E12" si="3">SUM(C10:C11)</f>
        <v>221.82000000000016</v>
      </c>
      <c r="D12" s="16">
        <f t="shared" si="3"/>
        <v>246.66000000000008</v>
      </c>
      <c r="E12" s="16">
        <f t="shared" si="3"/>
        <v>511.76</v>
      </c>
    </row>
    <row r="13" spans="2:5" x14ac:dyDescent="0.2">
      <c r="B13" s="15" t="s">
        <v>51</v>
      </c>
      <c r="C13" s="15">
        <f>-1*SUMIFS(Workings!$E:$E,Workings!$F:$F,'P&amp;L'!$B13,Workings!$C:$C,'P&amp;L'!C$3)</f>
        <v>-207.52</v>
      </c>
      <c r="D13" s="15">
        <f>-1*SUMIFS(Workings!$E:$E,Workings!$F:$F,'P&amp;L'!$B13,Workings!$C:$C,'P&amp;L'!D$3)</f>
        <v>-209.98</v>
      </c>
      <c r="E13" s="15">
        <f>-1*SUMIFS(Workings!$E:$E,Workings!$F:$F,'P&amp;L'!$B13,Workings!$C:$C,'P&amp;L'!E$3)</f>
        <v>-208.57999999999998</v>
      </c>
    </row>
    <row r="14" spans="2:5" ht="12.75" thickBot="1" x14ac:dyDescent="0.25">
      <c r="B14" s="17" t="s">
        <v>62</v>
      </c>
      <c r="C14" s="18">
        <f t="shared" ref="C14:E14" si="4">SUM(C12:C13)</f>
        <v>14.300000000000153</v>
      </c>
      <c r="D14" s="18">
        <f t="shared" si="4"/>
        <v>36.680000000000092</v>
      </c>
      <c r="E14" s="18">
        <f t="shared" si="4"/>
        <v>303.18</v>
      </c>
    </row>
    <row r="15" spans="2:5" ht="15" x14ac:dyDescent="0.25">
      <c r="B15" s="12"/>
      <c r="D15" s="10"/>
    </row>
    <row r="16" spans="2:5" ht="15" x14ac:dyDescent="0.25">
      <c r="B16" s="12"/>
      <c r="D16" s="10"/>
    </row>
    <row r="17" spans="2:4" ht="15" x14ac:dyDescent="0.25">
      <c r="D17" s="10"/>
    </row>
    <row r="18" spans="2:4" ht="15" x14ac:dyDescent="0.25">
      <c r="D18" s="10"/>
    </row>
    <row r="19" spans="2:4" ht="15" x14ac:dyDescent="0.25">
      <c r="D19" s="10"/>
    </row>
    <row r="20" spans="2:4" ht="15" x14ac:dyDescent="0.25">
      <c r="D20" s="10"/>
    </row>
    <row r="21" spans="2:4" ht="15" x14ac:dyDescent="0.25">
      <c r="D21" s="10"/>
    </row>
    <row r="22" spans="2:4" ht="15" x14ac:dyDescent="0.25">
      <c r="B22" s="10"/>
      <c r="D22" s="10"/>
    </row>
    <row r="23" spans="2:4" ht="15" x14ac:dyDescent="0.25">
      <c r="B23" s="10"/>
      <c r="D23" s="10"/>
    </row>
    <row r="24" spans="2:4" ht="15" x14ac:dyDescent="0.25">
      <c r="B24" s="10"/>
      <c r="D24" s="10"/>
    </row>
    <row r="25" spans="2:4" ht="15" x14ac:dyDescent="0.25">
      <c r="B25" s="10"/>
      <c r="D25" s="10"/>
    </row>
    <row r="26" spans="2:4" ht="15" x14ac:dyDescent="0.25">
      <c r="B26" s="10"/>
      <c r="D26" s="10"/>
    </row>
    <row r="27" spans="2:4" ht="15" x14ac:dyDescent="0.25">
      <c r="B27" s="10"/>
      <c r="D27" s="10"/>
    </row>
    <row r="28" spans="2:4" ht="15" x14ac:dyDescent="0.25">
      <c r="B28" s="10"/>
      <c r="D28" s="10"/>
    </row>
    <row r="29" spans="2:4" ht="15" x14ac:dyDescent="0.25">
      <c r="B29" s="10"/>
      <c r="D29" s="10"/>
    </row>
    <row r="30" spans="2:4" ht="15" x14ac:dyDescent="0.25">
      <c r="B30" s="10"/>
      <c r="D30" s="10"/>
    </row>
    <row r="31" spans="2:4" ht="15" x14ac:dyDescent="0.25">
      <c r="B31" s="10"/>
      <c r="D31" s="10"/>
    </row>
    <row r="32" spans="2:4" ht="15" x14ac:dyDescent="0.25">
      <c r="B32" s="10"/>
      <c r="D32" s="10"/>
    </row>
    <row r="33" spans="2:4" ht="15" x14ac:dyDescent="0.25">
      <c r="B33" s="10"/>
      <c r="D33" s="10"/>
    </row>
    <row r="34" spans="2:4" ht="15" x14ac:dyDescent="0.25">
      <c r="B34" s="10"/>
      <c r="D34" s="10"/>
    </row>
    <row r="35" spans="2:4" ht="15" x14ac:dyDescent="0.25">
      <c r="B35" s="10"/>
      <c r="D35" s="10"/>
    </row>
    <row r="36" spans="2:4" ht="15" x14ac:dyDescent="0.25">
      <c r="B36" s="10"/>
      <c r="D36" s="10"/>
    </row>
    <row r="37" spans="2:4" ht="15" x14ac:dyDescent="0.25">
      <c r="B37" s="10"/>
      <c r="D37" s="10"/>
    </row>
    <row r="38" spans="2:4" ht="15" x14ac:dyDescent="0.25">
      <c r="B38" s="10"/>
      <c r="D38" s="10"/>
    </row>
    <row r="39" spans="2:4" ht="15" x14ac:dyDescent="0.25">
      <c r="B39" s="10"/>
      <c r="D39" s="10"/>
    </row>
    <row r="40" spans="2:4" ht="15" x14ac:dyDescent="0.25">
      <c r="B40" s="10"/>
      <c r="D40" s="10"/>
    </row>
    <row r="41" spans="2:4" ht="15" x14ac:dyDescent="0.25">
      <c r="B41" s="10"/>
      <c r="D41" s="10"/>
    </row>
    <row r="42" spans="2:4" ht="15" x14ac:dyDescent="0.25">
      <c r="B42" s="10"/>
      <c r="D42" s="10"/>
    </row>
    <row r="43" spans="2:4" ht="15" x14ac:dyDescent="0.25">
      <c r="B43" s="10"/>
      <c r="D43" s="10"/>
    </row>
    <row r="44" spans="2:4" ht="15" x14ac:dyDescent="0.25">
      <c r="B44" s="10"/>
      <c r="D44" s="10"/>
    </row>
    <row r="45" spans="2:4" ht="15" x14ac:dyDescent="0.25">
      <c r="B45" s="10"/>
      <c r="D45" s="10"/>
    </row>
    <row r="46" spans="2:4" ht="15" x14ac:dyDescent="0.25">
      <c r="B46" s="10"/>
      <c r="D46" s="10"/>
    </row>
    <row r="47" spans="2:4" ht="15" x14ac:dyDescent="0.25">
      <c r="B47" s="10"/>
      <c r="D47" s="10"/>
    </row>
    <row r="48" spans="2:4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</row>
    <row r="440" spans="2:4" ht="15" x14ac:dyDescent="0.25">
      <c r="B440" s="10"/>
    </row>
    <row r="441" spans="2:4" ht="15" x14ac:dyDescent="0.25">
      <c r="B441" s="10"/>
    </row>
    <row r="442" spans="2:4" ht="15" x14ac:dyDescent="0.25">
      <c r="B442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Source</vt:lpstr>
      <vt:lpstr>Exercise --&gt;</vt:lpstr>
      <vt:lpstr>Workings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2016-11-04T11:15:25Z</dcterms:modified>
</cp:coreProperties>
</file>