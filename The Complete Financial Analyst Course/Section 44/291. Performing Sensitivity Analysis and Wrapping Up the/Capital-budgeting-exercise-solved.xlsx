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B:\Dropbox\Dropbox\Course Challenges\Course challenge 6 - Capital budgeting\"/>
    </mc:Choice>
  </mc:AlternateContent>
  <xr:revisionPtr revIDLastSave="0" documentId="8_{B4EBBB7E-DA02-4E89-A060-58A6DF891ABB}" xr6:coauthVersionLast="43" xr6:coauthVersionMax="43" xr10:uidLastSave="{00000000-0000-0000-0000-000000000000}"/>
  <bookViews>
    <workbookView xWindow="-108" yWindow="-108" windowWidth="23256" windowHeight="13176" activeTab="11" xr2:uid="{00000000-000D-0000-FFFF-FFFF00000000}"/>
  </bookViews>
  <sheets>
    <sheet name="Input --&gt;" sheetId="17" r:id="rId1"/>
    <sheet name="Drivers" sheetId="20" r:id="rId2"/>
    <sheet name="Workings --&gt;" sheetId="18" r:id="rId3"/>
    <sheet name="Revenue" sheetId="1" r:id="rId4"/>
    <sheet name="Opex" sheetId="21" r:id="rId5"/>
    <sheet name="Fixed asset roll-forward" sheetId="2" r:id="rId6"/>
    <sheet name="Financing" sheetId="7" r:id="rId7"/>
    <sheet name="P&amp;L" sheetId="12" r:id="rId8"/>
    <sheet name="Cash Flow" sheetId="9" r:id="rId9"/>
    <sheet name="WACC" sheetId="14" r:id="rId10"/>
    <sheet name="Output --&gt;" sheetId="19" r:id="rId11"/>
    <sheet name="Discounted Cash Flows" sheetId="16" r:id="rId12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16" l="1"/>
  <c r="N9" i="16" s="1"/>
  <c r="M10" i="16"/>
  <c r="L10" i="16"/>
  <c r="K10" i="16"/>
  <c r="J10" i="16"/>
  <c r="I10" i="16"/>
  <c r="H10" i="16"/>
  <c r="G10" i="16"/>
  <c r="F10" i="16"/>
  <c r="E10" i="16"/>
  <c r="D10" i="16"/>
  <c r="N13" i="16" l="1"/>
  <c r="N10" i="16"/>
  <c r="D18" i="16" s="1"/>
  <c r="N11" i="16"/>
  <c r="M11" i="16"/>
  <c r="L11" i="16"/>
  <c r="K11" i="16"/>
  <c r="J11" i="16"/>
  <c r="I11" i="16"/>
  <c r="H11" i="16"/>
  <c r="G11" i="16"/>
  <c r="F11" i="16"/>
  <c r="E11" i="16"/>
  <c r="O12" i="9" l="1"/>
  <c r="C8" i="2"/>
  <c r="B8" i="2"/>
  <c r="C6" i="21"/>
  <c r="C5" i="21"/>
  <c r="C4" i="21"/>
  <c r="C10" i="21"/>
  <c r="B10" i="21"/>
  <c r="C9" i="21"/>
  <c r="B9" i="21"/>
  <c r="C8" i="21"/>
  <c r="C19" i="1"/>
  <c r="D11" i="14"/>
  <c r="C11" i="14"/>
  <c r="D10" i="14"/>
  <c r="C10" i="14"/>
  <c r="D9" i="14"/>
  <c r="C9" i="14"/>
  <c r="C5" i="14"/>
  <c r="C6" i="14"/>
  <c r="C4" i="14"/>
  <c r="C3" i="14"/>
  <c r="C8" i="7"/>
  <c r="C7" i="7"/>
  <c r="C6" i="7"/>
  <c r="M11" i="2"/>
  <c r="L11" i="2"/>
  <c r="K11" i="2"/>
  <c r="J11" i="2"/>
  <c r="I11" i="2"/>
  <c r="H11" i="2"/>
  <c r="G11" i="2"/>
  <c r="F11" i="2"/>
  <c r="E11" i="2"/>
  <c r="D11" i="2"/>
  <c r="C6" i="2"/>
  <c r="C5" i="2"/>
  <c r="C4" i="2"/>
  <c r="D14" i="2" s="1"/>
  <c r="C24" i="1"/>
  <c r="C23" i="1"/>
  <c r="C22" i="1"/>
  <c r="C25" i="1" s="1"/>
  <c r="C6" i="1"/>
  <c r="C5" i="1"/>
  <c r="C4" i="1"/>
  <c r="C10" i="1"/>
  <c r="B10" i="1"/>
  <c r="C9" i="1"/>
  <c r="B9" i="1"/>
  <c r="C8" i="1"/>
  <c r="J15" i="2" l="1"/>
  <c r="C17" i="2"/>
  <c r="G15" i="2"/>
  <c r="K15" i="2"/>
  <c r="D15" i="2"/>
  <c r="H15" i="2"/>
  <c r="L15" i="2"/>
  <c r="E15" i="2"/>
  <c r="I15" i="2"/>
  <c r="M15" i="2"/>
  <c r="F15" i="2"/>
  <c r="F14" i="1"/>
  <c r="F17" i="1" s="1"/>
  <c r="K15" i="1"/>
  <c r="D15" i="1"/>
  <c r="I16" i="1"/>
  <c r="H15" i="1"/>
  <c r="I15" i="1"/>
  <c r="L15" i="1"/>
  <c r="I14" i="1"/>
  <c r="I17" i="1" s="1"/>
  <c r="J14" i="1"/>
  <c r="J17" i="1" s="1"/>
  <c r="F16" i="1"/>
  <c r="D14" i="1"/>
  <c r="D17" i="1" s="1"/>
  <c r="H14" i="1"/>
  <c r="H17" i="1" s="1"/>
  <c r="L14" i="1"/>
  <c r="L17" i="1" s="1"/>
  <c r="F15" i="1"/>
  <c r="J15" i="1"/>
  <c r="D16" i="1"/>
  <c r="H16" i="1"/>
  <c r="L16" i="1"/>
  <c r="J16" i="1"/>
  <c r="C14" i="1"/>
  <c r="G14" i="1"/>
  <c r="G17" i="1" s="1"/>
  <c r="K14" i="1"/>
  <c r="K17" i="1" s="1"/>
  <c r="E15" i="1"/>
  <c r="C16" i="1"/>
  <c r="C31" i="1" s="1"/>
  <c r="C16" i="21" s="1"/>
  <c r="C22" i="21" s="1"/>
  <c r="G16" i="1"/>
  <c r="K16" i="1"/>
  <c r="E14" i="1"/>
  <c r="E17" i="1" s="1"/>
  <c r="C15" i="1"/>
  <c r="C30" i="1" s="1"/>
  <c r="C15" i="21" s="1"/>
  <c r="C21" i="21" s="1"/>
  <c r="G15" i="1"/>
  <c r="E16" i="1"/>
  <c r="C29" i="1" l="1"/>
  <c r="C17" i="1"/>
  <c r="C16" i="7"/>
  <c r="C32" i="1" l="1"/>
  <c r="C14" i="21"/>
  <c r="C20" i="21" s="1"/>
  <c r="C25" i="14"/>
  <c r="C26" i="14"/>
  <c r="C23" i="21" l="1"/>
  <c r="C17" i="21"/>
  <c r="M30" i="14"/>
  <c r="I30" i="14"/>
  <c r="E30" i="14"/>
  <c r="G30" i="14"/>
  <c r="J30" i="14"/>
  <c r="L30" i="14"/>
  <c r="H30" i="14"/>
  <c r="D30" i="14"/>
  <c r="K30" i="14"/>
  <c r="C30" i="14"/>
  <c r="F30" i="14"/>
  <c r="C11" i="7"/>
  <c r="D5" i="9" l="1"/>
  <c r="C5" i="12"/>
  <c r="C12" i="7"/>
  <c r="C14" i="7" s="1"/>
  <c r="C15" i="14" s="1"/>
  <c r="M7" i="9"/>
  <c r="L21" i="2"/>
  <c r="L22" i="2"/>
  <c r="D22" i="1" l="1"/>
  <c r="D25" i="1" s="1"/>
  <c r="D23" i="1"/>
  <c r="D24" i="1"/>
  <c r="C3" i="7"/>
  <c r="C7" i="9"/>
  <c r="C8" i="9" s="1"/>
  <c r="D11" i="7"/>
  <c r="K12" i="7" s="1"/>
  <c r="K9" i="9" s="1"/>
  <c r="F7" i="9"/>
  <c r="M23" i="2"/>
  <c r="I23" i="2"/>
  <c r="L23" i="2"/>
  <c r="H23" i="2"/>
  <c r="J23" i="2"/>
  <c r="K23" i="2"/>
  <c r="G23" i="2"/>
  <c r="J7" i="9"/>
  <c r="K27" i="2"/>
  <c r="L27" i="2"/>
  <c r="M27" i="2"/>
  <c r="G7" i="9"/>
  <c r="K24" i="2"/>
  <c r="H24" i="2"/>
  <c r="J24" i="2"/>
  <c r="M24" i="2"/>
  <c r="I24" i="2"/>
  <c r="L24" i="2"/>
  <c r="K7" i="9"/>
  <c r="M28" i="2"/>
  <c r="L28" i="2"/>
  <c r="H7" i="9"/>
  <c r="J25" i="2"/>
  <c r="M25" i="2"/>
  <c r="I25" i="2"/>
  <c r="K25" i="2"/>
  <c r="L25" i="2"/>
  <c r="L7" i="9"/>
  <c r="M29" i="2"/>
  <c r="I7" i="9"/>
  <c r="J26" i="2"/>
  <c r="M26" i="2"/>
  <c r="L26" i="2"/>
  <c r="K26" i="2"/>
  <c r="D7" i="9"/>
  <c r="E7" i="9"/>
  <c r="I21" i="2"/>
  <c r="M21" i="2"/>
  <c r="I22" i="2"/>
  <c r="E21" i="2"/>
  <c r="M22" i="2"/>
  <c r="G20" i="2"/>
  <c r="K20" i="2"/>
  <c r="F21" i="2"/>
  <c r="J21" i="2"/>
  <c r="F22" i="2"/>
  <c r="J22" i="2"/>
  <c r="J20" i="2"/>
  <c r="D20" i="2"/>
  <c r="H20" i="2"/>
  <c r="L20" i="2"/>
  <c r="G21" i="2"/>
  <c r="K21" i="2"/>
  <c r="G22" i="2"/>
  <c r="K22" i="2"/>
  <c r="F20" i="2"/>
  <c r="E20" i="2"/>
  <c r="I20" i="2"/>
  <c r="M20" i="2"/>
  <c r="H21" i="2"/>
  <c r="H22" i="2"/>
  <c r="E24" i="1" l="1"/>
  <c r="D31" i="1"/>
  <c r="D16" i="21" s="1"/>
  <c r="D22" i="21" s="1"/>
  <c r="E23" i="1"/>
  <c r="D30" i="1"/>
  <c r="D15" i="21" s="1"/>
  <c r="D21" i="21" s="1"/>
  <c r="E22" i="1"/>
  <c r="E25" i="1" s="1"/>
  <c r="D29" i="1"/>
  <c r="C12" i="9"/>
  <c r="C18" i="7" s="1"/>
  <c r="C19" i="7" s="1"/>
  <c r="L12" i="7"/>
  <c r="L9" i="9" s="1"/>
  <c r="F12" i="7"/>
  <c r="F9" i="9" s="1"/>
  <c r="E12" i="7"/>
  <c r="E9" i="9" s="1"/>
  <c r="D12" i="7"/>
  <c r="D14" i="7" s="1"/>
  <c r="D15" i="14" s="1"/>
  <c r="H12" i="7"/>
  <c r="H9" i="9" s="1"/>
  <c r="G12" i="7"/>
  <c r="G9" i="9" s="1"/>
  <c r="I12" i="7"/>
  <c r="I9" i="9" s="1"/>
  <c r="M12" i="7"/>
  <c r="M9" i="9" s="1"/>
  <c r="D16" i="7"/>
  <c r="J12" i="7"/>
  <c r="J9" i="9" s="1"/>
  <c r="F30" i="2"/>
  <c r="F16" i="2" s="1"/>
  <c r="E6" i="12" s="1"/>
  <c r="E30" i="2"/>
  <c r="E16" i="2" s="1"/>
  <c r="D6" i="12" s="1"/>
  <c r="D30" i="2"/>
  <c r="D16" i="2" s="1"/>
  <c r="J30" i="2"/>
  <c r="J16" i="2" s="1"/>
  <c r="I6" i="12" s="1"/>
  <c r="M30" i="2"/>
  <c r="M16" i="2" s="1"/>
  <c r="L6" i="12" s="1"/>
  <c r="L30" i="2"/>
  <c r="L16" i="2" s="1"/>
  <c r="K6" i="12" s="1"/>
  <c r="K30" i="2"/>
  <c r="K16" i="2" s="1"/>
  <c r="J6" i="12" s="1"/>
  <c r="I30" i="2"/>
  <c r="I16" i="2" s="1"/>
  <c r="H6" i="12" s="1"/>
  <c r="H30" i="2"/>
  <c r="H16" i="2" s="1"/>
  <c r="G6" i="12" s="1"/>
  <c r="G30" i="2"/>
  <c r="G16" i="2" s="1"/>
  <c r="F6" i="12" s="1"/>
  <c r="D14" i="21" l="1"/>
  <c r="D20" i="21" s="1"/>
  <c r="D32" i="1"/>
  <c r="F23" i="1"/>
  <c r="E30" i="1"/>
  <c r="E15" i="21" s="1"/>
  <c r="E21" i="21" s="1"/>
  <c r="F22" i="1"/>
  <c r="F25" i="1" s="1"/>
  <c r="E29" i="1"/>
  <c r="F24" i="1"/>
  <c r="E31" i="1"/>
  <c r="E16" i="21" s="1"/>
  <c r="E22" i="21" s="1"/>
  <c r="C16" i="14"/>
  <c r="C17" i="14" s="1"/>
  <c r="C19" i="14" s="1"/>
  <c r="D8" i="16"/>
  <c r="D9" i="9"/>
  <c r="C6" i="12"/>
  <c r="D17" i="2"/>
  <c r="E14" i="2" s="1"/>
  <c r="E17" i="2" s="1"/>
  <c r="F14" i="2" s="1"/>
  <c r="F17" i="2" s="1"/>
  <c r="G14" i="2" s="1"/>
  <c r="G17" i="2" s="1"/>
  <c r="H14" i="2" s="1"/>
  <c r="H17" i="2" s="1"/>
  <c r="I14" i="2" s="1"/>
  <c r="I17" i="2" s="1"/>
  <c r="J14" i="2" s="1"/>
  <c r="J17" i="2" s="1"/>
  <c r="K14" i="2" s="1"/>
  <c r="K17" i="2" s="1"/>
  <c r="L14" i="2" s="1"/>
  <c r="L17" i="2" s="1"/>
  <c r="M14" i="2" s="1"/>
  <c r="M17" i="2" s="1"/>
  <c r="C4" i="12"/>
  <c r="D12" i="16" l="1"/>
  <c r="D14" i="16" s="1"/>
  <c r="E32" i="1"/>
  <c r="E14" i="21"/>
  <c r="E20" i="21" s="1"/>
  <c r="D23" i="21"/>
  <c r="D17" i="21"/>
  <c r="G22" i="1"/>
  <c r="G25" i="1" s="1"/>
  <c r="F29" i="1"/>
  <c r="G24" i="1"/>
  <c r="F31" i="1"/>
  <c r="F16" i="21" s="1"/>
  <c r="F22" i="21" s="1"/>
  <c r="G23" i="1"/>
  <c r="F30" i="1"/>
  <c r="F15" i="21" s="1"/>
  <c r="F21" i="21" s="1"/>
  <c r="C20" i="14"/>
  <c r="C21" i="14" s="1"/>
  <c r="C7" i="12"/>
  <c r="D4" i="12"/>
  <c r="F4" i="9"/>
  <c r="D4" i="9"/>
  <c r="D5" i="12" l="1"/>
  <c r="E5" i="9"/>
  <c r="D7" i="12"/>
  <c r="E23" i="21"/>
  <c r="E17" i="21"/>
  <c r="F14" i="21"/>
  <c r="F20" i="21" s="1"/>
  <c r="F32" i="1"/>
  <c r="F4" i="12" s="1"/>
  <c r="H24" i="1"/>
  <c r="G31" i="1"/>
  <c r="G16" i="21" s="1"/>
  <c r="G22" i="21" s="1"/>
  <c r="H23" i="1"/>
  <c r="G30" i="1"/>
  <c r="G15" i="21" s="1"/>
  <c r="G21" i="21" s="1"/>
  <c r="H22" i="1"/>
  <c r="H25" i="1" s="1"/>
  <c r="G29" i="1"/>
  <c r="C29" i="14"/>
  <c r="C31" i="14" s="1"/>
  <c r="C33" i="14" s="1"/>
  <c r="C35" i="14" s="1"/>
  <c r="E4" i="9"/>
  <c r="E4" i="12"/>
  <c r="E5" i="12" l="1"/>
  <c r="F5" i="9"/>
  <c r="E7" i="12"/>
  <c r="F23" i="21"/>
  <c r="F17" i="21"/>
  <c r="G32" i="1"/>
  <c r="G14" i="21"/>
  <c r="G20" i="21" s="1"/>
  <c r="I23" i="1"/>
  <c r="H30" i="1"/>
  <c r="H15" i="21" s="1"/>
  <c r="H21" i="21" s="1"/>
  <c r="I22" i="1"/>
  <c r="I25" i="1" s="1"/>
  <c r="H29" i="1"/>
  <c r="I24" i="1"/>
  <c r="H31" i="1"/>
  <c r="H16" i="21" s="1"/>
  <c r="H22" i="21" s="1"/>
  <c r="G4" i="9"/>
  <c r="G5" i="9" l="1"/>
  <c r="F5" i="12"/>
  <c r="F7" i="12" s="1"/>
  <c r="H14" i="21"/>
  <c r="H20" i="21" s="1"/>
  <c r="H32" i="1"/>
  <c r="H4" i="12" s="1"/>
  <c r="G23" i="21"/>
  <c r="G17" i="21"/>
  <c r="I29" i="1"/>
  <c r="J22" i="1"/>
  <c r="J25" i="1" s="1"/>
  <c r="J24" i="1"/>
  <c r="I31" i="1"/>
  <c r="I16" i="21" s="1"/>
  <c r="I22" i="21" s="1"/>
  <c r="J23" i="1"/>
  <c r="I30" i="1"/>
  <c r="I15" i="21" s="1"/>
  <c r="I21" i="21" s="1"/>
  <c r="G4" i="12"/>
  <c r="H4" i="9"/>
  <c r="H5" i="9" l="1"/>
  <c r="G5" i="12"/>
  <c r="G7" i="12" s="1"/>
  <c r="I32" i="1"/>
  <c r="I14" i="21"/>
  <c r="I20" i="21" s="1"/>
  <c r="H23" i="21"/>
  <c r="H17" i="21"/>
  <c r="K24" i="1"/>
  <c r="J31" i="1"/>
  <c r="J16" i="21" s="1"/>
  <c r="J22" i="21" s="1"/>
  <c r="J29" i="1"/>
  <c r="K22" i="1"/>
  <c r="K25" i="1" s="1"/>
  <c r="K23" i="1"/>
  <c r="J30" i="1"/>
  <c r="J15" i="21" s="1"/>
  <c r="J21" i="21" s="1"/>
  <c r="I4" i="9"/>
  <c r="I4" i="12"/>
  <c r="H5" i="12" l="1"/>
  <c r="H7" i="12" s="1"/>
  <c r="I5" i="9"/>
  <c r="J14" i="21"/>
  <c r="J20" i="21" s="1"/>
  <c r="J32" i="1"/>
  <c r="K4" i="9" s="1"/>
  <c r="I23" i="21"/>
  <c r="I17" i="21"/>
  <c r="K29" i="1"/>
  <c r="L22" i="1"/>
  <c r="L25" i="1" s="1"/>
  <c r="L23" i="1"/>
  <c r="L30" i="1" s="1"/>
  <c r="L15" i="21" s="1"/>
  <c r="L21" i="21" s="1"/>
  <c r="K30" i="1"/>
  <c r="K15" i="21" s="1"/>
  <c r="K21" i="21" s="1"/>
  <c r="L24" i="1"/>
  <c r="L31" i="1" s="1"/>
  <c r="L16" i="21" s="1"/>
  <c r="L22" i="21" s="1"/>
  <c r="K31" i="1"/>
  <c r="K16" i="21" s="1"/>
  <c r="K22" i="21" s="1"/>
  <c r="J4" i="9"/>
  <c r="E11" i="7"/>
  <c r="I5" i="12" l="1"/>
  <c r="I7" i="12" s="1"/>
  <c r="J5" i="9"/>
  <c r="K32" i="1"/>
  <c r="K14" i="21"/>
  <c r="K20" i="21" s="1"/>
  <c r="J23" i="21"/>
  <c r="J17" i="21"/>
  <c r="L29" i="1"/>
  <c r="E14" i="7"/>
  <c r="E16" i="7"/>
  <c r="J4" i="12"/>
  <c r="L4" i="9"/>
  <c r="C8" i="12"/>
  <c r="C9" i="12" s="1"/>
  <c r="C10" i="12" s="1"/>
  <c r="D10" i="9"/>
  <c r="K5" i="9" l="1"/>
  <c r="J5" i="12"/>
  <c r="J7" i="12" s="1"/>
  <c r="K23" i="21"/>
  <c r="K17" i="21"/>
  <c r="L14" i="21"/>
  <c r="L20" i="21" s="1"/>
  <c r="L32" i="1"/>
  <c r="L4" i="12" s="1"/>
  <c r="F11" i="7"/>
  <c r="F14" i="7" s="1"/>
  <c r="F15" i="14" s="1"/>
  <c r="E15" i="14"/>
  <c r="K4" i="12"/>
  <c r="D8" i="12"/>
  <c r="D9" i="12" s="1"/>
  <c r="D10" i="12" s="1"/>
  <c r="E10" i="9"/>
  <c r="C11" i="12"/>
  <c r="D6" i="9"/>
  <c r="D8" i="9" s="1"/>
  <c r="D12" i="9" s="1"/>
  <c r="F16" i="7" l="1"/>
  <c r="L5" i="9"/>
  <c r="K5" i="12"/>
  <c r="K7" i="12" s="1"/>
  <c r="M4" i="9"/>
  <c r="L23" i="21"/>
  <c r="L17" i="21"/>
  <c r="G11" i="7"/>
  <c r="G16" i="7" s="1"/>
  <c r="E8" i="12"/>
  <c r="E9" i="12" s="1"/>
  <c r="E10" i="12" s="1"/>
  <c r="F10" i="9"/>
  <c r="D11" i="12"/>
  <c r="E6" i="9"/>
  <c r="E8" i="9" s="1"/>
  <c r="E12" i="9" s="1"/>
  <c r="L5" i="12" l="1"/>
  <c r="L7" i="12" s="1"/>
  <c r="M5" i="9"/>
  <c r="G14" i="7"/>
  <c r="H11" i="7" s="1"/>
  <c r="F8" i="12"/>
  <c r="F9" i="12" s="1"/>
  <c r="F10" i="12" s="1"/>
  <c r="G10" i="9"/>
  <c r="E11" i="12"/>
  <c r="F6" i="9"/>
  <c r="F8" i="9" s="1"/>
  <c r="F12" i="9" s="1"/>
  <c r="G15" i="14" l="1"/>
  <c r="H14" i="7"/>
  <c r="I11" i="7" s="1"/>
  <c r="I14" i="7" s="1"/>
  <c r="H16" i="7"/>
  <c r="G8" i="12" s="1"/>
  <c r="G9" i="12" s="1"/>
  <c r="G10" i="12" s="1"/>
  <c r="H15" i="14"/>
  <c r="F11" i="12"/>
  <c r="G6" i="9"/>
  <c r="G8" i="9" s="1"/>
  <c r="G12" i="9" s="1"/>
  <c r="H10" i="9" l="1"/>
  <c r="J11" i="7"/>
  <c r="J16" i="7" s="1"/>
  <c r="I15" i="14"/>
  <c r="I16" i="7"/>
  <c r="I10" i="9" s="1"/>
  <c r="G11" i="12"/>
  <c r="H6" i="9"/>
  <c r="H8" i="9" s="1"/>
  <c r="H12" i="9" s="1"/>
  <c r="J14" i="7" l="1"/>
  <c r="K11" i="7" s="1"/>
  <c r="K16" i="7" s="1"/>
  <c r="H8" i="12"/>
  <c r="H9" i="12" s="1"/>
  <c r="J15" i="14"/>
  <c r="I8" i="12"/>
  <c r="I9" i="12" s="1"/>
  <c r="I10" i="12" s="1"/>
  <c r="J10" i="9"/>
  <c r="H10" i="12" l="1"/>
  <c r="H11" i="12" s="1"/>
  <c r="K14" i="7"/>
  <c r="L11" i="7" s="1"/>
  <c r="L16" i="7" s="1"/>
  <c r="J8" i="12"/>
  <c r="J9" i="12" s="1"/>
  <c r="J10" i="12" s="1"/>
  <c r="K10" i="9"/>
  <c r="I11" i="12"/>
  <c r="J6" i="9"/>
  <c r="J8" i="9" s="1"/>
  <c r="J12" i="9" s="1"/>
  <c r="I6" i="9" l="1"/>
  <c r="I8" i="9" s="1"/>
  <c r="I12" i="9" s="1"/>
  <c r="K15" i="14"/>
  <c r="L14" i="7"/>
  <c r="L15" i="14" s="1"/>
  <c r="K8" i="12"/>
  <c r="K9" i="12" s="1"/>
  <c r="K10" i="12" s="1"/>
  <c r="L10" i="9"/>
  <c r="J11" i="12"/>
  <c r="K6" i="9"/>
  <c r="K8" i="9" s="1"/>
  <c r="K12" i="9" s="1"/>
  <c r="M11" i="7" l="1"/>
  <c r="M16" i="7" s="1"/>
  <c r="M10" i="9" s="1"/>
  <c r="K11" i="12"/>
  <c r="L6" i="9"/>
  <c r="L8" i="9" s="1"/>
  <c r="L12" i="9" s="1"/>
  <c r="M14" i="7" l="1"/>
  <c r="L8" i="12"/>
  <c r="L9" i="12" s="1"/>
  <c r="M15" i="14"/>
  <c r="I8" i="16"/>
  <c r="K8" i="16"/>
  <c r="L8" i="16"/>
  <c r="G8" i="16"/>
  <c r="M8" i="16"/>
  <c r="D18" i="7"/>
  <c r="D19" i="7" s="1"/>
  <c r="E8" i="16"/>
  <c r="J8" i="16"/>
  <c r="F8" i="16"/>
  <c r="J18" i="7"/>
  <c r="G18" i="7"/>
  <c r="H8" i="16"/>
  <c r="F18" i="7"/>
  <c r="I18" i="7"/>
  <c r="L18" i="7"/>
  <c r="H18" i="7"/>
  <c r="E18" i="7"/>
  <c r="K18" i="7"/>
  <c r="L10" i="12" l="1"/>
  <c r="M6" i="9" s="1"/>
  <c r="M8" i="9" s="1"/>
  <c r="M12" i="9" s="1"/>
  <c r="D11" i="9"/>
  <c r="E19" i="7"/>
  <c r="D16" i="14"/>
  <c r="N8" i="16" l="1"/>
  <c r="M18" i="7"/>
  <c r="L11" i="12"/>
  <c r="D17" i="14"/>
  <c r="D19" i="14" s="1"/>
  <c r="F19" i="7"/>
  <c r="E16" i="14"/>
  <c r="E11" i="9"/>
  <c r="E17" i="14" l="1"/>
  <c r="E19" i="14" s="1"/>
  <c r="F16" i="14"/>
  <c r="F11" i="9"/>
  <c r="G19" i="7"/>
  <c r="D20" i="14"/>
  <c r="D29" i="14" s="1"/>
  <c r="D31" i="14" s="1"/>
  <c r="D33" i="14" s="1"/>
  <c r="D35" i="14" s="1"/>
  <c r="E12" i="16" l="1"/>
  <c r="E14" i="16" s="1"/>
  <c r="D21" i="14"/>
  <c r="F17" i="14"/>
  <c r="F19" i="14" s="1"/>
  <c r="G11" i="9"/>
  <c r="H19" i="7"/>
  <c r="G16" i="14"/>
  <c r="E20" i="14"/>
  <c r="E29" i="14" s="1"/>
  <c r="E31" i="14" s="1"/>
  <c r="E33" i="14" s="1"/>
  <c r="E35" i="14" s="1"/>
  <c r="F12" i="16" l="1"/>
  <c r="F14" i="16" s="1"/>
  <c r="E21" i="14"/>
  <c r="G17" i="14"/>
  <c r="G19" i="14" s="1"/>
  <c r="F20" i="14"/>
  <c r="F21" i="14" s="1"/>
  <c r="H11" i="9"/>
  <c r="H16" i="14"/>
  <c r="I19" i="7"/>
  <c r="G20" i="14" l="1"/>
  <c r="G21" i="14" s="1"/>
  <c r="I16" i="14"/>
  <c r="I11" i="9"/>
  <c r="J19" i="7"/>
  <c r="F29" i="14"/>
  <c r="F31" i="14" s="1"/>
  <c r="F33" i="14" s="1"/>
  <c r="F35" i="14" s="1"/>
  <c r="H17" i="14"/>
  <c r="H19" i="14" s="1"/>
  <c r="G12" i="16" l="1"/>
  <c r="G14" i="16" s="1"/>
  <c r="G29" i="14"/>
  <c r="G31" i="14" s="1"/>
  <c r="G33" i="14" s="1"/>
  <c r="G35" i="14" s="1"/>
  <c r="J16" i="14"/>
  <c r="J11" i="9"/>
  <c r="K19" i="7"/>
  <c r="H20" i="14"/>
  <c r="I17" i="14"/>
  <c r="I19" i="14" s="1"/>
  <c r="H12" i="16" l="1"/>
  <c r="H14" i="16" s="1"/>
  <c r="H21" i="14"/>
  <c r="H29" i="14"/>
  <c r="H31" i="14" s="1"/>
  <c r="H33" i="14" s="1"/>
  <c r="H35" i="14" s="1"/>
  <c r="J17" i="14"/>
  <c r="J19" i="14" s="1"/>
  <c r="I20" i="14"/>
  <c r="I21" i="14" s="1"/>
  <c r="K11" i="9"/>
  <c r="K16" i="14"/>
  <c r="L19" i="7"/>
  <c r="I12" i="16" l="1"/>
  <c r="I14" i="16" s="1"/>
  <c r="L16" i="14"/>
  <c r="L11" i="9"/>
  <c r="M19" i="7"/>
  <c r="K17" i="14"/>
  <c r="K19" i="14" s="1"/>
  <c r="J20" i="14"/>
  <c r="J29" i="14" s="1"/>
  <c r="J31" i="14" s="1"/>
  <c r="J33" i="14" s="1"/>
  <c r="I29" i="14"/>
  <c r="I31" i="14" s="1"/>
  <c r="I33" i="14" s="1"/>
  <c r="I35" i="14" s="1"/>
  <c r="J12" i="16" l="1"/>
  <c r="J14" i="16" s="1"/>
  <c r="J21" i="14"/>
  <c r="J35" i="14"/>
  <c r="K20" i="14"/>
  <c r="K21" i="14" s="1"/>
  <c r="L17" i="14"/>
  <c r="L19" i="14" s="1"/>
  <c r="M16" i="14"/>
  <c r="M11" i="9"/>
  <c r="K12" i="16" l="1"/>
  <c r="K14" i="16" s="1"/>
  <c r="K29" i="14"/>
  <c r="K31" i="14" s="1"/>
  <c r="K33" i="14" s="1"/>
  <c r="K35" i="14" s="1"/>
  <c r="L20" i="14"/>
  <c r="L21" i="14" s="1"/>
  <c r="M17" i="14"/>
  <c r="M19" i="14" s="1"/>
  <c r="L12" i="16" l="1"/>
  <c r="L14" i="16" s="1"/>
  <c r="L29" i="14"/>
  <c r="L31" i="14" s="1"/>
  <c r="L33" i="14" s="1"/>
  <c r="L35" i="14" s="1"/>
  <c r="M20" i="14"/>
  <c r="M21" i="14" s="1"/>
  <c r="M12" i="16" l="1"/>
  <c r="M14" i="16" s="1"/>
  <c r="M29" i="14"/>
  <c r="M31" i="14" s="1"/>
  <c r="M33" i="14" s="1"/>
  <c r="M35" i="14" s="1"/>
  <c r="N12" i="16" l="1"/>
  <c r="N14" i="16" s="1"/>
  <c r="D16" i="16" s="1"/>
  <c r="D22" i="16" l="1"/>
</calcChain>
</file>

<file path=xl/sharedStrings.xml><?xml version="1.0" encoding="utf-8"?>
<sst xmlns="http://schemas.openxmlformats.org/spreadsheetml/2006/main" count="189" uniqueCount="114">
  <si>
    <t>Base case</t>
  </si>
  <si>
    <t>Best case</t>
  </si>
  <si>
    <t>Worst case</t>
  </si>
  <si>
    <t>Expected long-term inflation Italy</t>
  </si>
  <si>
    <t>Savings forecast</t>
  </si>
  <si>
    <t>Investment plan</t>
  </si>
  <si>
    <t>Estimated initial investment (in EUR)</t>
  </si>
  <si>
    <t>Year 1</t>
  </si>
  <si>
    <t>Useful life (years)</t>
  </si>
  <si>
    <t>D&amp;A</t>
  </si>
  <si>
    <t>Selected case</t>
  </si>
  <si>
    <t>Drivers</t>
  </si>
  <si>
    <t>Capex</t>
  </si>
  <si>
    <t>in EUR</t>
  </si>
  <si>
    <t>Fixed asset roll-forward</t>
  </si>
  <si>
    <t>Beginning PP&amp;E</t>
  </si>
  <si>
    <t>Ending PP&amp;E</t>
  </si>
  <si>
    <t>D&amp;A schedule (in EUR)</t>
  </si>
  <si>
    <t xml:space="preserve"> </t>
  </si>
  <si>
    <t>Financing</t>
  </si>
  <si>
    <t>Financing facilities</t>
  </si>
  <si>
    <t>Inflation</t>
  </si>
  <si>
    <t>Interest rate Senior Facility</t>
  </si>
  <si>
    <t xml:space="preserve">Operating Cash Flow </t>
  </si>
  <si>
    <t>Interest expense</t>
  </si>
  <si>
    <t>Debt repayment</t>
  </si>
  <si>
    <t>Interest expenses</t>
  </si>
  <si>
    <t>P&amp;L</t>
  </si>
  <si>
    <t>EBIT</t>
  </si>
  <si>
    <t>EBT</t>
  </si>
  <si>
    <t>Taxes</t>
  </si>
  <si>
    <t>Net Income</t>
  </si>
  <si>
    <t>Tax rate</t>
  </si>
  <si>
    <t>10 years</t>
  </si>
  <si>
    <t>Repay Senior Facility in</t>
  </si>
  <si>
    <t>Investment in Year 0</t>
  </si>
  <si>
    <t>Net Cash Flow</t>
  </si>
  <si>
    <t>Residual value of the project</t>
  </si>
  <si>
    <t>Residual Value</t>
  </si>
  <si>
    <t>WACC</t>
  </si>
  <si>
    <t>Discounted Cash Flow</t>
  </si>
  <si>
    <t>Discounted Cash Flows</t>
  </si>
  <si>
    <t>Cash Flow</t>
  </si>
  <si>
    <t>IRR</t>
  </si>
  <si>
    <t>Input --&gt;</t>
  </si>
  <si>
    <t>Output --&gt;</t>
  </si>
  <si>
    <t>Repayment %</t>
  </si>
  <si>
    <t>Equity financing</t>
  </si>
  <si>
    <t>Repayment</t>
  </si>
  <si>
    <t>Ending Debt</t>
  </si>
  <si>
    <t>Beginning Debt</t>
  </si>
  <si>
    <t>Interest rate Debt Facility</t>
  </si>
  <si>
    <t>Repay Debt Facility in</t>
  </si>
  <si>
    <t>Cost of debt</t>
  </si>
  <si>
    <t>Debt financing</t>
  </si>
  <si>
    <t>Comparable companies</t>
  </si>
  <si>
    <t>Company A</t>
  </si>
  <si>
    <t>Beta</t>
  </si>
  <si>
    <t>Company B</t>
  </si>
  <si>
    <t>Total financing</t>
  </si>
  <si>
    <t>Debt financing %</t>
  </si>
  <si>
    <t>Equity financing %</t>
  </si>
  <si>
    <t>Total financing %</t>
  </si>
  <si>
    <t>Company C</t>
  </si>
  <si>
    <t>Comparable companies:</t>
  </si>
  <si>
    <t>Average leverage</t>
  </si>
  <si>
    <t>Average beta</t>
  </si>
  <si>
    <t>Project beta:</t>
  </si>
  <si>
    <t>Beta unlevered</t>
  </si>
  <si>
    <t>Leverage (D/E)</t>
  </si>
  <si>
    <t>Debt / Equity</t>
  </si>
  <si>
    <t>Cost of equity</t>
  </si>
  <si>
    <t>Discounted Cash Flow with Residual Value</t>
  </si>
  <si>
    <t>Present Value Residual Value</t>
  </si>
  <si>
    <t>Sensitivity analysis</t>
  </si>
  <si>
    <t>*</t>
  </si>
  <si>
    <t>Workings --&gt;</t>
  </si>
  <si>
    <t>Increase of equity</t>
  </si>
  <si>
    <t>D&amp;A Year 1</t>
  </si>
  <si>
    <t>D&amp;A Year 2</t>
  </si>
  <si>
    <t>D&amp;A Year 3</t>
  </si>
  <si>
    <t>D&amp;A Year 4</t>
  </si>
  <si>
    <t>D&amp;A Year 5</t>
  </si>
  <si>
    <t>D&amp;A Year 6</t>
  </si>
  <si>
    <t>D&amp;A Year 7</t>
  </si>
  <si>
    <t>D&amp;A Year 8</t>
  </si>
  <si>
    <t>D&amp;A Year 9</t>
  </si>
  <si>
    <t>D&amp;A Year 10</t>
  </si>
  <si>
    <t>Total D&amp;A</t>
  </si>
  <si>
    <t>Debt Facility (EUR)</t>
  </si>
  <si>
    <t>Discounted Cash Flows (NPV)</t>
  </si>
  <si>
    <t>Price per MWh (EUR)</t>
  </si>
  <si>
    <t>Senior Facility (million EUR)</t>
  </si>
  <si>
    <t>Repayment schedule</t>
  </si>
  <si>
    <t>Company X beta</t>
  </si>
  <si>
    <t>Market risk premium</t>
  </si>
  <si>
    <t>Risk-free rate</t>
  </si>
  <si>
    <t>Expected long-term inflation</t>
  </si>
  <si>
    <t>Installed capacity (MW)</t>
  </si>
  <si>
    <t>Capacity factor</t>
  </si>
  <si>
    <t>Hours per day</t>
  </si>
  <si>
    <t>Days in one year</t>
  </si>
  <si>
    <t>Energy production MWh</t>
  </si>
  <si>
    <t>Price per MWh</t>
  </si>
  <si>
    <t>Revenue (EUR)</t>
  </si>
  <si>
    <t>Capex after year 1</t>
  </si>
  <si>
    <t>Revenue</t>
  </si>
  <si>
    <t>Risk-free</t>
  </si>
  <si>
    <t>Opex</t>
  </si>
  <si>
    <t>Opex as a % of Revenue</t>
  </si>
  <si>
    <t>Opex as a % of revenue</t>
  </si>
  <si>
    <t>Create a capital budgeting model that uses the inputs listed below. Calculate the project's feasibility in terms of NPV, IRR, and perform a sensitivity analysis.</t>
  </si>
  <si>
    <t>Residual value</t>
  </si>
  <si>
    <t>Net Cash Flow with Residual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</si>
</sst>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_);[Red]\(&quot;$&quot;#,##0.00\)"/>
    <numFmt numFmtId="165" formatCode="_(* #,##0.00_);_(* \(#,##0.00\);_(* &quot;-&quot;??_);_(@_)"/>
    <numFmt numFmtId="166" formatCode="_(* #,##0_);_(* \(#,##0\);_(* &quot;-&quot;??_);_(@_)"/>
    <numFmt numFmtId="167" formatCode="0.0%"/>
    <numFmt numFmtId="168" formatCode="0.000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9" fontId="3" fillId="2" borderId="0" xfId="0" applyNumberFormat="1" applyFont="1" applyFill="1"/>
    <xf numFmtId="166" fontId="3" fillId="2" borderId="0" xfId="1" applyNumberFormat="1" applyFont="1" applyFill="1"/>
    <xf numFmtId="0" fontId="6" fillId="2" borderId="2" xfId="0" applyFont="1" applyFill="1" applyBorder="1"/>
    <xf numFmtId="0" fontId="6" fillId="2" borderId="3" xfId="0" applyFont="1" applyFill="1" applyBorder="1"/>
    <xf numFmtId="166" fontId="6" fillId="2" borderId="3" xfId="0" applyNumberFormat="1" applyFont="1" applyFill="1" applyBorder="1"/>
    <xf numFmtId="166" fontId="0" fillId="2" borderId="0" xfId="1" applyNumberFormat="1" applyFont="1" applyFill="1"/>
    <xf numFmtId="9" fontId="0" fillId="2" borderId="0" xfId="0" applyNumberFormat="1" applyFill="1"/>
    <xf numFmtId="0" fontId="5" fillId="2" borderId="4" xfId="0" applyFont="1" applyFill="1" applyBorder="1"/>
    <xf numFmtId="0" fontId="7" fillId="3" borderId="0" xfId="0" applyFont="1" applyFill="1"/>
    <xf numFmtId="166" fontId="5" fillId="2" borderId="4" xfId="1" applyNumberFormat="1" applyFont="1" applyFill="1" applyBorder="1"/>
    <xf numFmtId="0" fontId="6" fillId="2" borderId="0" xfId="0" applyFont="1" applyFill="1" applyBorder="1"/>
    <xf numFmtId="166" fontId="3" fillId="2" borderId="0" xfId="0" applyNumberFormat="1" applyFont="1" applyFill="1"/>
    <xf numFmtId="0" fontId="0" fillId="2" borderId="0" xfId="0" applyFill="1" applyBorder="1"/>
    <xf numFmtId="0" fontId="3" fillId="2" borderId="0" xfId="0" applyFont="1" applyFill="1" applyBorder="1"/>
    <xf numFmtId="166" fontId="3" fillId="2" borderId="0" xfId="1" applyNumberFormat="1" applyFont="1" applyFill="1" applyBorder="1"/>
    <xf numFmtId="166" fontId="5" fillId="2" borderId="4" xfId="0" applyNumberFormat="1" applyFont="1" applyFill="1" applyBorder="1"/>
    <xf numFmtId="0" fontId="8" fillId="2" borderId="3" xfId="0" applyFont="1" applyFill="1" applyBorder="1"/>
    <xf numFmtId="166" fontId="8" fillId="2" borderId="3" xfId="0" applyNumberFormat="1" applyFont="1" applyFill="1" applyBorder="1"/>
    <xf numFmtId="0" fontId="5" fillId="2" borderId="0" xfId="0" applyFont="1" applyFill="1"/>
    <xf numFmtId="9" fontId="3" fillId="2" borderId="0" xfId="0" applyNumberFormat="1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0" fillId="2" borderId="2" xfId="0" applyFont="1" applyFill="1" applyBorder="1"/>
    <xf numFmtId="0" fontId="11" fillId="2" borderId="0" xfId="0" applyFont="1" applyFill="1" applyBorder="1"/>
    <xf numFmtId="166" fontId="11" fillId="2" borderId="0" xfId="1" applyNumberFormat="1" applyFont="1" applyFill="1" applyBorder="1"/>
    <xf numFmtId="0" fontId="12" fillId="2" borderId="4" xfId="0" applyFont="1" applyFill="1" applyBorder="1"/>
    <xf numFmtId="166" fontId="12" fillId="2" borderId="4" xfId="0" applyNumberFormat="1" applyFont="1" applyFill="1" applyBorder="1"/>
    <xf numFmtId="0" fontId="10" fillId="2" borderId="3" xfId="0" applyFont="1" applyFill="1" applyBorder="1"/>
    <xf numFmtId="166" fontId="10" fillId="2" borderId="3" xfId="0" applyNumberFormat="1" applyFont="1" applyFill="1" applyBorder="1"/>
    <xf numFmtId="0" fontId="10" fillId="2" borderId="2" xfId="0" applyFont="1" applyFill="1" applyBorder="1" applyAlignment="1">
      <alignment horizontal="right"/>
    </xf>
    <xf numFmtId="166" fontId="12" fillId="2" borderId="0" xfId="0" applyNumberFormat="1" applyFont="1" applyFill="1" applyBorder="1"/>
    <xf numFmtId="0" fontId="10" fillId="2" borderId="0" xfId="0" applyFont="1" applyFill="1" applyBorder="1"/>
    <xf numFmtId="166" fontId="10" fillId="2" borderId="0" xfId="0" applyNumberFormat="1" applyFont="1" applyFill="1" applyBorder="1"/>
    <xf numFmtId="167" fontId="11" fillId="2" borderId="0" xfId="2" applyNumberFormat="1" applyFont="1" applyFill="1"/>
    <xf numFmtId="0" fontId="13" fillId="2" borderId="0" xfId="0" applyFont="1" applyFill="1"/>
    <xf numFmtId="167" fontId="3" fillId="2" borderId="0" xfId="2" applyNumberFormat="1" applyFont="1" applyFill="1"/>
    <xf numFmtId="9" fontId="3" fillId="2" borderId="0" xfId="2" applyFont="1" applyFill="1" applyBorder="1"/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  <xf numFmtId="166" fontId="17" fillId="3" borderId="0" xfId="1" applyNumberFormat="1" applyFont="1" applyFill="1" applyBorder="1"/>
    <xf numFmtId="166" fontId="16" fillId="2" borderId="0" xfId="1" applyNumberFormat="1" applyFont="1" applyFill="1" applyBorder="1"/>
    <xf numFmtId="0" fontId="15" fillId="2" borderId="0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9" fontId="16" fillId="2" borderId="0" xfId="2" applyFont="1" applyFill="1"/>
    <xf numFmtId="9" fontId="16" fillId="2" borderId="0" xfId="0" applyNumberFormat="1" applyFont="1" applyFill="1" applyAlignment="1">
      <alignment horizontal="right"/>
    </xf>
    <xf numFmtId="0" fontId="20" fillId="2" borderId="2" xfId="0" applyFont="1" applyFill="1" applyBorder="1"/>
    <xf numFmtId="166" fontId="18" fillId="2" borderId="4" xfId="1" applyNumberFormat="1" applyFont="1" applyFill="1" applyBorder="1"/>
    <xf numFmtId="9" fontId="16" fillId="2" borderId="0" xfId="2" applyFont="1" applyFill="1" applyBorder="1"/>
    <xf numFmtId="166" fontId="18" fillId="2" borderId="0" xfId="1" applyNumberFormat="1" applyFont="1" applyFill="1" applyBorder="1"/>
    <xf numFmtId="166" fontId="18" fillId="2" borderId="4" xfId="1" applyNumberFormat="1" applyFont="1" applyFill="1" applyBorder="1" applyAlignment="1">
      <alignment horizontal="right" vertical="top"/>
    </xf>
    <xf numFmtId="167" fontId="5" fillId="2" borderId="4" xfId="2" applyNumberFormat="1" applyFont="1" applyFill="1" applyBorder="1"/>
    <xf numFmtId="0" fontId="6" fillId="2" borderId="2" xfId="0" applyFont="1" applyFill="1" applyBorder="1" applyAlignment="1">
      <alignment horizontal="right"/>
    </xf>
    <xf numFmtId="165" fontId="3" fillId="2" borderId="0" xfId="1" applyFont="1" applyFill="1"/>
    <xf numFmtId="165" fontId="3" fillId="2" borderId="0" xfId="0" applyNumberFormat="1" applyFont="1" applyFill="1"/>
    <xf numFmtId="165" fontId="5" fillId="2" borderId="4" xfId="1" applyNumberFormat="1" applyFont="1" applyFill="1" applyBorder="1"/>
    <xf numFmtId="167" fontId="5" fillId="2" borderId="0" xfId="2" applyNumberFormat="1" applyFont="1" applyFill="1"/>
    <xf numFmtId="167" fontId="8" fillId="2" borderId="3" xfId="2" applyNumberFormat="1" applyFont="1" applyFill="1" applyBorder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25" fillId="2" borderId="0" xfId="0" applyFont="1" applyFill="1"/>
    <xf numFmtId="166" fontId="25" fillId="2" borderId="0" xfId="1" applyNumberFormat="1" applyFont="1" applyFill="1" applyBorder="1"/>
    <xf numFmtId="0" fontId="26" fillId="2" borderId="2" xfId="0" applyFont="1" applyFill="1" applyBorder="1"/>
    <xf numFmtId="166" fontId="25" fillId="2" borderId="0" xfId="1" applyNumberFormat="1" applyFont="1" applyFill="1" applyBorder="1" applyAlignment="1">
      <alignment horizontal="left"/>
    </xf>
    <xf numFmtId="167" fontId="25" fillId="2" borderId="0" xfId="2" applyNumberFormat="1" applyFont="1" applyFill="1" applyBorder="1"/>
    <xf numFmtId="0" fontId="25" fillId="2" borderId="0" xfId="0" applyFont="1" applyFill="1" applyBorder="1"/>
    <xf numFmtId="166" fontId="27" fillId="2" borderId="4" xfId="1" applyNumberFormat="1" applyFont="1" applyFill="1" applyBorder="1"/>
    <xf numFmtId="166" fontId="25" fillId="2" borderId="4" xfId="1" applyNumberFormat="1" applyFont="1" applyFill="1" applyBorder="1"/>
    <xf numFmtId="166" fontId="27" fillId="2" borderId="0" xfId="1" applyNumberFormat="1" applyFont="1" applyFill="1" applyBorder="1"/>
    <xf numFmtId="0" fontId="24" fillId="2" borderId="0" xfId="0" applyFont="1" applyFill="1" applyBorder="1"/>
    <xf numFmtId="0" fontId="27" fillId="2" borderId="0" xfId="0" applyFont="1" applyFill="1" applyBorder="1"/>
    <xf numFmtId="166" fontId="27" fillId="2" borderId="0" xfId="2" applyNumberFormat="1" applyFont="1" applyFill="1" applyBorder="1"/>
    <xf numFmtId="9" fontId="25" fillId="2" borderId="0" xfId="2" applyFont="1" applyFill="1" applyBorder="1"/>
    <xf numFmtId="164" fontId="24" fillId="2" borderId="0" xfId="0" applyNumberFormat="1" applyFont="1" applyFill="1" applyBorder="1"/>
    <xf numFmtId="167" fontId="27" fillId="2" borderId="0" xfId="0" applyNumberFormat="1" applyFont="1" applyFill="1" applyBorder="1"/>
    <xf numFmtId="9" fontId="25" fillId="2" borderId="0" xfId="0" applyNumberFormat="1" applyFont="1" applyFill="1" applyBorder="1"/>
    <xf numFmtId="168" fontId="25" fillId="2" borderId="0" xfId="2" applyNumberFormat="1" applyFont="1" applyFill="1"/>
    <xf numFmtId="167" fontId="24" fillId="2" borderId="0" xfId="0" applyNumberFormat="1" applyFont="1" applyFill="1"/>
    <xf numFmtId="0" fontId="29" fillId="2" borderId="0" xfId="0" applyFont="1" applyFill="1" applyAlignment="1">
      <alignment horizontal="center"/>
    </xf>
    <xf numFmtId="167" fontId="24" fillId="2" borderId="0" xfId="2" applyNumberFormat="1" applyFont="1" applyFill="1"/>
    <xf numFmtId="0" fontId="2" fillId="2" borderId="0" xfId="0" applyFont="1" applyFill="1"/>
    <xf numFmtId="0" fontId="3" fillId="2" borderId="0" xfId="0" applyFont="1" applyFill="1"/>
    <xf numFmtId="9" fontId="3" fillId="2" borderId="0" xfId="0" applyNumberFormat="1" applyFont="1" applyFill="1"/>
    <xf numFmtId="0" fontId="6" fillId="2" borderId="2" xfId="0" applyFont="1" applyFill="1" applyBorder="1"/>
    <xf numFmtId="0" fontId="5" fillId="2" borderId="4" xfId="0" applyFont="1" applyFill="1" applyBorder="1"/>
    <xf numFmtId="0" fontId="3" fillId="2" borderId="0" xfId="0" applyFont="1" applyFill="1" applyBorder="1"/>
    <xf numFmtId="0" fontId="5" fillId="2" borderId="0" xfId="0" applyFont="1" applyFill="1" applyBorder="1"/>
    <xf numFmtId="0" fontId="2" fillId="2" borderId="0" xfId="0" applyFont="1" applyFill="1" applyBorder="1"/>
    <xf numFmtId="2" fontId="3" fillId="2" borderId="0" xfId="0" applyNumberFormat="1" applyFont="1" applyFill="1"/>
    <xf numFmtId="167" fontId="3" fillId="2" borderId="0" xfId="0" applyNumberFormat="1" applyFont="1" applyFill="1"/>
    <xf numFmtId="9" fontId="3" fillId="2" borderId="0" xfId="2" applyFont="1" applyFill="1"/>
    <xf numFmtId="167" fontId="3" fillId="2" borderId="0" xfId="2" applyNumberFormat="1" applyFont="1" applyFill="1" applyBorder="1"/>
    <xf numFmtId="168" fontId="28" fillId="3" borderId="0" xfId="2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10</xdr:row>
      <xdr:rowOff>133350</xdr:rowOff>
    </xdr:from>
    <xdr:to>
      <xdr:col>13</xdr:col>
      <xdr:colOff>390526</xdr:colOff>
      <xdr:row>14</xdr:row>
      <xdr:rowOff>47626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824358-C398-4AB0-A3C9-A958F7B7D3C6}"/>
            </a:ext>
          </a:extLst>
        </xdr:cNvPr>
        <xdr:cNvSpPr/>
      </xdr:nvSpPr>
      <xdr:spPr>
        <a:xfrm>
          <a:off x="3819525" y="1971675"/>
          <a:ext cx="6096001" cy="6381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/>
            <a:t>Installed capacity (MW) x Capacity factor x Days in the year x Hours per day = Energy output (MWh)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7"/>
  <sheetViews>
    <sheetView workbookViewId="0">
      <selection activeCell="E20" sqref="E20"/>
    </sheetView>
  </sheetViews>
  <sheetFormatPr defaultColWidth="9.109375" defaultRowHeight="11.4" x14ac:dyDescent="0.2"/>
  <cols>
    <col min="1" max="1" width="2" style="66" customWidth="1"/>
    <col min="2" max="16384" width="9.109375" style="66"/>
  </cols>
  <sheetData>
    <row r="17" spans="2:2" ht="50.4" x14ac:dyDescent="0.85">
      <c r="B17" s="6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59"/>
  <sheetViews>
    <sheetView workbookViewId="0"/>
  </sheetViews>
  <sheetFormatPr defaultColWidth="9.109375" defaultRowHeight="11.4" x14ac:dyDescent="0.2"/>
  <cols>
    <col min="1" max="1" width="2" style="90" customWidth="1"/>
    <col min="2" max="2" width="35.6640625" style="90" bestFit="1" customWidth="1"/>
    <col min="3" max="3" width="12" style="90" bestFit="1" customWidth="1"/>
    <col min="4" max="4" width="10.88671875" style="90" customWidth="1"/>
    <col min="5" max="16384" width="9.109375" style="90"/>
  </cols>
  <sheetData>
    <row r="1" spans="2:3" s="89" customFormat="1" ht="15.6" x14ac:dyDescent="0.3">
      <c r="B1" s="4" t="s">
        <v>11</v>
      </c>
    </row>
    <row r="2" spans="2:3" s="89" customFormat="1" ht="13.8" x14ac:dyDescent="0.25"/>
    <row r="3" spans="2:3" s="89" customFormat="1" ht="13.8" x14ac:dyDescent="0.25">
      <c r="B3" s="90" t="s">
        <v>111</v>
      </c>
    </row>
    <row r="4" spans="2:3" s="89" customFormat="1" ht="13.8" x14ac:dyDescent="0.25"/>
    <row r="5" spans="2:3" s="89" customFormat="1" ht="13.8" x14ac:dyDescent="0.25">
      <c r="B5" s="90" t="s">
        <v>10</v>
      </c>
      <c r="C5" s="13">
        <v>1</v>
      </c>
    </row>
    <row r="6" spans="2:3" s="89" customFormat="1" ht="13.8" x14ac:dyDescent="0.25"/>
    <row r="7" spans="2:3" s="89" customFormat="1" ht="14.4" thickBot="1" x14ac:dyDescent="0.3">
      <c r="B7" s="92" t="s">
        <v>98</v>
      </c>
      <c r="C7" s="92"/>
    </row>
    <row r="8" spans="2:3" s="89" customFormat="1" ht="13.8" x14ac:dyDescent="0.25">
      <c r="B8" s="90" t="s">
        <v>1</v>
      </c>
      <c r="C8" s="90">
        <v>220</v>
      </c>
    </row>
    <row r="9" spans="2:3" s="89" customFormat="1" ht="13.8" x14ac:dyDescent="0.25">
      <c r="B9" s="90" t="s">
        <v>0</v>
      </c>
      <c r="C9" s="90">
        <v>200</v>
      </c>
    </row>
    <row r="10" spans="2:3" s="89" customFormat="1" ht="13.8" x14ac:dyDescent="0.25">
      <c r="B10" s="90" t="s">
        <v>2</v>
      </c>
      <c r="C10" s="90">
        <v>180</v>
      </c>
    </row>
    <row r="11" spans="2:3" s="89" customFormat="1" ht="13.8" x14ac:dyDescent="0.25">
      <c r="B11" s="90"/>
      <c r="C11" s="90"/>
    </row>
    <row r="12" spans="2:3" s="89" customFormat="1" ht="13.8" x14ac:dyDescent="0.25">
      <c r="B12" s="90" t="s">
        <v>99</v>
      </c>
      <c r="C12" s="99">
        <v>0.25</v>
      </c>
    </row>
    <row r="13" spans="2:3" s="89" customFormat="1" ht="13.8" x14ac:dyDescent="0.25">
      <c r="B13" s="90" t="s">
        <v>101</v>
      </c>
      <c r="C13" s="90">
        <v>365</v>
      </c>
    </row>
    <row r="14" spans="2:3" s="89" customFormat="1" ht="13.8" x14ac:dyDescent="0.25">
      <c r="B14" s="90" t="s">
        <v>100</v>
      </c>
      <c r="C14" s="90">
        <v>24</v>
      </c>
    </row>
    <row r="15" spans="2:3" s="89" customFormat="1" ht="13.8" x14ac:dyDescent="0.25"/>
    <row r="16" spans="2:3" s="89" customFormat="1" ht="14.4" thickBot="1" x14ac:dyDescent="0.3">
      <c r="B16" s="92" t="s">
        <v>21</v>
      </c>
      <c r="C16" s="92"/>
    </row>
    <row r="17" spans="2:7" s="89" customFormat="1" ht="13.8" x14ac:dyDescent="0.25">
      <c r="B17" s="90" t="s">
        <v>3</v>
      </c>
      <c r="C17" s="91">
        <v>0.01</v>
      </c>
    </row>
    <row r="18" spans="2:7" s="89" customFormat="1" ht="13.8" x14ac:dyDescent="0.25"/>
    <row r="19" spans="2:7" s="89" customFormat="1" ht="14.4" thickBot="1" x14ac:dyDescent="0.3">
      <c r="B19" s="92" t="s">
        <v>91</v>
      </c>
      <c r="C19" s="92"/>
      <c r="F19" s="15" t="s">
        <v>18</v>
      </c>
      <c r="G19" s="15"/>
    </row>
    <row r="20" spans="2:7" s="89" customFormat="1" ht="13.8" x14ac:dyDescent="0.25">
      <c r="B20" s="90" t="s">
        <v>1</v>
      </c>
      <c r="C20" s="6">
        <v>220</v>
      </c>
      <c r="F20" s="94"/>
      <c r="G20" s="19"/>
    </row>
    <row r="21" spans="2:7" s="89" customFormat="1" ht="13.8" x14ac:dyDescent="0.25">
      <c r="B21" s="90" t="s">
        <v>0</v>
      </c>
      <c r="C21" s="6">
        <v>210</v>
      </c>
      <c r="F21" s="94"/>
      <c r="G21" s="19"/>
    </row>
    <row r="22" spans="2:7" s="89" customFormat="1" ht="13.8" x14ac:dyDescent="0.25">
      <c r="B22" s="90" t="s">
        <v>2</v>
      </c>
      <c r="C22" s="6">
        <v>200</v>
      </c>
      <c r="F22" s="94"/>
      <c r="G22" s="19"/>
    </row>
    <row r="23" spans="2:7" s="89" customFormat="1" ht="13.8" x14ac:dyDescent="0.25">
      <c r="F23" s="94"/>
      <c r="G23" s="19"/>
    </row>
    <row r="24" spans="2:7" s="89" customFormat="1" ht="14.4" thickBot="1" x14ac:dyDescent="0.3">
      <c r="B24" s="92" t="s">
        <v>109</v>
      </c>
      <c r="C24" s="92"/>
      <c r="F24" s="94"/>
      <c r="G24" s="19"/>
    </row>
    <row r="25" spans="2:7" s="89" customFormat="1" ht="13.8" x14ac:dyDescent="0.25">
      <c r="B25" s="90" t="s">
        <v>1</v>
      </c>
      <c r="C25" s="91">
        <v>-0.15</v>
      </c>
      <c r="F25" s="94"/>
      <c r="G25" s="19"/>
    </row>
    <row r="26" spans="2:7" s="89" customFormat="1" ht="13.8" x14ac:dyDescent="0.25">
      <c r="B26" s="90" t="s">
        <v>0</v>
      </c>
      <c r="C26" s="91">
        <v>-0.16</v>
      </c>
      <c r="F26" s="94"/>
      <c r="G26" s="19"/>
    </row>
    <row r="27" spans="2:7" s="89" customFormat="1" ht="13.8" x14ac:dyDescent="0.25">
      <c r="B27" s="90" t="s">
        <v>2</v>
      </c>
      <c r="C27" s="91">
        <v>0.17</v>
      </c>
      <c r="F27" s="94"/>
      <c r="G27" s="19"/>
    </row>
    <row r="28" spans="2:7" s="89" customFormat="1" ht="13.8" x14ac:dyDescent="0.25">
      <c r="F28" s="94"/>
      <c r="G28" s="19"/>
    </row>
    <row r="29" spans="2:7" s="89" customFormat="1" ht="13.8" x14ac:dyDescent="0.25">
      <c r="F29" s="94"/>
      <c r="G29" s="19"/>
    </row>
    <row r="30" spans="2:7" s="89" customFormat="1" ht="13.8" x14ac:dyDescent="0.25">
      <c r="F30" s="94"/>
      <c r="G30" s="19"/>
    </row>
    <row r="31" spans="2:7" s="96" customFormat="1" ht="14.4" thickBot="1" x14ac:dyDescent="0.3">
      <c r="B31" s="92" t="s">
        <v>6</v>
      </c>
      <c r="C31" s="92"/>
    </row>
    <row r="32" spans="2:7" s="89" customFormat="1" ht="13.8" x14ac:dyDescent="0.25">
      <c r="B32" s="90" t="s">
        <v>1</v>
      </c>
      <c r="C32" s="6">
        <v>500000000</v>
      </c>
    </row>
    <row r="33" spans="2:15" x14ac:dyDescent="0.2">
      <c r="B33" s="90" t="s">
        <v>0</v>
      </c>
      <c r="C33" s="6">
        <v>510000000</v>
      </c>
    </row>
    <row r="34" spans="2:15" x14ac:dyDescent="0.2">
      <c r="B34" s="90" t="s">
        <v>2</v>
      </c>
      <c r="C34" s="6">
        <v>520000000</v>
      </c>
    </row>
    <row r="36" spans="2:15" x14ac:dyDescent="0.2">
      <c r="B36" s="90" t="s">
        <v>8</v>
      </c>
      <c r="C36" s="6">
        <v>10</v>
      </c>
    </row>
    <row r="37" spans="2:15" x14ac:dyDescent="0.2">
      <c r="B37" s="90" t="s">
        <v>105</v>
      </c>
      <c r="C37" s="91">
        <v>0.03</v>
      </c>
    </row>
    <row r="38" spans="2:15" ht="12" x14ac:dyDescent="0.25">
      <c r="B38" s="95"/>
      <c r="C38" s="95"/>
    </row>
    <row r="39" spans="2:15" ht="12.6" thickBot="1" x14ac:dyDescent="0.3">
      <c r="B39" s="92" t="s">
        <v>20</v>
      </c>
      <c r="C39" s="92"/>
    </row>
    <row r="40" spans="2:15" x14ac:dyDescent="0.2">
      <c r="B40" s="90" t="s">
        <v>92</v>
      </c>
      <c r="C40" s="6">
        <v>300000000</v>
      </c>
    </row>
    <row r="41" spans="2:15" x14ac:dyDescent="0.2">
      <c r="B41" s="90" t="s">
        <v>22</v>
      </c>
      <c r="C41" s="91">
        <v>0.04</v>
      </c>
    </row>
    <row r="42" spans="2:15" x14ac:dyDescent="0.2">
      <c r="B42" s="90" t="s">
        <v>34</v>
      </c>
      <c r="C42" s="24" t="s">
        <v>33</v>
      </c>
    </row>
    <row r="43" spans="2:15" x14ac:dyDescent="0.2">
      <c r="C43" s="91"/>
    </row>
    <row r="44" spans="2:15" ht="12.6" thickBot="1" x14ac:dyDescent="0.3">
      <c r="B44" s="92" t="s">
        <v>93</v>
      </c>
      <c r="C44" s="92">
        <v>0</v>
      </c>
      <c r="D44" s="92">
        <v>1</v>
      </c>
      <c r="E44" s="92">
        <v>2</v>
      </c>
      <c r="F44" s="92">
        <v>3</v>
      </c>
      <c r="G44" s="92">
        <v>4</v>
      </c>
      <c r="H44" s="92">
        <v>5</v>
      </c>
      <c r="I44" s="92">
        <v>6</v>
      </c>
      <c r="J44" s="92">
        <v>7</v>
      </c>
      <c r="K44" s="92">
        <v>8</v>
      </c>
      <c r="L44" s="92">
        <v>9</v>
      </c>
      <c r="M44" s="92">
        <v>10</v>
      </c>
      <c r="N44" s="92">
        <v>11</v>
      </c>
      <c r="O44" s="92">
        <v>12</v>
      </c>
    </row>
    <row r="45" spans="2:15" x14ac:dyDescent="0.2">
      <c r="B45" s="19" t="s">
        <v>46</v>
      </c>
      <c r="C45" s="42">
        <v>0</v>
      </c>
      <c r="D45" s="42">
        <v>0</v>
      </c>
      <c r="E45" s="42">
        <v>0.05</v>
      </c>
      <c r="F45" s="42">
        <v>0.1</v>
      </c>
      <c r="G45" s="42">
        <v>0.1</v>
      </c>
      <c r="H45" s="42">
        <v>0.1</v>
      </c>
      <c r="I45" s="42">
        <v>0.1</v>
      </c>
      <c r="J45" s="42">
        <v>0.1</v>
      </c>
      <c r="K45" s="42">
        <v>0.1</v>
      </c>
      <c r="L45" s="42">
        <v>0.1</v>
      </c>
      <c r="M45" s="42">
        <v>0.1</v>
      </c>
      <c r="N45" s="91">
        <v>0.1</v>
      </c>
      <c r="O45" s="91">
        <v>0.05</v>
      </c>
    </row>
    <row r="47" spans="2:15" x14ac:dyDescent="0.2">
      <c r="B47" s="90" t="s">
        <v>32</v>
      </c>
      <c r="C47" s="91">
        <v>0.3</v>
      </c>
    </row>
    <row r="48" spans="2:15" x14ac:dyDescent="0.2">
      <c r="B48" s="90" t="s">
        <v>37</v>
      </c>
      <c r="C48" s="6">
        <v>100000000</v>
      </c>
    </row>
    <row r="50" spans="2:4" ht="12.6" thickBot="1" x14ac:dyDescent="0.3">
      <c r="B50" s="92" t="s">
        <v>55</v>
      </c>
      <c r="C50" s="59" t="s">
        <v>69</v>
      </c>
      <c r="D50" s="59" t="s">
        <v>57</v>
      </c>
    </row>
    <row r="51" spans="2:4" x14ac:dyDescent="0.2">
      <c r="B51" s="90" t="s">
        <v>56</v>
      </c>
      <c r="C51" s="91">
        <v>0.7</v>
      </c>
      <c r="D51" s="97">
        <v>0.5</v>
      </c>
    </row>
    <row r="52" spans="2:4" x14ac:dyDescent="0.2">
      <c r="B52" s="90" t="s">
        <v>58</v>
      </c>
      <c r="C52" s="91">
        <v>0.8</v>
      </c>
      <c r="D52" s="97">
        <v>0.4</v>
      </c>
    </row>
    <row r="53" spans="2:4" x14ac:dyDescent="0.2">
      <c r="B53" s="90" t="s">
        <v>63</v>
      </c>
      <c r="C53" s="91">
        <v>0.65</v>
      </c>
      <c r="D53" s="97">
        <v>0.35</v>
      </c>
    </row>
    <row r="54" spans="2:4" x14ac:dyDescent="0.2">
      <c r="C54" s="91"/>
    </row>
    <row r="55" spans="2:4" x14ac:dyDescent="0.2">
      <c r="B55" s="94" t="s">
        <v>94</v>
      </c>
      <c r="C55" s="94">
        <v>0.9</v>
      </c>
    </row>
    <row r="56" spans="2:4" x14ac:dyDescent="0.2">
      <c r="B56" s="94"/>
      <c r="C56" s="94"/>
    </row>
    <row r="57" spans="2:4" x14ac:dyDescent="0.2">
      <c r="B57" s="94"/>
      <c r="C57" s="94"/>
    </row>
    <row r="58" spans="2:4" x14ac:dyDescent="0.2">
      <c r="B58" s="90" t="s">
        <v>95</v>
      </c>
      <c r="C58" s="98">
        <v>5.5E-2</v>
      </c>
    </row>
    <row r="59" spans="2:4" x14ac:dyDescent="0.2">
      <c r="B59" s="90" t="s">
        <v>96</v>
      </c>
      <c r="C59" s="98">
        <v>0.02</v>
      </c>
    </row>
  </sheetData>
  <dataValidations count="1">
    <dataValidation type="list" allowBlank="1" showInputMessage="1" showErrorMessage="1" sqref="C5" xr:uid="{00000000-0002-0000-0100-000000000000}">
      <formula1>"1,2,3"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B17"/>
  <sheetViews>
    <sheetView workbookViewId="0">
      <selection activeCell="E17" sqref="E17"/>
    </sheetView>
  </sheetViews>
  <sheetFormatPr defaultColWidth="9.109375" defaultRowHeight="11.4" x14ac:dyDescent="0.2"/>
  <cols>
    <col min="1" max="1" width="2" style="3" customWidth="1"/>
    <col min="2" max="16384" width="9.109375" style="3"/>
  </cols>
  <sheetData>
    <row r="17" spans="2:2" ht="50.4" x14ac:dyDescent="0.85">
      <c r="B17" s="40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32"/>
  <sheetViews>
    <sheetView workbookViewId="0">
      <selection activeCell="B1" sqref="B1"/>
    </sheetView>
  </sheetViews>
  <sheetFormatPr defaultColWidth="9.109375" defaultRowHeight="11.4" x14ac:dyDescent="0.2"/>
  <cols>
    <col min="1" max="1" width="2" style="3" customWidth="1"/>
    <col min="2" max="2" width="30.33203125" style="3" bestFit="1" customWidth="1"/>
    <col min="3" max="12" width="12" style="3" bestFit="1" customWidth="1"/>
    <col min="13" max="16384" width="9.109375" style="3"/>
  </cols>
  <sheetData>
    <row r="1" spans="2:12" ht="15.6" x14ac:dyDescent="0.3">
      <c r="B1" s="4" t="s">
        <v>4</v>
      </c>
    </row>
    <row r="3" spans="2:12" ht="12.6" thickBot="1" x14ac:dyDescent="0.3">
      <c r="B3" s="92" t="s">
        <v>98</v>
      </c>
      <c r="C3" s="92"/>
    </row>
    <row r="4" spans="2:12" s="90" customFormat="1" x14ac:dyDescent="0.2">
      <c r="B4" s="90" t="s">
        <v>1</v>
      </c>
      <c r="C4" s="90">
        <f>Drivers!C8</f>
        <v>220</v>
      </c>
    </row>
    <row r="5" spans="2:12" s="90" customFormat="1" x14ac:dyDescent="0.2">
      <c r="B5" s="90" t="s">
        <v>0</v>
      </c>
      <c r="C5" s="90">
        <f>Drivers!C9</f>
        <v>200</v>
      </c>
    </row>
    <row r="6" spans="2:12" s="90" customFormat="1" x14ac:dyDescent="0.2">
      <c r="B6" s="90" t="s">
        <v>2</v>
      </c>
      <c r="C6" s="90">
        <f>Drivers!C10</f>
        <v>180</v>
      </c>
    </row>
    <row r="7" spans="2:12" s="90" customFormat="1" x14ac:dyDescent="0.2"/>
    <row r="8" spans="2:12" s="90" customFormat="1" x14ac:dyDescent="0.2">
      <c r="B8" s="3" t="s">
        <v>99</v>
      </c>
      <c r="C8" s="99">
        <f>Drivers!C12</f>
        <v>0.25</v>
      </c>
    </row>
    <row r="9" spans="2:12" s="90" customFormat="1" x14ac:dyDescent="0.2">
      <c r="B9" s="90" t="str">
        <f>Drivers!B13</f>
        <v>Days in one year</v>
      </c>
      <c r="C9" s="90">
        <f>Drivers!C13</f>
        <v>365</v>
      </c>
    </row>
    <row r="10" spans="2:12" s="90" customFormat="1" x14ac:dyDescent="0.2">
      <c r="B10" s="90" t="str">
        <f>Drivers!B14</f>
        <v>Hours per day</v>
      </c>
      <c r="C10" s="90">
        <f>Drivers!C14</f>
        <v>24</v>
      </c>
    </row>
    <row r="11" spans="2:12" s="90" customFormat="1" x14ac:dyDescent="0.2"/>
    <row r="12" spans="2:12" s="90" customFormat="1" x14ac:dyDescent="0.2"/>
    <row r="13" spans="2:12" ht="12.6" thickBot="1" x14ac:dyDescent="0.3">
      <c r="B13" s="7" t="s">
        <v>102</v>
      </c>
      <c r="C13" s="7">
        <v>1</v>
      </c>
      <c r="D13" s="7">
        <v>2</v>
      </c>
      <c r="E13" s="7">
        <v>3</v>
      </c>
      <c r="F13" s="7">
        <v>4</v>
      </c>
      <c r="G13" s="7">
        <v>5</v>
      </c>
      <c r="H13" s="7">
        <v>6</v>
      </c>
      <c r="I13" s="7">
        <v>7</v>
      </c>
      <c r="J13" s="7">
        <v>8</v>
      </c>
      <c r="K13" s="7">
        <v>9</v>
      </c>
      <c r="L13" s="7">
        <v>10</v>
      </c>
    </row>
    <row r="14" spans="2:12" x14ac:dyDescent="0.2">
      <c r="B14" s="3" t="s">
        <v>1</v>
      </c>
      <c r="C14" s="6">
        <f>$C4*Revenue!$C$8*Revenue!$C$9*Revenue!$C$10</f>
        <v>481800</v>
      </c>
      <c r="D14" s="6">
        <f>$C4*Revenue!$C$8*Revenue!$C$9*Revenue!$C$10</f>
        <v>481800</v>
      </c>
      <c r="E14" s="6">
        <f>$C4*Revenue!$C$8*Revenue!$C$9*Revenue!$C$10</f>
        <v>481800</v>
      </c>
      <c r="F14" s="6">
        <f>$C4*Revenue!$C$8*Revenue!$C$9*Revenue!$C$10</f>
        <v>481800</v>
      </c>
      <c r="G14" s="6">
        <f>$C4*Revenue!$C$8*Revenue!$C$9*Revenue!$C$10</f>
        <v>481800</v>
      </c>
      <c r="H14" s="6">
        <f>$C4*Revenue!$C$8*Revenue!$C$9*Revenue!$C$10</f>
        <v>481800</v>
      </c>
      <c r="I14" s="6">
        <f>$C4*Revenue!$C$8*Revenue!$C$9*Revenue!$C$10</f>
        <v>481800</v>
      </c>
      <c r="J14" s="6">
        <f>$C4*Revenue!$C$8*Revenue!$C$9*Revenue!$C$10</f>
        <v>481800</v>
      </c>
      <c r="K14" s="6">
        <f>$C4*Revenue!$C$8*Revenue!$C$9*Revenue!$C$10</f>
        <v>481800</v>
      </c>
      <c r="L14" s="6">
        <f>$C4*Revenue!$C$8*Revenue!$C$9*Revenue!$C$10</f>
        <v>481800</v>
      </c>
    </row>
    <row r="15" spans="2:12" x14ac:dyDescent="0.2">
      <c r="B15" s="3" t="s">
        <v>0</v>
      </c>
      <c r="C15" s="6">
        <f>$C5*Revenue!$C$8*Revenue!$C$9*Revenue!$C$10</f>
        <v>438000</v>
      </c>
      <c r="D15" s="6">
        <f>$C5*Revenue!$C$8*Revenue!$C$9*Revenue!$C$10</f>
        <v>438000</v>
      </c>
      <c r="E15" s="6">
        <f>$C5*Revenue!$C$8*Revenue!$C$9*Revenue!$C$10</f>
        <v>438000</v>
      </c>
      <c r="F15" s="6">
        <f>$C5*Revenue!$C$8*Revenue!$C$9*Revenue!$C$10</f>
        <v>438000</v>
      </c>
      <c r="G15" s="6">
        <f>$C5*Revenue!$C$8*Revenue!$C$9*Revenue!$C$10</f>
        <v>438000</v>
      </c>
      <c r="H15" s="6">
        <f>$C5*Revenue!$C$8*Revenue!$C$9*Revenue!$C$10</f>
        <v>438000</v>
      </c>
      <c r="I15" s="6">
        <f>$C5*Revenue!$C$8*Revenue!$C$9*Revenue!$C$10</f>
        <v>438000</v>
      </c>
      <c r="J15" s="6">
        <f>$C5*Revenue!$C$8*Revenue!$C$9*Revenue!$C$10</f>
        <v>438000</v>
      </c>
      <c r="K15" s="6">
        <f>$C5*Revenue!$C$8*Revenue!$C$9*Revenue!$C$10</f>
        <v>438000</v>
      </c>
      <c r="L15" s="6">
        <f>$C5*Revenue!$C$8*Revenue!$C$9*Revenue!$C$10</f>
        <v>438000</v>
      </c>
    </row>
    <row r="16" spans="2:12" x14ac:dyDescent="0.2">
      <c r="B16" s="3" t="s">
        <v>2</v>
      </c>
      <c r="C16" s="6">
        <f>$C6*Revenue!$C$8*Revenue!$C$9*Revenue!$C$10</f>
        <v>394200</v>
      </c>
      <c r="D16" s="6">
        <f>$C6*Revenue!$C$8*Revenue!$C$9*Revenue!$C$10</f>
        <v>394200</v>
      </c>
      <c r="E16" s="6">
        <f>$C6*Revenue!$C$8*Revenue!$C$9*Revenue!$C$10</f>
        <v>394200</v>
      </c>
      <c r="F16" s="6">
        <f>$C6*Revenue!$C$8*Revenue!$C$9*Revenue!$C$10</f>
        <v>394200</v>
      </c>
      <c r="G16" s="6">
        <f>$C6*Revenue!$C$8*Revenue!$C$9*Revenue!$C$10</f>
        <v>394200</v>
      </c>
      <c r="H16" s="6">
        <f>$C6*Revenue!$C$8*Revenue!$C$9*Revenue!$C$10</f>
        <v>394200</v>
      </c>
      <c r="I16" s="6">
        <f>$C6*Revenue!$C$8*Revenue!$C$9*Revenue!$C$10</f>
        <v>394200</v>
      </c>
      <c r="J16" s="6">
        <f>$C6*Revenue!$C$8*Revenue!$C$9*Revenue!$C$10</f>
        <v>394200</v>
      </c>
      <c r="K16" s="6">
        <f>$C6*Revenue!$C$8*Revenue!$C$9*Revenue!$C$10</f>
        <v>394200</v>
      </c>
      <c r="L16" s="6">
        <f>$C6*Revenue!$C$8*Revenue!$C$9*Revenue!$C$10</f>
        <v>394200</v>
      </c>
    </row>
    <row r="17" spans="2:12" ht="12" x14ac:dyDescent="0.25">
      <c r="B17" s="12" t="s">
        <v>10</v>
      </c>
      <c r="C17" s="14">
        <f>CHOOSE(Drivers!$C$5,Revenue!C14,Revenue!C15,Revenue!C16)</f>
        <v>481800</v>
      </c>
      <c r="D17" s="14">
        <f>CHOOSE(Drivers!$C$5,Revenue!D14,Revenue!D15,Revenue!D16)</f>
        <v>481800</v>
      </c>
      <c r="E17" s="14">
        <f>CHOOSE(Drivers!$C$5,Revenue!E14,Revenue!E15,Revenue!E16)</f>
        <v>481800</v>
      </c>
      <c r="F17" s="14">
        <f>CHOOSE(Drivers!$C$5,Revenue!F14,Revenue!F15,Revenue!F16)</f>
        <v>481800</v>
      </c>
      <c r="G17" s="14">
        <f>CHOOSE(Drivers!$C$5,Revenue!G14,Revenue!G15,Revenue!G16)</f>
        <v>481800</v>
      </c>
      <c r="H17" s="14">
        <f>CHOOSE(Drivers!$C$5,Revenue!H14,Revenue!H15,Revenue!H16)</f>
        <v>481800</v>
      </c>
      <c r="I17" s="14">
        <f>CHOOSE(Drivers!$C$5,Revenue!I14,Revenue!I15,Revenue!I16)</f>
        <v>481800</v>
      </c>
      <c r="J17" s="14">
        <f>CHOOSE(Drivers!$C$5,Revenue!J14,Revenue!J15,Revenue!J16)</f>
        <v>481800</v>
      </c>
      <c r="K17" s="14">
        <f>CHOOSE(Drivers!$C$5,Revenue!K14,Revenue!K15,Revenue!K16)</f>
        <v>481800</v>
      </c>
      <c r="L17" s="14">
        <f>CHOOSE(Drivers!$C$5,Revenue!L14,Revenue!L15,Revenue!L16)</f>
        <v>481800</v>
      </c>
    </row>
    <row r="19" spans="2:12" x14ac:dyDescent="0.2">
      <c r="B19" s="3" t="s">
        <v>97</v>
      </c>
      <c r="C19" s="5">
        <f>Drivers!C17</f>
        <v>0.01</v>
      </c>
    </row>
    <row r="21" spans="2:12" ht="12.6" thickBot="1" x14ac:dyDescent="0.3">
      <c r="B21" s="92" t="s">
        <v>103</v>
      </c>
      <c r="C21" s="92">
        <v>1</v>
      </c>
      <c r="D21" s="92">
        <v>2</v>
      </c>
      <c r="E21" s="92">
        <v>3</v>
      </c>
      <c r="F21" s="92">
        <v>4</v>
      </c>
      <c r="G21" s="92">
        <v>5</v>
      </c>
      <c r="H21" s="92">
        <v>6</v>
      </c>
      <c r="I21" s="92">
        <v>7</v>
      </c>
      <c r="J21" s="92">
        <v>8</v>
      </c>
      <c r="K21" s="92">
        <v>9</v>
      </c>
      <c r="L21" s="92">
        <v>10</v>
      </c>
    </row>
    <row r="22" spans="2:12" x14ac:dyDescent="0.2">
      <c r="B22" s="90" t="s">
        <v>1</v>
      </c>
      <c r="C22" s="6">
        <f>Drivers!C20</f>
        <v>220</v>
      </c>
      <c r="D22" s="6">
        <f>C22*(1+$C$19)</f>
        <v>222.2</v>
      </c>
      <c r="E22" s="6">
        <f t="shared" ref="E22:L22" si="0">D22*(1+$C$19)</f>
        <v>224.422</v>
      </c>
      <c r="F22" s="6">
        <f t="shared" si="0"/>
        <v>226.66622000000001</v>
      </c>
      <c r="G22" s="6">
        <f t="shared" si="0"/>
        <v>228.93288220000002</v>
      </c>
      <c r="H22" s="6">
        <f t="shared" si="0"/>
        <v>231.22221102200004</v>
      </c>
      <c r="I22" s="6">
        <f t="shared" si="0"/>
        <v>233.53443313222004</v>
      </c>
      <c r="J22" s="6">
        <f t="shared" si="0"/>
        <v>235.86977746354225</v>
      </c>
      <c r="K22" s="6">
        <f t="shared" si="0"/>
        <v>238.22847523817768</v>
      </c>
      <c r="L22" s="6">
        <f t="shared" si="0"/>
        <v>240.61075999055947</v>
      </c>
    </row>
    <row r="23" spans="2:12" s="90" customFormat="1" x14ac:dyDescent="0.2">
      <c r="B23" s="90" t="s">
        <v>0</v>
      </c>
      <c r="C23" s="6">
        <f>Drivers!C21</f>
        <v>210</v>
      </c>
      <c r="D23" s="6">
        <f t="shared" ref="D23:L23" si="1">C23*(1+$C$19)</f>
        <v>212.1</v>
      </c>
      <c r="E23" s="6">
        <f t="shared" si="1"/>
        <v>214.221</v>
      </c>
      <c r="F23" s="6">
        <f t="shared" si="1"/>
        <v>216.36321000000001</v>
      </c>
      <c r="G23" s="6">
        <f t="shared" si="1"/>
        <v>218.52684210000001</v>
      </c>
      <c r="H23" s="6">
        <f t="shared" si="1"/>
        <v>220.712110521</v>
      </c>
      <c r="I23" s="6">
        <f t="shared" si="1"/>
        <v>222.91923162621001</v>
      </c>
      <c r="J23" s="6">
        <f t="shared" si="1"/>
        <v>225.14842394247211</v>
      </c>
      <c r="K23" s="6">
        <f t="shared" si="1"/>
        <v>227.39990818189682</v>
      </c>
      <c r="L23" s="6">
        <f t="shared" si="1"/>
        <v>229.67390726371579</v>
      </c>
    </row>
    <row r="24" spans="2:12" s="90" customFormat="1" x14ac:dyDescent="0.2">
      <c r="B24" s="90" t="s">
        <v>2</v>
      </c>
      <c r="C24" s="6">
        <f>Drivers!C22</f>
        <v>200</v>
      </c>
      <c r="D24" s="6">
        <f t="shared" ref="D24:L24" si="2">C24*(1+$C$19)</f>
        <v>202</v>
      </c>
      <c r="E24" s="6">
        <f t="shared" si="2"/>
        <v>204.02</v>
      </c>
      <c r="F24" s="6">
        <f t="shared" si="2"/>
        <v>206.06020000000001</v>
      </c>
      <c r="G24" s="6">
        <f t="shared" si="2"/>
        <v>208.120802</v>
      </c>
      <c r="H24" s="6">
        <f t="shared" si="2"/>
        <v>210.20201001999999</v>
      </c>
      <c r="I24" s="6">
        <f t="shared" si="2"/>
        <v>212.3040301202</v>
      </c>
      <c r="J24" s="6">
        <f t="shared" si="2"/>
        <v>214.42707042140199</v>
      </c>
      <c r="K24" s="6">
        <f t="shared" si="2"/>
        <v>216.57134112561602</v>
      </c>
      <c r="L24" s="6">
        <f t="shared" si="2"/>
        <v>218.73705453687217</v>
      </c>
    </row>
    <row r="25" spans="2:12" s="90" customFormat="1" ht="12" x14ac:dyDescent="0.25">
      <c r="B25" s="93" t="s">
        <v>10</v>
      </c>
      <c r="C25" s="14">
        <f>CHOOSE(Drivers!$C$5,Revenue!C22,Revenue!C23,Revenue!C24)</f>
        <v>220</v>
      </c>
      <c r="D25" s="14">
        <f>CHOOSE(Drivers!$C$5,Revenue!D22,Revenue!D23,Revenue!D24)</f>
        <v>222.2</v>
      </c>
      <c r="E25" s="14">
        <f>CHOOSE(Drivers!$C$5,Revenue!E22,Revenue!E23,Revenue!E24)</f>
        <v>224.422</v>
      </c>
      <c r="F25" s="14">
        <f>CHOOSE(Drivers!$C$5,Revenue!F22,Revenue!F23,Revenue!F24)</f>
        <v>226.66622000000001</v>
      </c>
      <c r="G25" s="14">
        <f>CHOOSE(Drivers!$C$5,Revenue!G22,Revenue!G23,Revenue!G24)</f>
        <v>228.93288220000002</v>
      </c>
      <c r="H25" s="14">
        <f>CHOOSE(Drivers!$C$5,Revenue!H22,Revenue!H23,Revenue!H24)</f>
        <v>231.22221102200004</v>
      </c>
      <c r="I25" s="14">
        <f>CHOOSE(Drivers!$C$5,Revenue!I22,Revenue!I23,Revenue!I24)</f>
        <v>233.53443313222004</v>
      </c>
      <c r="J25" s="14">
        <f>CHOOSE(Drivers!$C$5,Revenue!J22,Revenue!J23,Revenue!J24)</f>
        <v>235.86977746354225</v>
      </c>
      <c r="K25" s="14">
        <f>CHOOSE(Drivers!$C$5,Revenue!K22,Revenue!K23,Revenue!K24)</f>
        <v>238.22847523817768</v>
      </c>
      <c r="L25" s="14">
        <f>CHOOSE(Drivers!$C$5,Revenue!L22,Revenue!L23,Revenue!L24)</f>
        <v>240.61075999055947</v>
      </c>
    </row>
    <row r="26" spans="2:12" s="90" customFormat="1" x14ac:dyDescent="0.2">
      <c r="C26" s="6"/>
      <c r="D26" s="6"/>
      <c r="E26" s="6"/>
      <c r="F26" s="6"/>
      <c r="G26" s="6"/>
      <c r="H26" s="6"/>
      <c r="I26" s="6"/>
      <c r="J26" s="6"/>
      <c r="K26" s="6"/>
      <c r="L26" s="6"/>
    </row>
    <row r="28" spans="2:12" ht="12.6" thickBot="1" x14ac:dyDescent="0.3">
      <c r="B28" s="7" t="s">
        <v>104</v>
      </c>
      <c r="C28" s="7">
        <v>1</v>
      </c>
      <c r="D28" s="7">
        <v>2</v>
      </c>
      <c r="E28" s="7">
        <v>3</v>
      </c>
      <c r="F28" s="7">
        <v>4</v>
      </c>
      <c r="G28" s="7">
        <v>5</v>
      </c>
      <c r="H28" s="7">
        <v>6</v>
      </c>
      <c r="I28" s="7">
        <v>7</v>
      </c>
      <c r="J28" s="7">
        <v>8</v>
      </c>
      <c r="K28" s="7">
        <v>9</v>
      </c>
      <c r="L28" s="7">
        <v>10</v>
      </c>
    </row>
    <row r="29" spans="2:12" x14ac:dyDescent="0.2">
      <c r="B29" s="3" t="s">
        <v>1</v>
      </c>
      <c r="C29" s="6">
        <f>C14*C22</f>
        <v>105996000</v>
      </c>
      <c r="D29" s="6">
        <f t="shared" ref="D29:L29" si="3">D14*D22</f>
        <v>107055960</v>
      </c>
      <c r="E29" s="6">
        <f t="shared" si="3"/>
        <v>108126519.59999999</v>
      </c>
      <c r="F29" s="6">
        <f t="shared" si="3"/>
        <v>109207784.796</v>
      </c>
      <c r="G29" s="6">
        <f t="shared" si="3"/>
        <v>110299862.64396001</v>
      </c>
      <c r="H29" s="6">
        <f t="shared" si="3"/>
        <v>111402861.27039962</v>
      </c>
      <c r="I29" s="6">
        <f t="shared" si="3"/>
        <v>112516889.88310362</v>
      </c>
      <c r="J29" s="6">
        <f t="shared" si="3"/>
        <v>113642058.78193465</v>
      </c>
      <c r="K29" s="6">
        <f t="shared" si="3"/>
        <v>114778479.369754</v>
      </c>
      <c r="L29" s="6">
        <f t="shared" si="3"/>
        <v>115926264.16345155</v>
      </c>
    </row>
    <row r="30" spans="2:12" x14ac:dyDescent="0.2">
      <c r="B30" s="3" t="s">
        <v>0</v>
      </c>
      <c r="C30" s="6">
        <f t="shared" ref="C30:L30" si="4">C15*C23</f>
        <v>91980000</v>
      </c>
      <c r="D30" s="6">
        <f t="shared" si="4"/>
        <v>92899800</v>
      </c>
      <c r="E30" s="6">
        <f t="shared" si="4"/>
        <v>93828798</v>
      </c>
      <c r="F30" s="6">
        <f t="shared" si="4"/>
        <v>94767085.980000004</v>
      </c>
      <c r="G30" s="6">
        <f t="shared" si="4"/>
        <v>95714756.8398</v>
      </c>
      <c r="H30" s="6">
        <f t="shared" si="4"/>
        <v>96671904.408197999</v>
      </c>
      <c r="I30" s="6">
        <f t="shared" si="4"/>
        <v>97638623.452279985</v>
      </c>
      <c r="J30" s="6">
        <f t="shared" si="4"/>
        <v>98615009.68680279</v>
      </c>
      <c r="K30" s="6">
        <f t="shared" si="4"/>
        <v>99601159.783670813</v>
      </c>
      <c r="L30" s="6">
        <f t="shared" si="4"/>
        <v>100597171.38150752</v>
      </c>
    </row>
    <row r="31" spans="2:12" x14ac:dyDescent="0.2">
      <c r="B31" s="3" t="s">
        <v>2</v>
      </c>
      <c r="C31" s="6">
        <f t="shared" ref="C31:L31" si="5">C16*C24</f>
        <v>78840000</v>
      </c>
      <c r="D31" s="6">
        <f t="shared" si="5"/>
        <v>79628400</v>
      </c>
      <c r="E31" s="6">
        <f t="shared" si="5"/>
        <v>80424684</v>
      </c>
      <c r="F31" s="6">
        <f t="shared" si="5"/>
        <v>81228930.840000004</v>
      </c>
      <c r="G31" s="6">
        <f t="shared" si="5"/>
        <v>82041220.148399994</v>
      </c>
      <c r="H31" s="6">
        <f t="shared" si="5"/>
        <v>82861632.349883988</v>
      </c>
      <c r="I31" s="6">
        <f t="shared" si="5"/>
        <v>83690248.673382834</v>
      </c>
      <c r="J31" s="6">
        <f t="shared" si="5"/>
        <v>84527151.160116673</v>
      </c>
      <c r="K31" s="6">
        <f t="shared" si="5"/>
        <v>85372422.671717837</v>
      </c>
      <c r="L31" s="6">
        <f t="shared" si="5"/>
        <v>86226146.898435012</v>
      </c>
    </row>
    <row r="32" spans="2:12" ht="12" x14ac:dyDescent="0.25">
      <c r="B32" s="12" t="s">
        <v>10</v>
      </c>
      <c r="C32" s="14">
        <f>CHOOSE(Drivers!$C$5,Revenue!C29,Revenue!C30,Revenue!C31)</f>
        <v>105996000</v>
      </c>
      <c r="D32" s="14">
        <f>CHOOSE(Drivers!$C$5,Revenue!D29,Revenue!D30,Revenue!D31)</f>
        <v>107055960</v>
      </c>
      <c r="E32" s="14">
        <f>CHOOSE(Drivers!$C$5,Revenue!E29,Revenue!E30,Revenue!E31)</f>
        <v>108126519.59999999</v>
      </c>
      <c r="F32" s="14">
        <f>CHOOSE(Drivers!$C$5,Revenue!F29,Revenue!F30,Revenue!F31)</f>
        <v>109207784.796</v>
      </c>
      <c r="G32" s="14">
        <f>CHOOSE(Drivers!$C$5,Revenue!G29,Revenue!G30,Revenue!G31)</f>
        <v>110299862.64396001</v>
      </c>
      <c r="H32" s="14">
        <f>CHOOSE(Drivers!$C$5,Revenue!H29,Revenue!H30,Revenue!H31)</f>
        <v>111402861.27039962</v>
      </c>
      <c r="I32" s="14">
        <f>CHOOSE(Drivers!$C$5,Revenue!I29,Revenue!I30,Revenue!I31)</f>
        <v>112516889.88310362</v>
      </c>
      <c r="J32" s="14">
        <f>CHOOSE(Drivers!$C$5,Revenue!J29,Revenue!J30,Revenue!J31)</f>
        <v>113642058.78193465</v>
      </c>
      <c r="K32" s="14">
        <f>CHOOSE(Drivers!$C$5,Revenue!K29,Revenue!K30,Revenue!K31)</f>
        <v>114778479.369754</v>
      </c>
      <c r="L32" s="14">
        <f>CHOOSE(Drivers!$C$5,Revenue!L29,Revenue!L30,Revenue!L31)</f>
        <v>115926264.16345155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24"/>
  <sheetViews>
    <sheetView workbookViewId="0">
      <selection activeCell="C20" sqref="C20"/>
    </sheetView>
  </sheetViews>
  <sheetFormatPr defaultColWidth="9.109375" defaultRowHeight="11.4" x14ac:dyDescent="0.2"/>
  <cols>
    <col min="1" max="1" width="2" style="90" customWidth="1"/>
    <col min="2" max="2" width="30.33203125" style="90" bestFit="1" customWidth="1"/>
    <col min="3" max="12" width="12" style="90" bestFit="1" customWidth="1"/>
    <col min="13" max="16384" width="9.109375" style="90"/>
  </cols>
  <sheetData>
    <row r="1" spans="2:12" ht="15.6" x14ac:dyDescent="0.3">
      <c r="B1" s="4" t="s">
        <v>108</v>
      </c>
    </row>
    <row r="3" spans="2:12" ht="12.6" thickBot="1" x14ac:dyDescent="0.3">
      <c r="B3" s="92" t="s">
        <v>109</v>
      </c>
      <c r="C3" s="92"/>
    </row>
    <row r="4" spans="2:12" x14ac:dyDescent="0.2">
      <c r="B4" s="90" t="s">
        <v>1</v>
      </c>
      <c r="C4" s="91">
        <f>Drivers!C25</f>
        <v>-0.15</v>
      </c>
    </row>
    <row r="5" spans="2:12" x14ac:dyDescent="0.2">
      <c r="B5" s="90" t="s">
        <v>0</v>
      </c>
      <c r="C5" s="91">
        <f>Drivers!C26</f>
        <v>-0.16</v>
      </c>
    </row>
    <row r="6" spans="2:12" x14ac:dyDescent="0.2">
      <c r="B6" s="90" t="s">
        <v>2</v>
      </c>
      <c r="C6" s="91">
        <f>-Drivers!C27</f>
        <v>-0.17</v>
      </c>
    </row>
    <row r="8" spans="2:12" x14ac:dyDescent="0.2">
      <c r="B8" s="90" t="s">
        <v>99</v>
      </c>
      <c r="C8" s="99">
        <f>Drivers!C12</f>
        <v>0.25</v>
      </c>
    </row>
    <row r="9" spans="2:12" x14ac:dyDescent="0.2">
      <c r="B9" s="90" t="str">
        <f>Drivers!B13</f>
        <v>Days in one year</v>
      </c>
      <c r="C9" s="90">
        <f>Drivers!C13</f>
        <v>365</v>
      </c>
    </row>
    <row r="10" spans="2:12" x14ac:dyDescent="0.2">
      <c r="B10" s="90" t="str">
        <f>Drivers!B14</f>
        <v>Hours per day</v>
      </c>
      <c r="C10" s="90">
        <f>Drivers!C14</f>
        <v>24</v>
      </c>
    </row>
    <row r="13" spans="2:12" ht="12.6" thickBot="1" x14ac:dyDescent="0.3">
      <c r="B13" s="92" t="s">
        <v>106</v>
      </c>
      <c r="C13" s="92">
        <v>1</v>
      </c>
      <c r="D13" s="92">
        <v>2</v>
      </c>
      <c r="E13" s="92">
        <v>3</v>
      </c>
      <c r="F13" s="92">
        <v>4</v>
      </c>
      <c r="G13" s="92">
        <v>5</v>
      </c>
      <c r="H13" s="92">
        <v>6</v>
      </c>
      <c r="I13" s="92">
        <v>7</v>
      </c>
      <c r="J13" s="92">
        <v>8</v>
      </c>
      <c r="K13" s="92">
        <v>9</v>
      </c>
      <c r="L13" s="92">
        <v>10</v>
      </c>
    </row>
    <row r="14" spans="2:12" x14ac:dyDescent="0.2">
      <c r="B14" s="90" t="s">
        <v>1</v>
      </c>
      <c r="C14" s="6">
        <f>Revenue!C29</f>
        <v>105996000</v>
      </c>
      <c r="D14" s="6">
        <f>Revenue!D29</f>
        <v>107055960</v>
      </c>
      <c r="E14" s="6">
        <f>Revenue!E29</f>
        <v>108126519.59999999</v>
      </c>
      <c r="F14" s="6">
        <f>Revenue!F29</f>
        <v>109207784.796</v>
      </c>
      <c r="G14" s="6">
        <f>Revenue!G29</f>
        <v>110299862.64396001</v>
      </c>
      <c r="H14" s="6">
        <f>Revenue!H29</f>
        <v>111402861.27039962</v>
      </c>
      <c r="I14" s="6">
        <f>Revenue!I29</f>
        <v>112516889.88310362</v>
      </c>
      <c r="J14" s="6">
        <f>Revenue!J29</f>
        <v>113642058.78193465</v>
      </c>
      <c r="K14" s="6">
        <f>Revenue!K29</f>
        <v>114778479.369754</v>
      </c>
      <c r="L14" s="6">
        <f>Revenue!L29</f>
        <v>115926264.16345155</v>
      </c>
    </row>
    <row r="15" spans="2:12" x14ac:dyDescent="0.2">
      <c r="B15" s="90" t="s">
        <v>0</v>
      </c>
      <c r="C15" s="6">
        <f>Revenue!C30</f>
        <v>91980000</v>
      </c>
      <c r="D15" s="6">
        <f>Revenue!D30</f>
        <v>92899800</v>
      </c>
      <c r="E15" s="6">
        <f>Revenue!E30</f>
        <v>93828798</v>
      </c>
      <c r="F15" s="6">
        <f>Revenue!F30</f>
        <v>94767085.980000004</v>
      </c>
      <c r="G15" s="6">
        <f>Revenue!G30</f>
        <v>95714756.8398</v>
      </c>
      <c r="H15" s="6">
        <f>Revenue!H30</f>
        <v>96671904.408197999</v>
      </c>
      <c r="I15" s="6">
        <f>Revenue!I30</f>
        <v>97638623.452279985</v>
      </c>
      <c r="J15" s="6">
        <f>Revenue!J30</f>
        <v>98615009.68680279</v>
      </c>
      <c r="K15" s="6">
        <f>Revenue!K30</f>
        <v>99601159.783670813</v>
      </c>
      <c r="L15" s="6">
        <f>Revenue!L30</f>
        <v>100597171.38150752</v>
      </c>
    </row>
    <row r="16" spans="2:12" x14ac:dyDescent="0.2">
      <c r="B16" s="90" t="s">
        <v>2</v>
      </c>
      <c r="C16" s="6">
        <f>Revenue!C31</f>
        <v>78840000</v>
      </c>
      <c r="D16" s="6">
        <f>Revenue!D31</f>
        <v>79628400</v>
      </c>
      <c r="E16" s="6">
        <f>Revenue!E31</f>
        <v>80424684</v>
      </c>
      <c r="F16" s="6">
        <f>Revenue!F31</f>
        <v>81228930.840000004</v>
      </c>
      <c r="G16" s="6">
        <f>Revenue!G31</f>
        <v>82041220.148399994</v>
      </c>
      <c r="H16" s="6">
        <f>Revenue!H31</f>
        <v>82861632.349883988</v>
      </c>
      <c r="I16" s="6">
        <f>Revenue!I31</f>
        <v>83690248.673382834</v>
      </c>
      <c r="J16" s="6">
        <f>Revenue!J31</f>
        <v>84527151.160116673</v>
      </c>
      <c r="K16" s="6">
        <f>Revenue!K31</f>
        <v>85372422.671717837</v>
      </c>
      <c r="L16" s="6">
        <f>Revenue!L31</f>
        <v>86226146.898435012</v>
      </c>
    </row>
    <row r="17" spans="2:12" ht="12" x14ac:dyDescent="0.25">
      <c r="B17" s="93" t="s">
        <v>10</v>
      </c>
      <c r="C17" s="14">
        <f>CHOOSE(Drivers!$C$5,Opex!C14,Opex!C15,Opex!C16)</f>
        <v>105996000</v>
      </c>
      <c r="D17" s="14">
        <f>CHOOSE(Drivers!$C$5,Opex!D14,Opex!D15,Opex!D16)</f>
        <v>107055960</v>
      </c>
      <c r="E17" s="14">
        <f>CHOOSE(Drivers!$C$5,Opex!E14,Opex!E15,Opex!E16)</f>
        <v>108126519.59999999</v>
      </c>
      <c r="F17" s="14">
        <f>CHOOSE(Drivers!$C$5,Opex!F14,Opex!F15,Opex!F16)</f>
        <v>109207784.796</v>
      </c>
      <c r="G17" s="14">
        <f>CHOOSE(Drivers!$C$5,Opex!G14,Opex!G15,Opex!G16)</f>
        <v>110299862.64396001</v>
      </c>
      <c r="H17" s="14">
        <f>CHOOSE(Drivers!$C$5,Opex!H14,Opex!H15,Opex!H16)</f>
        <v>111402861.27039962</v>
      </c>
      <c r="I17" s="14">
        <f>CHOOSE(Drivers!$C$5,Opex!I14,Opex!I15,Opex!I16)</f>
        <v>112516889.88310362</v>
      </c>
      <c r="J17" s="14">
        <f>CHOOSE(Drivers!$C$5,Opex!J14,Opex!J15,Opex!J16)</f>
        <v>113642058.78193465</v>
      </c>
      <c r="K17" s="14">
        <f>CHOOSE(Drivers!$C$5,Opex!K14,Opex!K15,Opex!K16)</f>
        <v>114778479.369754</v>
      </c>
      <c r="L17" s="14">
        <f>CHOOSE(Drivers!$C$5,Opex!L14,Opex!L15,Opex!L16)</f>
        <v>115926264.16345155</v>
      </c>
    </row>
    <row r="19" spans="2:12" ht="12.6" thickBot="1" x14ac:dyDescent="0.3">
      <c r="B19" s="92" t="s">
        <v>110</v>
      </c>
      <c r="C19" s="92">
        <v>1</v>
      </c>
      <c r="D19" s="92">
        <v>2</v>
      </c>
      <c r="E19" s="92">
        <v>3</v>
      </c>
      <c r="F19" s="92">
        <v>4</v>
      </c>
      <c r="G19" s="92">
        <v>5</v>
      </c>
      <c r="H19" s="92">
        <v>6</v>
      </c>
      <c r="I19" s="92">
        <v>7</v>
      </c>
      <c r="J19" s="92">
        <v>8</v>
      </c>
      <c r="K19" s="92">
        <v>9</v>
      </c>
      <c r="L19" s="92">
        <v>10</v>
      </c>
    </row>
    <row r="20" spans="2:12" x14ac:dyDescent="0.2">
      <c r="B20" s="90" t="s">
        <v>1</v>
      </c>
      <c r="C20" s="6">
        <f>C14*$C4</f>
        <v>-15899400</v>
      </c>
      <c r="D20" s="6">
        <f t="shared" ref="D20:L20" si="0">D14*$C4</f>
        <v>-16058394</v>
      </c>
      <c r="E20" s="6">
        <f t="shared" si="0"/>
        <v>-16218977.939999998</v>
      </c>
      <c r="F20" s="6">
        <f t="shared" si="0"/>
        <v>-16381167.7194</v>
      </c>
      <c r="G20" s="6">
        <f t="shared" si="0"/>
        <v>-16544979.396594001</v>
      </c>
      <c r="H20" s="6">
        <f t="shared" si="0"/>
        <v>-16710429.190559942</v>
      </c>
      <c r="I20" s="6">
        <f t="shared" si="0"/>
        <v>-16877533.482465543</v>
      </c>
      <c r="J20" s="6">
        <f t="shared" si="0"/>
        <v>-17046308.817290198</v>
      </c>
      <c r="K20" s="6">
        <f t="shared" si="0"/>
        <v>-17216771.905463099</v>
      </c>
      <c r="L20" s="6">
        <f t="shared" si="0"/>
        <v>-17388939.624517731</v>
      </c>
    </row>
    <row r="21" spans="2:12" x14ac:dyDescent="0.2">
      <c r="B21" s="90" t="s">
        <v>0</v>
      </c>
      <c r="C21" s="6">
        <f t="shared" ref="C21:L21" si="1">C15*$C5</f>
        <v>-14716800</v>
      </c>
      <c r="D21" s="6">
        <f t="shared" si="1"/>
        <v>-14863968</v>
      </c>
      <c r="E21" s="6">
        <f t="shared" si="1"/>
        <v>-15012607.68</v>
      </c>
      <c r="F21" s="6">
        <f t="shared" si="1"/>
        <v>-15162733.756800001</v>
      </c>
      <c r="G21" s="6">
        <f t="shared" si="1"/>
        <v>-15314361.094368</v>
      </c>
      <c r="H21" s="6">
        <f t="shared" si="1"/>
        <v>-15467504.70531168</v>
      </c>
      <c r="I21" s="6">
        <f t="shared" si="1"/>
        <v>-15622179.752364798</v>
      </c>
      <c r="J21" s="6">
        <f t="shared" si="1"/>
        <v>-15778401.549888447</v>
      </c>
      <c r="K21" s="6">
        <f t="shared" si="1"/>
        <v>-15936185.565387331</v>
      </c>
      <c r="L21" s="6">
        <f t="shared" si="1"/>
        <v>-16095547.421041204</v>
      </c>
    </row>
    <row r="22" spans="2:12" x14ac:dyDescent="0.2">
      <c r="B22" s="90" t="s">
        <v>2</v>
      </c>
      <c r="C22" s="6">
        <f t="shared" ref="C22:L22" si="2">C16*$C6</f>
        <v>-13402800.000000002</v>
      </c>
      <c r="D22" s="6">
        <f t="shared" si="2"/>
        <v>-13536828.000000002</v>
      </c>
      <c r="E22" s="6">
        <f t="shared" si="2"/>
        <v>-13672196.280000001</v>
      </c>
      <c r="F22" s="6">
        <f t="shared" si="2"/>
        <v>-13808918.242800001</v>
      </c>
      <c r="G22" s="6">
        <f t="shared" si="2"/>
        <v>-13947007.425228</v>
      </c>
      <c r="H22" s="6">
        <f t="shared" si="2"/>
        <v>-14086477.499480279</v>
      </c>
      <c r="I22" s="6">
        <f t="shared" si="2"/>
        <v>-14227342.274475083</v>
      </c>
      <c r="J22" s="6">
        <f t="shared" si="2"/>
        <v>-14369615.697219836</v>
      </c>
      <c r="K22" s="6">
        <f t="shared" si="2"/>
        <v>-14513311.854192033</v>
      </c>
      <c r="L22" s="6">
        <f t="shared" si="2"/>
        <v>-14658444.972733952</v>
      </c>
    </row>
    <row r="23" spans="2:12" ht="12" x14ac:dyDescent="0.25">
      <c r="B23" s="93" t="s">
        <v>10</v>
      </c>
      <c r="C23" s="14">
        <f>CHOOSE(Drivers!$C$5,Opex!C20,Opex!C21,Opex!C22)</f>
        <v>-15899400</v>
      </c>
      <c r="D23" s="14">
        <f>CHOOSE(Drivers!$C$5,Opex!D20,Opex!D21,Opex!D22)</f>
        <v>-16058394</v>
      </c>
      <c r="E23" s="14">
        <f>CHOOSE(Drivers!$C$5,Opex!E20,Opex!E21,Opex!E22)</f>
        <v>-16218977.939999998</v>
      </c>
      <c r="F23" s="14">
        <f>CHOOSE(Drivers!$C$5,Opex!F20,Opex!F21,Opex!F22)</f>
        <v>-16381167.7194</v>
      </c>
      <c r="G23" s="14">
        <f>CHOOSE(Drivers!$C$5,Opex!G20,Opex!G21,Opex!G22)</f>
        <v>-16544979.396594001</v>
      </c>
      <c r="H23" s="14">
        <f>CHOOSE(Drivers!$C$5,Opex!H20,Opex!H21,Opex!H22)</f>
        <v>-16710429.190559942</v>
      </c>
      <c r="I23" s="14">
        <f>CHOOSE(Drivers!$C$5,Opex!I20,Opex!I21,Opex!I22)</f>
        <v>-16877533.482465543</v>
      </c>
      <c r="J23" s="14">
        <f>CHOOSE(Drivers!$C$5,Opex!J20,Opex!J21,Opex!J22)</f>
        <v>-17046308.817290198</v>
      </c>
      <c r="K23" s="14">
        <f>CHOOSE(Drivers!$C$5,Opex!K20,Opex!K21,Opex!K22)</f>
        <v>-17216771.905463099</v>
      </c>
      <c r="L23" s="14">
        <f>CHOOSE(Drivers!$C$5,Opex!L20,Opex!L21,Opex!L22)</f>
        <v>-17388939.624517731</v>
      </c>
    </row>
    <row r="24" spans="2:12" x14ac:dyDescent="0.2">
      <c r="C24" s="6"/>
      <c r="D24" s="6"/>
      <c r="E24" s="6"/>
      <c r="F24" s="6"/>
      <c r="G24" s="6"/>
      <c r="H24" s="6"/>
      <c r="I24" s="6"/>
      <c r="J24" s="6"/>
      <c r="K24" s="6"/>
      <c r="L24" s="6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38"/>
  <sheetViews>
    <sheetView workbookViewId="0"/>
  </sheetViews>
  <sheetFormatPr defaultColWidth="9.109375" defaultRowHeight="14.4" x14ac:dyDescent="0.3"/>
  <cols>
    <col min="1" max="1" width="2" style="1" customWidth="1"/>
    <col min="2" max="2" width="21.88671875" style="1" bestFit="1" customWidth="1"/>
    <col min="3" max="12" width="13.5546875" style="1" bestFit="1" customWidth="1"/>
    <col min="13" max="13" width="12" style="1" bestFit="1" customWidth="1"/>
    <col min="14" max="16384" width="9.109375" style="1"/>
  </cols>
  <sheetData>
    <row r="1" spans="2:13" ht="15.6" x14ac:dyDescent="0.3">
      <c r="B1" s="4" t="s">
        <v>14</v>
      </c>
    </row>
    <row r="3" spans="2:13" ht="15" thickBot="1" x14ac:dyDescent="0.35">
      <c r="B3" s="7" t="s">
        <v>6</v>
      </c>
      <c r="C3" s="7"/>
    </row>
    <row r="4" spans="2:13" x14ac:dyDescent="0.3">
      <c r="B4" s="3" t="s">
        <v>1</v>
      </c>
      <c r="C4" s="6">
        <f>Drivers!C32</f>
        <v>500000000</v>
      </c>
    </row>
    <row r="5" spans="2:13" x14ac:dyDescent="0.3">
      <c r="B5" s="3" t="s">
        <v>0</v>
      </c>
      <c r="C5" s="6">
        <f>Drivers!C33</f>
        <v>510000000</v>
      </c>
    </row>
    <row r="6" spans="2:13" x14ac:dyDescent="0.3">
      <c r="B6" s="3" t="s">
        <v>2</v>
      </c>
      <c r="C6" s="6">
        <f>Drivers!C34</f>
        <v>520000000</v>
      </c>
    </row>
    <row r="7" spans="2:13" x14ac:dyDescent="0.3">
      <c r="B7" s="3"/>
      <c r="C7" s="10"/>
    </row>
    <row r="8" spans="2:13" x14ac:dyDescent="0.3">
      <c r="B8" s="3" t="str">
        <f>Drivers!B36</f>
        <v>Useful life (years)</v>
      </c>
      <c r="C8" s="90">
        <f>Drivers!C36</f>
        <v>10</v>
      </c>
    </row>
    <row r="9" spans="2:13" x14ac:dyDescent="0.3">
      <c r="B9" s="3"/>
      <c r="C9" s="3"/>
    </row>
    <row r="10" spans="2:13" ht="15" thickBot="1" x14ac:dyDescent="0.35">
      <c r="B10" s="7" t="s">
        <v>5</v>
      </c>
      <c r="C10" s="7">
        <v>0</v>
      </c>
      <c r="D10" s="7">
        <v>1</v>
      </c>
      <c r="E10" s="7">
        <v>2</v>
      </c>
      <c r="F10" s="7">
        <v>3</v>
      </c>
      <c r="G10" s="7">
        <v>4</v>
      </c>
      <c r="H10" s="7">
        <v>5</v>
      </c>
      <c r="I10" s="7">
        <v>6</v>
      </c>
      <c r="J10" s="7">
        <v>7</v>
      </c>
      <c r="K10" s="7">
        <v>8</v>
      </c>
      <c r="L10" s="7">
        <v>9</v>
      </c>
      <c r="M10" s="7">
        <v>10</v>
      </c>
    </row>
    <row r="11" spans="2:13" x14ac:dyDescent="0.3">
      <c r="B11" s="3" t="s">
        <v>7</v>
      </c>
      <c r="C11" s="11">
        <v>1</v>
      </c>
      <c r="D11" s="11">
        <f>Drivers!$C$37</f>
        <v>0.03</v>
      </c>
      <c r="E11" s="11">
        <f>Drivers!$C$37</f>
        <v>0.03</v>
      </c>
      <c r="F11" s="11">
        <f>Drivers!$C$37</f>
        <v>0.03</v>
      </c>
      <c r="G11" s="11">
        <f>Drivers!$C$37</f>
        <v>0.03</v>
      </c>
      <c r="H11" s="11">
        <f>Drivers!$C$37</f>
        <v>0.03</v>
      </c>
      <c r="I11" s="11">
        <f>Drivers!$C$37</f>
        <v>0.03</v>
      </c>
      <c r="J11" s="11">
        <f>Drivers!$C$37</f>
        <v>0.03</v>
      </c>
      <c r="K11" s="11">
        <f>Drivers!$C$37</f>
        <v>0.03</v>
      </c>
      <c r="L11" s="11">
        <f>Drivers!$C$37</f>
        <v>0.03</v>
      </c>
      <c r="M11" s="11">
        <f>Drivers!$C$37</f>
        <v>0.03</v>
      </c>
    </row>
    <row r="13" spans="2:13" ht="15" thickBot="1" x14ac:dyDescent="0.35">
      <c r="B13" s="7" t="s">
        <v>13</v>
      </c>
      <c r="C13" s="92"/>
      <c r="D13" s="7">
        <v>1</v>
      </c>
      <c r="E13" s="7">
        <v>2</v>
      </c>
      <c r="F13" s="7">
        <v>3</v>
      </c>
      <c r="G13" s="7">
        <v>4</v>
      </c>
      <c r="H13" s="7">
        <v>5</v>
      </c>
      <c r="I13" s="7">
        <v>6</v>
      </c>
      <c r="J13" s="7">
        <v>7</v>
      </c>
      <c r="K13" s="7">
        <v>8</v>
      </c>
      <c r="L13" s="7">
        <v>9</v>
      </c>
      <c r="M13" s="7">
        <v>10</v>
      </c>
    </row>
    <row r="14" spans="2:13" x14ac:dyDescent="0.3">
      <c r="B14" s="3" t="s">
        <v>15</v>
      </c>
      <c r="C14" s="90"/>
      <c r="D14" s="6">
        <f>CHOOSE(Drivers!$C$5,'Fixed asset roll-forward'!$C4,'Fixed asset roll-forward'!$C5,'Fixed asset roll-forward'!$C6)*'Fixed asset roll-forward'!C11</f>
        <v>500000000</v>
      </c>
      <c r="E14" s="6">
        <f>D17</f>
        <v>465000000</v>
      </c>
      <c r="F14" s="6">
        <f t="shared" ref="F14:M14" si="0">E17</f>
        <v>428500000</v>
      </c>
      <c r="G14" s="6">
        <f t="shared" si="0"/>
        <v>390500000</v>
      </c>
      <c r="H14" s="6">
        <f t="shared" si="0"/>
        <v>351000000</v>
      </c>
      <c r="I14" s="6">
        <f t="shared" si="0"/>
        <v>310000000</v>
      </c>
      <c r="J14" s="6">
        <f t="shared" si="0"/>
        <v>267500000</v>
      </c>
      <c r="K14" s="6">
        <f t="shared" si="0"/>
        <v>223500000</v>
      </c>
      <c r="L14" s="6">
        <f t="shared" si="0"/>
        <v>178000000</v>
      </c>
      <c r="M14" s="6">
        <f t="shared" si="0"/>
        <v>131000000</v>
      </c>
    </row>
    <row r="15" spans="2:13" x14ac:dyDescent="0.3">
      <c r="B15" s="3" t="s">
        <v>12</v>
      </c>
      <c r="C15" s="90"/>
      <c r="D15" s="6">
        <f>CHOOSE(Drivers!$C$5,'Fixed asset roll-forward'!$C4,'Fixed asset roll-forward'!$C5,'Fixed asset roll-forward'!$C6)*'Fixed asset roll-forward'!D11</f>
        <v>15000000</v>
      </c>
      <c r="E15" s="6">
        <f>CHOOSE(Drivers!$C$5,'Fixed asset roll-forward'!$C4,'Fixed asset roll-forward'!$C5,'Fixed asset roll-forward'!$C6)*'Fixed asset roll-forward'!E11</f>
        <v>15000000</v>
      </c>
      <c r="F15" s="6">
        <f>CHOOSE(Drivers!$C$5,'Fixed asset roll-forward'!$C4,'Fixed asset roll-forward'!$C5,'Fixed asset roll-forward'!$C6)*'Fixed asset roll-forward'!F11</f>
        <v>15000000</v>
      </c>
      <c r="G15" s="6">
        <f>CHOOSE(Drivers!$C$5,'Fixed asset roll-forward'!$C4,'Fixed asset roll-forward'!$C5,'Fixed asset roll-forward'!$C6)*'Fixed asset roll-forward'!G11</f>
        <v>15000000</v>
      </c>
      <c r="H15" s="6">
        <f>CHOOSE(Drivers!$C$5,'Fixed asset roll-forward'!$C4,'Fixed asset roll-forward'!$C5,'Fixed asset roll-forward'!$C6)*'Fixed asset roll-forward'!H11</f>
        <v>15000000</v>
      </c>
      <c r="I15" s="6">
        <f>CHOOSE(Drivers!$C$5,'Fixed asset roll-forward'!$C4,'Fixed asset roll-forward'!$C5,'Fixed asset roll-forward'!$C6)*'Fixed asset roll-forward'!I11</f>
        <v>15000000</v>
      </c>
      <c r="J15" s="6">
        <f>CHOOSE(Drivers!$C$5,'Fixed asset roll-forward'!$C4,'Fixed asset roll-forward'!$C5,'Fixed asset roll-forward'!$C6)*'Fixed asset roll-forward'!J11</f>
        <v>15000000</v>
      </c>
      <c r="K15" s="6">
        <f>CHOOSE(Drivers!$C$5,'Fixed asset roll-forward'!$C4,'Fixed asset roll-forward'!$C5,'Fixed asset roll-forward'!$C6)*'Fixed asset roll-forward'!K11</f>
        <v>15000000</v>
      </c>
      <c r="L15" s="6">
        <f>CHOOSE(Drivers!$C$5,'Fixed asset roll-forward'!$C4,'Fixed asset roll-forward'!$C5,'Fixed asset roll-forward'!$C6)*'Fixed asset roll-forward'!L11</f>
        <v>15000000</v>
      </c>
      <c r="M15" s="6">
        <f>CHOOSE(Drivers!$C$5,'Fixed asset roll-forward'!$C4,'Fixed asset roll-forward'!$C5,'Fixed asset roll-forward'!$C6)*'Fixed asset roll-forward'!M11</f>
        <v>15000000</v>
      </c>
    </row>
    <row r="16" spans="2:13" x14ac:dyDescent="0.3">
      <c r="B16" s="1" t="s">
        <v>9</v>
      </c>
      <c r="D16" s="16">
        <f>D30</f>
        <v>-50000000</v>
      </c>
      <c r="E16" s="16">
        <f t="shared" ref="E16:M16" si="1">E30</f>
        <v>-51500000</v>
      </c>
      <c r="F16" s="16">
        <f t="shared" si="1"/>
        <v>-53000000</v>
      </c>
      <c r="G16" s="16">
        <f t="shared" si="1"/>
        <v>-54500000</v>
      </c>
      <c r="H16" s="16">
        <f t="shared" si="1"/>
        <v>-56000000</v>
      </c>
      <c r="I16" s="16">
        <f t="shared" si="1"/>
        <v>-57500000</v>
      </c>
      <c r="J16" s="16">
        <f t="shared" si="1"/>
        <v>-59000000</v>
      </c>
      <c r="K16" s="16">
        <f t="shared" si="1"/>
        <v>-60500000</v>
      </c>
      <c r="L16" s="16">
        <f t="shared" si="1"/>
        <v>-62000000</v>
      </c>
      <c r="M16" s="16">
        <f t="shared" si="1"/>
        <v>-63500000</v>
      </c>
    </row>
    <row r="17" spans="2:13" s="2" customFormat="1" thickBot="1" x14ac:dyDescent="0.3">
      <c r="B17" s="8" t="s">
        <v>16</v>
      </c>
      <c r="C17" s="9">
        <f>CHOOSE(Drivers!$C$5,'Fixed asset roll-forward'!$C4,'Fixed asset roll-forward'!$C5,'Fixed asset roll-forward'!$C6)*'Fixed asset roll-forward'!C11</f>
        <v>500000000</v>
      </c>
      <c r="D17" s="9">
        <f>SUM(D14:D16)</f>
        <v>465000000</v>
      </c>
      <c r="E17" s="9">
        <f t="shared" ref="E17:M17" si="2">SUM(E14:E16)</f>
        <v>428500000</v>
      </c>
      <c r="F17" s="9">
        <f t="shared" si="2"/>
        <v>390500000</v>
      </c>
      <c r="G17" s="9">
        <f t="shared" si="2"/>
        <v>351000000</v>
      </c>
      <c r="H17" s="9">
        <f t="shared" si="2"/>
        <v>310000000</v>
      </c>
      <c r="I17" s="9">
        <f t="shared" si="2"/>
        <v>267500000</v>
      </c>
      <c r="J17" s="9">
        <f t="shared" si="2"/>
        <v>223500000</v>
      </c>
      <c r="K17" s="9">
        <f t="shared" si="2"/>
        <v>178000000</v>
      </c>
      <c r="L17" s="9">
        <f t="shared" si="2"/>
        <v>131000000</v>
      </c>
      <c r="M17" s="9">
        <f t="shared" si="2"/>
        <v>82500000</v>
      </c>
    </row>
    <row r="19" spans="2:13" ht="15" thickBot="1" x14ac:dyDescent="0.35">
      <c r="B19" s="7" t="s">
        <v>17</v>
      </c>
      <c r="C19" s="92"/>
      <c r="D19" s="7">
        <v>1</v>
      </c>
      <c r="E19" s="7">
        <v>2</v>
      </c>
      <c r="F19" s="7">
        <v>3</v>
      </c>
      <c r="G19" s="7">
        <v>4</v>
      </c>
      <c r="H19" s="7">
        <v>5</v>
      </c>
      <c r="I19" s="7">
        <v>6</v>
      </c>
      <c r="J19" s="7">
        <v>7</v>
      </c>
      <c r="K19" s="7">
        <v>8</v>
      </c>
      <c r="L19" s="7">
        <v>9</v>
      </c>
      <c r="M19" s="7">
        <v>10</v>
      </c>
    </row>
    <row r="20" spans="2:13" x14ac:dyDescent="0.3">
      <c r="B20" s="1" t="s">
        <v>78</v>
      </c>
      <c r="D20" s="16">
        <f>-$D$14/10</f>
        <v>-50000000</v>
      </c>
      <c r="E20" s="16">
        <f t="shared" ref="E20:M20" si="3">-$D$14/10</f>
        <v>-50000000</v>
      </c>
      <c r="F20" s="16">
        <f t="shared" si="3"/>
        <v>-50000000</v>
      </c>
      <c r="G20" s="16">
        <f t="shared" si="3"/>
        <v>-50000000</v>
      </c>
      <c r="H20" s="16">
        <f t="shared" si="3"/>
        <v>-50000000</v>
      </c>
      <c r="I20" s="16">
        <f t="shared" si="3"/>
        <v>-50000000</v>
      </c>
      <c r="J20" s="16">
        <f t="shared" si="3"/>
        <v>-50000000</v>
      </c>
      <c r="K20" s="16">
        <f t="shared" si="3"/>
        <v>-50000000</v>
      </c>
      <c r="L20" s="16">
        <f t="shared" si="3"/>
        <v>-50000000</v>
      </c>
      <c r="M20" s="16">
        <f t="shared" si="3"/>
        <v>-50000000</v>
      </c>
    </row>
    <row r="21" spans="2:13" x14ac:dyDescent="0.3">
      <c r="B21" s="1" t="s">
        <v>79</v>
      </c>
      <c r="D21" s="3"/>
      <c r="E21" s="16">
        <f>-$D$15/10</f>
        <v>-1500000</v>
      </c>
      <c r="F21" s="16">
        <f t="shared" ref="F21:M21" si="4">-$D$15/10</f>
        <v>-1500000</v>
      </c>
      <c r="G21" s="16">
        <f t="shared" si="4"/>
        <v>-1500000</v>
      </c>
      <c r="H21" s="16">
        <f t="shared" si="4"/>
        <v>-1500000</v>
      </c>
      <c r="I21" s="16">
        <f t="shared" si="4"/>
        <v>-1500000</v>
      </c>
      <c r="J21" s="16">
        <f t="shared" si="4"/>
        <v>-1500000</v>
      </c>
      <c r="K21" s="16">
        <f t="shared" si="4"/>
        <v>-1500000</v>
      </c>
      <c r="L21" s="16">
        <f t="shared" si="4"/>
        <v>-1500000</v>
      </c>
      <c r="M21" s="16">
        <f t="shared" si="4"/>
        <v>-1500000</v>
      </c>
    </row>
    <row r="22" spans="2:13" x14ac:dyDescent="0.3">
      <c r="B22" s="1" t="s">
        <v>80</v>
      </c>
      <c r="D22" s="3"/>
      <c r="E22" s="3"/>
      <c r="F22" s="16">
        <f>-$E$15/10</f>
        <v>-1500000</v>
      </c>
      <c r="G22" s="16">
        <f t="shared" ref="G22:M22" si="5">-$E$15/10</f>
        <v>-1500000</v>
      </c>
      <c r="H22" s="16">
        <f t="shared" si="5"/>
        <v>-1500000</v>
      </c>
      <c r="I22" s="16">
        <f t="shared" si="5"/>
        <v>-1500000</v>
      </c>
      <c r="J22" s="16">
        <f t="shared" si="5"/>
        <v>-1500000</v>
      </c>
      <c r="K22" s="16">
        <f t="shared" si="5"/>
        <v>-1500000</v>
      </c>
      <c r="L22" s="16">
        <f t="shared" si="5"/>
        <v>-1500000</v>
      </c>
      <c r="M22" s="16">
        <f t="shared" si="5"/>
        <v>-1500000</v>
      </c>
    </row>
    <row r="23" spans="2:13" x14ac:dyDescent="0.3">
      <c r="B23" s="1" t="s">
        <v>81</v>
      </c>
      <c r="D23" s="3"/>
      <c r="E23" s="3"/>
      <c r="F23" s="16"/>
      <c r="G23" s="16">
        <f>-$F$15/10</f>
        <v>-1500000</v>
      </c>
      <c r="H23" s="16">
        <f t="shared" ref="H23:M23" si="6">-$F$15/10</f>
        <v>-1500000</v>
      </c>
      <c r="I23" s="16">
        <f t="shared" si="6"/>
        <v>-1500000</v>
      </c>
      <c r="J23" s="16">
        <f t="shared" si="6"/>
        <v>-1500000</v>
      </c>
      <c r="K23" s="16">
        <f t="shared" si="6"/>
        <v>-1500000</v>
      </c>
      <c r="L23" s="16">
        <f t="shared" si="6"/>
        <v>-1500000</v>
      </c>
      <c r="M23" s="16">
        <f t="shared" si="6"/>
        <v>-1500000</v>
      </c>
    </row>
    <row r="24" spans="2:13" x14ac:dyDescent="0.3">
      <c r="B24" s="1" t="s">
        <v>82</v>
      </c>
      <c r="D24" s="3"/>
      <c r="E24" s="3"/>
      <c r="F24" s="16"/>
      <c r="G24" s="16"/>
      <c r="H24" s="16">
        <f>-$G$15/10</f>
        <v>-1500000</v>
      </c>
      <c r="I24" s="16">
        <f t="shared" ref="I24:M24" si="7">-$G$15/10</f>
        <v>-1500000</v>
      </c>
      <c r="J24" s="16">
        <f t="shared" si="7"/>
        <v>-1500000</v>
      </c>
      <c r="K24" s="16">
        <f t="shared" si="7"/>
        <v>-1500000</v>
      </c>
      <c r="L24" s="16">
        <f t="shared" si="7"/>
        <v>-1500000</v>
      </c>
      <c r="M24" s="16">
        <f t="shared" si="7"/>
        <v>-1500000</v>
      </c>
    </row>
    <row r="25" spans="2:13" x14ac:dyDescent="0.3">
      <c r="B25" s="1" t="s">
        <v>83</v>
      </c>
      <c r="D25" s="3"/>
      <c r="E25" s="3"/>
      <c r="F25" s="16"/>
      <c r="G25" s="16"/>
      <c r="H25" s="16"/>
      <c r="I25" s="16">
        <f>-$H$15/10</f>
        <v>-1500000</v>
      </c>
      <c r="J25" s="16">
        <f t="shared" ref="J25:M25" si="8">-$H$15/10</f>
        <v>-1500000</v>
      </c>
      <c r="K25" s="16">
        <f t="shared" si="8"/>
        <v>-1500000</v>
      </c>
      <c r="L25" s="16">
        <f t="shared" si="8"/>
        <v>-1500000</v>
      </c>
      <c r="M25" s="16">
        <f t="shared" si="8"/>
        <v>-1500000</v>
      </c>
    </row>
    <row r="26" spans="2:13" x14ac:dyDescent="0.3">
      <c r="B26" s="1" t="s">
        <v>84</v>
      </c>
      <c r="D26" s="3"/>
      <c r="E26" s="3"/>
      <c r="F26" s="16"/>
      <c r="G26" s="16"/>
      <c r="H26" s="16"/>
      <c r="I26" s="16"/>
      <c r="J26" s="16">
        <f>-$I$15/10</f>
        <v>-1500000</v>
      </c>
      <c r="K26" s="16">
        <f t="shared" ref="K26:M26" si="9">-$I$15/10</f>
        <v>-1500000</v>
      </c>
      <c r="L26" s="16">
        <f t="shared" si="9"/>
        <v>-1500000</v>
      </c>
      <c r="M26" s="16">
        <f t="shared" si="9"/>
        <v>-1500000</v>
      </c>
    </row>
    <row r="27" spans="2:13" x14ac:dyDescent="0.3">
      <c r="B27" s="1" t="s">
        <v>85</v>
      </c>
      <c r="D27" s="3"/>
      <c r="E27" s="3"/>
      <c r="F27" s="16"/>
      <c r="G27" s="16"/>
      <c r="H27" s="16"/>
      <c r="I27" s="16"/>
      <c r="J27" s="16"/>
      <c r="K27" s="16">
        <f>-$J$15/10</f>
        <v>-1500000</v>
      </c>
      <c r="L27" s="16">
        <f t="shared" ref="L27:M27" si="10">-$J$15/10</f>
        <v>-1500000</v>
      </c>
      <c r="M27" s="16">
        <f t="shared" si="10"/>
        <v>-1500000</v>
      </c>
    </row>
    <row r="28" spans="2:13" x14ac:dyDescent="0.3">
      <c r="B28" s="1" t="s">
        <v>86</v>
      </c>
      <c r="D28" s="3"/>
      <c r="E28" s="3"/>
      <c r="F28" s="16"/>
      <c r="G28" s="16"/>
      <c r="H28" s="16"/>
      <c r="I28" s="16"/>
      <c r="J28" s="16"/>
      <c r="K28" s="16"/>
      <c r="L28" s="16">
        <f>-$K$15/10</f>
        <v>-1500000</v>
      </c>
      <c r="M28" s="16">
        <f>-$K$15/10</f>
        <v>-1500000</v>
      </c>
    </row>
    <row r="29" spans="2:13" x14ac:dyDescent="0.3">
      <c r="B29" s="1" t="s">
        <v>87</v>
      </c>
      <c r="D29" s="3"/>
      <c r="E29" s="3"/>
      <c r="F29" s="16"/>
      <c r="G29" s="16"/>
      <c r="H29" s="16"/>
      <c r="I29" s="16"/>
      <c r="J29" s="16"/>
      <c r="K29" s="16"/>
      <c r="L29" s="16"/>
      <c r="M29" s="16">
        <f>-$L$15/10</f>
        <v>-1500000</v>
      </c>
    </row>
    <row r="30" spans="2:13" ht="15" thickBot="1" x14ac:dyDescent="0.35">
      <c r="B30" s="8" t="s">
        <v>88</v>
      </c>
      <c r="C30" s="8"/>
      <c r="D30" s="9">
        <f>SUM(D20:D29)</f>
        <v>-50000000</v>
      </c>
      <c r="E30" s="9">
        <f t="shared" ref="E30:M30" si="11">SUM(E20:E29)</f>
        <v>-51500000</v>
      </c>
      <c r="F30" s="9">
        <f t="shared" si="11"/>
        <v>-53000000</v>
      </c>
      <c r="G30" s="9">
        <f t="shared" si="11"/>
        <v>-54500000</v>
      </c>
      <c r="H30" s="9">
        <f t="shared" si="11"/>
        <v>-56000000</v>
      </c>
      <c r="I30" s="9">
        <f t="shared" si="11"/>
        <v>-57500000</v>
      </c>
      <c r="J30" s="9">
        <f t="shared" si="11"/>
        <v>-59000000</v>
      </c>
      <c r="K30" s="9">
        <f t="shared" si="11"/>
        <v>-60500000</v>
      </c>
      <c r="L30" s="9">
        <f t="shared" si="11"/>
        <v>-62000000</v>
      </c>
      <c r="M30" s="9">
        <f t="shared" si="11"/>
        <v>-63500000</v>
      </c>
    </row>
    <row r="38" spans="6:6" x14ac:dyDescent="0.3">
      <c r="F38" s="1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19"/>
  <sheetViews>
    <sheetView workbookViewId="0"/>
  </sheetViews>
  <sheetFormatPr defaultColWidth="9.109375" defaultRowHeight="14.4" x14ac:dyDescent="0.3"/>
  <cols>
    <col min="1" max="1" width="2" style="44" customWidth="1"/>
    <col min="2" max="2" width="31" style="44" bestFit="1" customWidth="1"/>
    <col min="3" max="3" width="12.5546875" style="44" bestFit="1" customWidth="1"/>
    <col min="4" max="13" width="12" style="44" bestFit="1" customWidth="1"/>
    <col min="14" max="16384" width="9.109375" style="44"/>
  </cols>
  <sheetData>
    <row r="1" spans="2:14" ht="15.6" x14ac:dyDescent="0.3">
      <c r="B1" s="43" t="s">
        <v>19</v>
      </c>
      <c r="C1" s="43"/>
    </row>
    <row r="3" spans="2:14" x14ac:dyDescent="0.3">
      <c r="B3" s="45" t="s">
        <v>35</v>
      </c>
      <c r="C3" s="46">
        <f>'Fixed asset roll-forward'!$D$14</f>
        <v>500000000</v>
      </c>
      <c r="D3" s="47"/>
      <c r="E3" s="47"/>
      <c r="F3" s="47"/>
      <c r="G3" s="47"/>
      <c r="H3" s="47"/>
      <c r="I3" s="47"/>
      <c r="J3" s="47"/>
      <c r="K3" s="47"/>
      <c r="L3" s="47"/>
      <c r="M3" s="48"/>
    </row>
    <row r="5" spans="2:14" x14ac:dyDescent="0.3">
      <c r="B5" s="49" t="s">
        <v>20</v>
      </c>
      <c r="C5" s="50"/>
    </row>
    <row r="6" spans="2:14" x14ac:dyDescent="0.3">
      <c r="B6" s="45" t="s">
        <v>89</v>
      </c>
      <c r="C6" s="47">
        <f>Drivers!C40</f>
        <v>300000000</v>
      </c>
    </row>
    <row r="7" spans="2:14" x14ac:dyDescent="0.3">
      <c r="B7" s="45" t="s">
        <v>51</v>
      </c>
      <c r="C7" s="51">
        <f>Drivers!C41</f>
        <v>0.04</v>
      </c>
    </row>
    <row r="8" spans="2:14" x14ac:dyDescent="0.3">
      <c r="B8" s="45" t="s">
        <v>52</v>
      </c>
      <c r="C8" s="52" t="str">
        <f>Drivers!C42</f>
        <v>10 years</v>
      </c>
    </row>
    <row r="9" spans="2:14" x14ac:dyDescent="0.3">
      <c r="B9" s="45"/>
      <c r="C9" s="52"/>
    </row>
    <row r="10" spans="2:14" ht="15" thickBot="1" x14ac:dyDescent="0.35">
      <c r="B10" s="53" t="s">
        <v>13</v>
      </c>
      <c r="C10" s="53">
        <v>0</v>
      </c>
      <c r="D10" s="53">
        <v>1</v>
      </c>
      <c r="E10" s="53">
        <v>2</v>
      </c>
      <c r="F10" s="53">
        <v>3</v>
      </c>
      <c r="G10" s="53">
        <v>4</v>
      </c>
      <c r="H10" s="53">
        <v>5</v>
      </c>
      <c r="I10" s="53">
        <v>6</v>
      </c>
      <c r="J10" s="53">
        <v>7</v>
      </c>
      <c r="K10" s="53">
        <v>8</v>
      </c>
      <c r="L10" s="53">
        <v>9</v>
      </c>
      <c r="M10" s="53">
        <v>10</v>
      </c>
    </row>
    <row r="11" spans="2:14" x14ac:dyDescent="0.3">
      <c r="B11" s="47" t="s">
        <v>50</v>
      </c>
      <c r="C11" s="47">
        <f>C6</f>
        <v>300000000</v>
      </c>
      <c r="D11" s="47">
        <f>C14</f>
        <v>300000000</v>
      </c>
      <c r="E11" s="47">
        <f>D14</f>
        <v>300000000</v>
      </c>
      <c r="F11" s="47">
        <f t="shared" ref="F11:M11" si="0">E14</f>
        <v>285000000</v>
      </c>
      <c r="G11" s="47">
        <f t="shared" si="0"/>
        <v>255000000</v>
      </c>
      <c r="H11" s="47">
        <f t="shared" si="0"/>
        <v>225000000</v>
      </c>
      <c r="I11" s="47">
        <f t="shared" si="0"/>
        <v>195000000</v>
      </c>
      <c r="J11" s="47">
        <f t="shared" si="0"/>
        <v>165000000</v>
      </c>
      <c r="K11" s="47">
        <f t="shared" si="0"/>
        <v>135000000</v>
      </c>
      <c r="L11" s="47">
        <f t="shared" si="0"/>
        <v>105000000</v>
      </c>
      <c r="M11" s="47">
        <f t="shared" si="0"/>
        <v>75000000</v>
      </c>
      <c r="N11" s="47"/>
    </row>
    <row r="12" spans="2:14" x14ac:dyDescent="0.3">
      <c r="B12" s="47" t="s">
        <v>48</v>
      </c>
      <c r="C12" s="47">
        <f>-$C$11*C13</f>
        <v>0</v>
      </c>
      <c r="D12" s="47">
        <f>-$D$11*D13</f>
        <v>0</v>
      </c>
      <c r="E12" s="47">
        <f t="shared" ref="E12:M12" si="1">-$D$11*E13</f>
        <v>-15000000</v>
      </c>
      <c r="F12" s="47">
        <f t="shared" si="1"/>
        <v>-30000000</v>
      </c>
      <c r="G12" s="47">
        <f t="shared" si="1"/>
        <v>-30000000</v>
      </c>
      <c r="H12" s="47">
        <f t="shared" si="1"/>
        <v>-30000000</v>
      </c>
      <c r="I12" s="47">
        <f t="shared" si="1"/>
        <v>-30000000</v>
      </c>
      <c r="J12" s="47">
        <f t="shared" si="1"/>
        <v>-30000000</v>
      </c>
      <c r="K12" s="47">
        <f t="shared" si="1"/>
        <v>-30000000</v>
      </c>
      <c r="L12" s="47">
        <f t="shared" si="1"/>
        <v>-30000000</v>
      </c>
      <c r="M12" s="47">
        <f t="shared" si="1"/>
        <v>-30000000</v>
      </c>
    </row>
    <row r="13" spans="2:14" x14ac:dyDescent="0.3">
      <c r="B13" s="47" t="s">
        <v>46</v>
      </c>
      <c r="C13" s="55">
        <v>0</v>
      </c>
      <c r="D13" s="55">
        <v>0</v>
      </c>
      <c r="E13" s="55">
        <v>0.05</v>
      </c>
      <c r="F13" s="55">
        <v>0.1</v>
      </c>
      <c r="G13" s="55">
        <v>0.1</v>
      </c>
      <c r="H13" s="55">
        <v>0.1</v>
      </c>
      <c r="I13" s="55">
        <v>0.1</v>
      </c>
      <c r="J13" s="55">
        <v>0.1</v>
      </c>
      <c r="K13" s="55">
        <v>0.1</v>
      </c>
      <c r="L13" s="55">
        <v>0.1</v>
      </c>
      <c r="M13" s="55">
        <v>0.1</v>
      </c>
    </row>
    <row r="14" spans="2:14" x14ac:dyDescent="0.3">
      <c r="B14" s="54" t="s">
        <v>49</v>
      </c>
      <c r="C14" s="57">
        <f>SUM(C11:C12)</f>
        <v>300000000</v>
      </c>
      <c r="D14" s="57">
        <f>SUM(D11:D12)</f>
        <v>300000000</v>
      </c>
      <c r="E14" s="57">
        <f t="shared" ref="E14:M14" si="2">SUM(E11:E12)</f>
        <v>285000000</v>
      </c>
      <c r="F14" s="57">
        <f t="shared" si="2"/>
        <v>255000000</v>
      </c>
      <c r="G14" s="57">
        <f t="shared" si="2"/>
        <v>225000000</v>
      </c>
      <c r="H14" s="57">
        <f t="shared" si="2"/>
        <v>195000000</v>
      </c>
      <c r="I14" s="57">
        <f t="shared" si="2"/>
        <v>165000000</v>
      </c>
      <c r="J14" s="57">
        <f t="shared" si="2"/>
        <v>135000000</v>
      </c>
      <c r="K14" s="57">
        <f t="shared" si="2"/>
        <v>105000000</v>
      </c>
      <c r="L14" s="57">
        <f t="shared" si="2"/>
        <v>75000000</v>
      </c>
      <c r="M14" s="57">
        <f t="shared" si="2"/>
        <v>45000000</v>
      </c>
    </row>
    <row r="15" spans="2:14" x14ac:dyDescent="0.3"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</row>
    <row r="16" spans="2:14" x14ac:dyDescent="0.3">
      <c r="B16" s="56" t="s">
        <v>24</v>
      </c>
      <c r="C16" s="56">
        <f t="shared" ref="C16:M16" si="3">IF(C10=0,0,-C11*$C$7)</f>
        <v>0</v>
      </c>
      <c r="D16" s="56">
        <f t="shared" si="3"/>
        <v>-12000000</v>
      </c>
      <c r="E16" s="56">
        <f t="shared" si="3"/>
        <v>-12000000</v>
      </c>
      <c r="F16" s="56">
        <f t="shared" si="3"/>
        <v>-11400000</v>
      </c>
      <c r="G16" s="56">
        <f t="shared" si="3"/>
        <v>-10200000</v>
      </c>
      <c r="H16" s="56">
        <f t="shared" si="3"/>
        <v>-9000000</v>
      </c>
      <c r="I16" s="56">
        <f t="shared" si="3"/>
        <v>-7800000</v>
      </c>
      <c r="J16" s="56">
        <f t="shared" si="3"/>
        <v>-6600000</v>
      </c>
      <c r="K16" s="56">
        <f t="shared" si="3"/>
        <v>-5400000</v>
      </c>
      <c r="L16" s="56">
        <f t="shared" si="3"/>
        <v>-4200000</v>
      </c>
      <c r="M16" s="56">
        <f t="shared" si="3"/>
        <v>-3000000</v>
      </c>
    </row>
    <row r="17" spans="2:13" x14ac:dyDescent="0.3"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</row>
    <row r="18" spans="2:13" x14ac:dyDescent="0.3">
      <c r="B18" s="19" t="s">
        <v>36</v>
      </c>
      <c r="C18" s="19">
        <f>'Cash Flow'!C12</f>
        <v>-500000000</v>
      </c>
      <c r="D18" s="19">
        <f>'Cash Flow'!D12</f>
        <v>54667620</v>
      </c>
      <c r="E18" s="19">
        <f>'Cash Flow'!E12</f>
        <v>40748296.200000003</v>
      </c>
      <c r="F18" s="19">
        <f>'Cash Flow'!F12</f>
        <v>27255279.162</v>
      </c>
      <c r="G18" s="19">
        <f>'Cash Flow'!G12</f>
        <v>29188631.953620002</v>
      </c>
      <c r="H18" s="19">
        <f>'Cash Flow'!H12</f>
        <v>31128418.273156211</v>
      </c>
      <c r="I18" s="19">
        <f>'Cash Flow'!I12</f>
        <v>33074702.45588778</v>
      </c>
      <c r="J18" s="19">
        <f>'Cash Flow'!J12</f>
        <v>35027549.480446652</v>
      </c>
      <c r="K18" s="19">
        <f>'Cash Flow'!K12</f>
        <v>36987024.975251108</v>
      </c>
      <c r="L18" s="19">
        <f>'Cash Flow'!L12</f>
        <v>38953195.22500363</v>
      </c>
      <c r="M18" s="19">
        <f>'Cash Flow'!M12</f>
        <v>40926127.177253664</v>
      </c>
    </row>
    <row r="19" spans="2:13" x14ac:dyDescent="0.3">
      <c r="B19" s="54" t="s">
        <v>47</v>
      </c>
      <c r="C19" s="57">
        <f>-(C14+C18)</f>
        <v>200000000</v>
      </c>
      <c r="D19" s="57">
        <f t="shared" ref="D19:M19" si="4">IF(D18&gt;0,C19,C19-D18)</f>
        <v>200000000</v>
      </c>
      <c r="E19" s="57">
        <f t="shared" si="4"/>
        <v>200000000</v>
      </c>
      <c r="F19" s="57">
        <f t="shared" si="4"/>
        <v>200000000</v>
      </c>
      <c r="G19" s="57">
        <f t="shared" si="4"/>
        <v>200000000</v>
      </c>
      <c r="H19" s="57">
        <f t="shared" si="4"/>
        <v>200000000</v>
      </c>
      <c r="I19" s="57">
        <f t="shared" si="4"/>
        <v>200000000</v>
      </c>
      <c r="J19" s="57">
        <f t="shared" si="4"/>
        <v>200000000</v>
      </c>
      <c r="K19" s="57">
        <f t="shared" si="4"/>
        <v>200000000</v>
      </c>
      <c r="L19" s="57">
        <f t="shared" si="4"/>
        <v>200000000</v>
      </c>
      <c r="M19" s="57">
        <f t="shared" si="4"/>
        <v>200000000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11"/>
  <sheetViews>
    <sheetView workbookViewId="0">
      <selection activeCell="B1" sqref="B1"/>
    </sheetView>
  </sheetViews>
  <sheetFormatPr defaultColWidth="9.109375" defaultRowHeight="14.4" x14ac:dyDescent="0.3"/>
  <cols>
    <col min="1" max="1" width="2" style="1" customWidth="1"/>
    <col min="2" max="2" width="22.44140625" style="1" bestFit="1" customWidth="1"/>
    <col min="3" max="12" width="12" style="1" bestFit="1" customWidth="1"/>
    <col min="13" max="16384" width="9.109375" style="1"/>
  </cols>
  <sheetData>
    <row r="1" spans="2:12" ht="15.6" x14ac:dyDescent="0.3">
      <c r="B1" s="4" t="s">
        <v>27</v>
      </c>
      <c r="C1" s="4"/>
    </row>
    <row r="3" spans="2:12" ht="15" thickBot="1" x14ac:dyDescent="0.35">
      <c r="B3" s="7" t="s">
        <v>13</v>
      </c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  <c r="J3" s="7">
        <v>8</v>
      </c>
      <c r="K3" s="7">
        <v>9</v>
      </c>
      <c r="L3" s="7">
        <v>10</v>
      </c>
    </row>
    <row r="4" spans="2:12" x14ac:dyDescent="0.3">
      <c r="B4" s="18" t="s">
        <v>106</v>
      </c>
      <c r="C4" s="19">
        <f>Revenue!C32</f>
        <v>105996000</v>
      </c>
      <c r="D4" s="19">
        <f>Revenue!D32</f>
        <v>107055960</v>
      </c>
      <c r="E4" s="19">
        <f>Revenue!E32</f>
        <v>108126519.59999999</v>
      </c>
      <c r="F4" s="19">
        <f>Revenue!F32</f>
        <v>109207784.796</v>
      </c>
      <c r="G4" s="19">
        <f>Revenue!G32</f>
        <v>110299862.64396001</v>
      </c>
      <c r="H4" s="19">
        <f>Revenue!H32</f>
        <v>111402861.27039962</v>
      </c>
      <c r="I4" s="19">
        <f>Revenue!I32</f>
        <v>112516889.88310362</v>
      </c>
      <c r="J4" s="19">
        <f>Revenue!J32</f>
        <v>113642058.78193465</v>
      </c>
      <c r="K4" s="19">
        <f>Revenue!K32</f>
        <v>114778479.369754</v>
      </c>
      <c r="L4" s="19">
        <f>Revenue!L32</f>
        <v>115926264.16345155</v>
      </c>
    </row>
    <row r="5" spans="2:12" x14ac:dyDescent="0.3">
      <c r="B5" s="94" t="s">
        <v>108</v>
      </c>
      <c r="C5" s="19">
        <f>Opex!C23</f>
        <v>-15899400</v>
      </c>
      <c r="D5" s="19">
        <f>Opex!D23</f>
        <v>-16058394</v>
      </c>
      <c r="E5" s="19">
        <f>Opex!E23</f>
        <v>-16218977.939999998</v>
      </c>
      <c r="F5" s="19">
        <f>Opex!F23</f>
        <v>-16381167.7194</v>
      </c>
      <c r="G5" s="19">
        <f>Opex!G23</f>
        <v>-16544979.396594001</v>
      </c>
      <c r="H5" s="19">
        <f>Opex!H23</f>
        <v>-16710429.190559942</v>
      </c>
      <c r="I5" s="19">
        <f>Opex!I23</f>
        <v>-16877533.482465543</v>
      </c>
      <c r="J5" s="19">
        <f>Opex!J23</f>
        <v>-17046308.817290198</v>
      </c>
      <c r="K5" s="19">
        <f>Opex!K23</f>
        <v>-17216771.905463099</v>
      </c>
      <c r="L5" s="19">
        <f>Opex!L23</f>
        <v>-17388939.624517731</v>
      </c>
    </row>
    <row r="6" spans="2:12" s="17" customFormat="1" x14ac:dyDescent="0.3">
      <c r="B6" s="18" t="s">
        <v>9</v>
      </c>
      <c r="C6" s="19">
        <f>'Fixed asset roll-forward'!D16</f>
        <v>-50000000</v>
      </c>
      <c r="D6" s="19">
        <f>'Fixed asset roll-forward'!E16</f>
        <v>-51500000</v>
      </c>
      <c r="E6" s="19">
        <f>'Fixed asset roll-forward'!F16</f>
        <v>-53000000</v>
      </c>
      <c r="F6" s="19">
        <f>'Fixed asset roll-forward'!G16</f>
        <v>-54500000</v>
      </c>
      <c r="G6" s="19">
        <f>'Fixed asset roll-forward'!H16</f>
        <v>-56000000</v>
      </c>
      <c r="H6" s="19">
        <f>'Fixed asset roll-forward'!I16</f>
        <v>-57500000</v>
      </c>
      <c r="I6" s="19">
        <f>'Fixed asset roll-forward'!J16</f>
        <v>-59000000</v>
      </c>
      <c r="J6" s="19">
        <f>'Fixed asset roll-forward'!K16</f>
        <v>-60500000</v>
      </c>
      <c r="K6" s="19">
        <f>'Fixed asset roll-forward'!L16</f>
        <v>-62000000</v>
      </c>
      <c r="L6" s="19">
        <f>'Fixed asset roll-forward'!M16</f>
        <v>-63500000</v>
      </c>
    </row>
    <row r="7" spans="2:12" x14ac:dyDescent="0.3">
      <c r="B7" s="12" t="s">
        <v>28</v>
      </c>
      <c r="C7" s="20">
        <f>SUM(C4:C6)</f>
        <v>40096600</v>
      </c>
      <c r="D7" s="20">
        <f t="shared" ref="D7:L7" si="0">SUM(D4:D6)</f>
        <v>39497566</v>
      </c>
      <c r="E7" s="20">
        <f t="shared" si="0"/>
        <v>38907541.659999996</v>
      </c>
      <c r="F7" s="20">
        <f t="shared" si="0"/>
        <v>38326617.0766</v>
      </c>
      <c r="G7" s="20">
        <f t="shared" si="0"/>
        <v>37754883.247366011</v>
      </c>
      <c r="H7" s="20">
        <f t="shared" si="0"/>
        <v>37192432.079839677</v>
      </c>
      <c r="I7" s="20">
        <f t="shared" si="0"/>
        <v>36639356.400638074</v>
      </c>
      <c r="J7" s="20">
        <f t="shared" si="0"/>
        <v>36095749.964644447</v>
      </c>
      <c r="K7" s="20">
        <f t="shared" si="0"/>
        <v>35561707.464290902</v>
      </c>
      <c r="L7" s="20">
        <f t="shared" si="0"/>
        <v>35037324.538933814</v>
      </c>
    </row>
    <row r="8" spans="2:12" x14ac:dyDescent="0.3">
      <c r="B8" s="18" t="s">
        <v>26</v>
      </c>
      <c r="C8" s="19">
        <f>Financing!D16</f>
        <v>-12000000</v>
      </c>
      <c r="D8" s="19">
        <f>Financing!E16</f>
        <v>-12000000</v>
      </c>
      <c r="E8" s="19">
        <f>Financing!F16</f>
        <v>-11400000</v>
      </c>
      <c r="F8" s="19">
        <f>Financing!G16</f>
        <v>-10200000</v>
      </c>
      <c r="G8" s="19">
        <f>Financing!H16</f>
        <v>-9000000</v>
      </c>
      <c r="H8" s="19">
        <f>Financing!I16</f>
        <v>-7800000</v>
      </c>
      <c r="I8" s="19">
        <f>Financing!J16</f>
        <v>-6600000</v>
      </c>
      <c r="J8" s="19">
        <f>Financing!K16</f>
        <v>-5400000</v>
      </c>
      <c r="K8" s="19">
        <f>Financing!L16</f>
        <v>-4200000</v>
      </c>
      <c r="L8" s="19">
        <f>Financing!M16</f>
        <v>-3000000</v>
      </c>
    </row>
    <row r="9" spans="2:12" x14ac:dyDescent="0.3">
      <c r="B9" s="12" t="s">
        <v>29</v>
      </c>
      <c r="C9" s="20">
        <f t="shared" ref="C9:L9" si="1">SUM(C7:C8)</f>
        <v>28096600</v>
      </c>
      <c r="D9" s="20">
        <f t="shared" si="1"/>
        <v>27497566</v>
      </c>
      <c r="E9" s="20">
        <f t="shared" si="1"/>
        <v>27507541.659999996</v>
      </c>
      <c r="F9" s="20">
        <f t="shared" si="1"/>
        <v>28126617.0766</v>
      </c>
      <c r="G9" s="20">
        <f t="shared" si="1"/>
        <v>28754883.247366011</v>
      </c>
      <c r="H9" s="20">
        <f t="shared" si="1"/>
        <v>29392432.079839677</v>
      </c>
      <c r="I9" s="20">
        <f t="shared" si="1"/>
        <v>30039356.400638074</v>
      </c>
      <c r="J9" s="20">
        <f t="shared" si="1"/>
        <v>30695749.964644447</v>
      </c>
      <c r="K9" s="20">
        <f t="shared" si="1"/>
        <v>31361707.464290902</v>
      </c>
      <c r="L9" s="20">
        <f t="shared" si="1"/>
        <v>32037324.538933814</v>
      </c>
    </row>
    <row r="10" spans="2:12" x14ac:dyDescent="0.3">
      <c r="B10" s="18" t="s">
        <v>30</v>
      </c>
      <c r="C10" s="19">
        <f>IF(-'P&amp;L'!C9*Drivers!$C$47&gt;0,0,-'P&amp;L'!C9*Drivers!$C$47)</f>
        <v>-8428980</v>
      </c>
      <c r="D10" s="19">
        <f>IF(-'P&amp;L'!D9*Drivers!$C$47&gt;0,0,-'P&amp;L'!D9*Drivers!$C$47)</f>
        <v>-8249269.7999999998</v>
      </c>
      <c r="E10" s="19">
        <f>IF(-'P&amp;L'!E9*Drivers!$C$47&gt;0,0,-'P&amp;L'!E9*Drivers!$C$47)</f>
        <v>-8252262.4979999987</v>
      </c>
      <c r="F10" s="19">
        <f>IF(-'P&amp;L'!F9*Drivers!$C$47&gt;0,0,-'P&amp;L'!F9*Drivers!$C$47)</f>
        <v>-8437985.1229800005</v>
      </c>
      <c r="G10" s="19">
        <f>IF(-'P&amp;L'!G9*Drivers!$C$47&gt;0,0,-'P&amp;L'!G9*Drivers!$C$47)</f>
        <v>-8626464.9742098022</v>
      </c>
      <c r="H10" s="19">
        <f>IF(-'P&amp;L'!H9*Drivers!$C$47&gt;0,0,-'P&amp;L'!H9*Drivers!$C$47)</f>
        <v>-8817729.6239519026</v>
      </c>
      <c r="I10" s="19">
        <f>IF(-'P&amp;L'!I9*Drivers!$C$47&gt;0,0,-'P&amp;L'!I9*Drivers!$C$47)</f>
        <v>-9011806.9201914221</v>
      </c>
      <c r="J10" s="19">
        <f>IF(-'P&amp;L'!J9*Drivers!$C$47&gt;0,0,-'P&amp;L'!J9*Drivers!$C$47)</f>
        <v>-9208724.989393333</v>
      </c>
      <c r="K10" s="19">
        <f>IF(-'P&amp;L'!K9*Drivers!$C$47&gt;0,0,-'P&amp;L'!K9*Drivers!$C$47)</f>
        <v>-9408512.2392872702</v>
      </c>
      <c r="L10" s="19">
        <f>IF(-'P&amp;L'!L9*Drivers!$C$47&gt;0,0,-'P&amp;L'!L9*Drivers!$C$47)</f>
        <v>-9611197.3616801444</v>
      </c>
    </row>
    <row r="11" spans="2:12" ht="15" thickBot="1" x14ac:dyDescent="0.35">
      <c r="B11" s="21" t="s">
        <v>31</v>
      </c>
      <c r="C11" s="22">
        <f>SUM(C9:C10)</f>
        <v>19667620</v>
      </c>
      <c r="D11" s="22">
        <f t="shared" ref="D11:L11" si="2">SUM(D9:D10)</f>
        <v>19248296.199999999</v>
      </c>
      <c r="E11" s="22">
        <f t="shared" si="2"/>
        <v>19255279.161999997</v>
      </c>
      <c r="F11" s="22">
        <f t="shared" si="2"/>
        <v>19688631.953620002</v>
      </c>
      <c r="G11" s="22">
        <f t="shared" si="2"/>
        <v>20128418.273156211</v>
      </c>
      <c r="H11" s="22">
        <f t="shared" si="2"/>
        <v>20574702.455887772</v>
      </c>
      <c r="I11" s="22">
        <f t="shared" si="2"/>
        <v>21027549.480446652</v>
      </c>
      <c r="J11" s="22">
        <f t="shared" si="2"/>
        <v>21487024.975251116</v>
      </c>
      <c r="K11" s="22">
        <f t="shared" si="2"/>
        <v>21953195.22500363</v>
      </c>
      <c r="L11" s="22">
        <f t="shared" si="2"/>
        <v>22426127.177253671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O16"/>
  <sheetViews>
    <sheetView workbookViewId="0"/>
  </sheetViews>
  <sheetFormatPr defaultColWidth="9.109375" defaultRowHeight="11.4" x14ac:dyDescent="0.2"/>
  <cols>
    <col min="1" max="1" width="2" style="27" customWidth="1"/>
    <col min="2" max="2" width="22.44140625" style="27" bestFit="1" customWidth="1"/>
    <col min="3" max="3" width="12.5546875" style="27" bestFit="1" customWidth="1"/>
    <col min="4" max="13" width="12" style="27" bestFit="1" customWidth="1"/>
    <col min="14" max="14" width="1.33203125" style="29" customWidth="1"/>
    <col min="15" max="15" width="13.109375" style="27" bestFit="1" customWidth="1"/>
    <col min="16" max="16384" width="9.109375" style="27"/>
  </cols>
  <sheetData>
    <row r="1" spans="2:15" ht="15.6" x14ac:dyDescent="0.3">
      <c r="B1" s="25" t="s">
        <v>42</v>
      </c>
      <c r="C1" s="25"/>
      <c r="D1" s="26"/>
    </row>
    <row r="3" spans="2:15" ht="12.6" thickBot="1" x14ac:dyDescent="0.3">
      <c r="B3" s="28" t="s">
        <v>13</v>
      </c>
      <c r="C3" s="28">
        <v>0</v>
      </c>
      <c r="D3" s="28">
        <v>1</v>
      </c>
      <c r="E3" s="28">
        <v>2</v>
      </c>
      <c r="F3" s="28">
        <v>3</v>
      </c>
      <c r="G3" s="28">
        <v>4</v>
      </c>
      <c r="H3" s="28">
        <v>5</v>
      </c>
      <c r="I3" s="28">
        <v>6</v>
      </c>
      <c r="J3" s="28">
        <v>7</v>
      </c>
      <c r="K3" s="28">
        <v>8</v>
      </c>
      <c r="L3" s="28">
        <v>9</v>
      </c>
      <c r="M3" s="28">
        <v>10</v>
      </c>
      <c r="N3" s="37"/>
      <c r="O3" s="35" t="s">
        <v>38</v>
      </c>
    </row>
    <row r="4" spans="2:15" x14ac:dyDescent="0.2">
      <c r="B4" s="29" t="s">
        <v>106</v>
      </c>
      <c r="C4" s="30">
        <v>0</v>
      </c>
      <c r="D4" s="30">
        <f>Revenue!C32</f>
        <v>105996000</v>
      </c>
      <c r="E4" s="30">
        <f>Revenue!D32</f>
        <v>107055960</v>
      </c>
      <c r="F4" s="30">
        <f>Revenue!E32</f>
        <v>108126519.59999999</v>
      </c>
      <c r="G4" s="30">
        <f>Revenue!F32</f>
        <v>109207784.796</v>
      </c>
      <c r="H4" s="30">
        <f>Revenue!G32</f>
        <v>110299862.64396001</v>
      </c>
      <c r="I4" s="30">
        <f>Revenue!H32</f>
        <v>111402861.27039962</v>
      </c>
      <c r="J4" s="30">
        <f>Revenue!I32</f>
        <v>112516889.88310362</v>
      </c>
      <c r="K4" s="30">
        <f>Revenue!J32</f>
        <v>113642058.78193465</v>
      </c>
      <c r="L4" s="30">
        <f>Revenue!K32</f>
        <v>114778479.369754</v>
      </c>
      <c r="M4" s="30">
        <f>Revenue!L32</f>
        <v>115926264.16345155</v>
      </c>
      <c r="N4" s="30"/>
    </row>
    <row r="5" spans="2:15" x14ac:dyDescent="0.2">
      <c r="B5" s="29" t="s">
        <v>108</v>
      </c>
      <c r="C5" s="30"/>
      <c r="D5" s="30">
        <f>Opex!C23</f>
        <v>-15899400</v>
      </c>
      <c r="E5" s="30">
        <f>Opex!D23</f>
        <v>-16058394</v>
      </c>
      <c r="F5" s="30">
        <f>Opex!E23</f>
        <v>-16218977.939999998</v>
      </c>
      <c r="G5" s="30">
        <f>Opex!F23</f>
        <v>-16381167.7194</v>
      </c>
      <c r="H5" s="30">
        <f>Opex!G23</f>
        <v>-16544979.396594001</v>
      </c>
      <c r="I5" s="30">
        <f>Opex!H23</f>
        <v>-16710429.190559942</v>
      </c>
      <c r="J5" s="30">
        <f>Opex!I23</f>
        <v>-16877533.482465543</v>
      </c>
      <c r="K5" s="30">
        <f>Opex!J23</f>
        <v>-17046308.817290198</v>
      </c>
      <c r="L5" s="30">
        <f>Opex!K23</f>
        <v>-17216771.905463099</v>
      </c>
      <c r="M5" s="30">
        <f>Opex!L23</f>
        <v>-17388939.624517731</v>
      </c>
      <c r="N5" s="30"/>
    </row>
    <row r="6" spans="2:15" x14ac:dyDescent="0.2">
      <c r="B6" s="29" t="s">
        <v>30</v>
      </c>
      <c r="C6" s="30">
        <v>0</v>
      </c>
      <c r="D6" s="30">
        <f>'P&amp;L'!C10</f>
        <v>-8428980</v>
      </c>
      <c r="E6" s="30">
        <f>'P&amp;L'!D10</f>
        <v>-8249269.7999999998</v>
      </c>
      <c r="F6" s="30">
        <f>'P&amp;L'!E10</f>
        <v>-8252262.4979999987</v>
      </c>
      <c r="G6" s="30">
        <f>'P&amp;L'!F10</f>
        <v>-8437985.1229800005</v>
      </c>
      <c r="H6" s="30">
        <f>'P&amp;L'!G10</f>
        <v>-8626464.9742098022</v>
      </c>
      <c r="I6" s="30">
        <f>'P&amp;L'!H10</f>
        <v>-8817729.6239519026</v>
      </c>
      <c r="J6" s="30">
        <f>'P&amp;L'!I10</f>
        <v>-9011806.9201914221</v>
      </c>
      <c r="K6" s="30">
        <f>'P&amp;L'!J10</f>
        <v>-9208724.989393333</v>
      </c>
      <c r="L6" s="30">
        <f>'P&amp;L'!K10</f>
        <v>-9408512.2392872702</v>
      </c>
      <c r="M6" s="30">
        <f>'P&amp;L'!L10</f>
        <v>-9611197.3616801444</v>
      </c>
      <c r="N6" s="30"/>
    </row>
    <row r="7" spans="2:15" x14ac:dyDescent="0.2">
      <c r="B7" s="27" t="s">
        <v>12</v>
      </c>
      <c r="C7" s="30">
        <f>-'Fixed asset roll-forward'!D14</f>
        <v>-500000000</v>
      </c>
      <c r="D7" s="30">
        <f>-'Fixed asset roll-forward'!D15</f>
        <v>-15000000</v>
      </c>
      <c r="E7" s="30">
        <f>-'Fixed asset roll-forward'!E15</f>
        <v>-15000000</v>
      </c>
      <c r="F7" s="30">
        <f>-'Fixed asset roll-forward'!F15</f>
        <v>-15000000</v>
      </c>
      <c r="G7" s="30">
        <f>-'Fixed asset roll-forward'!G15</f>
        <v>-15000000</v>
      </c>
      <c r="H7" s="30">
        <f>-'Fixed asset roll-forward'!H15</f>
        <v>-15000000</v>
      </c>
      <c r="I7" s="30">
        <f>-'Fixed asset roll-forward'!I15</f>
        <v>-15000000</v>
      </c>
      <c r="J7" s="30">
        <f>-'Fixed asset roll-forward'!J15</f>
        <v>-15000000</v>
      </c>
      <c r="K7" s="30">
        <f>-'Fixed asset roll-forward'!K15</f>
        <v>-15000000</v>
      </c>
      <c r="L7" s="30">
        <f>-'Fixed asset roll-forward'!L15</f>
        <v>-15000000</v>
      </c>
      <c r="M7" s="30">
        <f>-'Fixed asset roll-forward'!M15</f>
        <v>-15000000</v>
      </c>
      <c r="N7" s="30"/>
    </row>
    <row r="8" spans="2:15" ht="12" x14ac:dyDescent="0.25">
      <c r="B8" s="31" t="s">
        <v>23</v>
      </c>
      <c r="C8" s="32">
        <f t="shared" ref="C8:M8" si="0">SUM(C4:C7)</f>
        <v>-500000000</v>
      </c>
      <c r="D8" s="32">
        <f t="shared" si="0"/>
        <v>66667620</v>
      </c>
      <c r="E8" s="32">
        <f t="shared" si="0"/>
        <v>67748296.200000003</v>
      </c>
      <c r="F8" s="32">
        <f t="shared" si="0"/>
        <v>68655279.162</v>
      </c>
      <c r="G8" s="32">
        <f t="shared" si="0"/>
        <v>69388631.953620002</v>
      </c>
      <c r="H8" s="32">
        <f t="shared" si="0"/>
        <v>70128418.273156211</v>
      </c>
      <c r="I8" s="32">
        <f t="shared" si="0"/>
        <v>70874702.45588778</v>
      </c>
      <c r="J8" s="32">
        <f t="shared" si="0"/>
        <v>71627549.480446652</v>
      </c>
      <c r="K8" s="32">
        <f t="shared" si="0"/>
        <v>72387024.975251108</v>
      </c>
      <c r="L8" s="32">
        <f t="shared" si="0"/>
        <v>73153195.22500363</v>
      </c>
      <c r="M8" s="32">
        <f t="shared" si="0"/>
        <v>73926127.177253664</v>
      </c>
      <c r="N8" s="36"/>
    </row>
    <row r="9" spans="2:15" x14ac:dyDescent="0.2">
      <c r="B9" s="27" t="s">
        <v>25</v>
      </c>
      <c r="C9" s="30">
        <v>0</v>
      </c>
      <c r="D9" s="30">
        <f>Financing!D12</f>
        <v>0</v>
      </c>
      <c r="E9" s="30">
        <f>Financing!E12</f>
        <v>-15000000</v>
      </c>
      <c r="F9" s="30">
        <f>Financing!F12</f>
        <v>-30000000</v>
      </c>
      <c r="G9" s="30">
        <f>Financing!G12</f>
        <v>-30000000</v>
      </c>
      <c r="H9" s="30">
        <f>Financing!H12</f>
        <v>-30000000</v>
      </c>
      <c r="I9" s="30">
        <f>Financing!I12</f>
        <v>-30000000</v>
      </c>
      <c r="J9" s="30">
        <f>Financing!J12</f>
        <v>-30000000</v>
      </c>
      <c r="K9" s="30">
        <f>Financing!K12</f>
        <v>-30000000</v>
      </c>
      <c r="L9" s="30">
        <f>Financing!L12</f>
        <v>-30000000</v>
      </c>
      <c r="M9" s="30">
        <f>Financing!M12</f>
        <v>-30000000</v>
      </c>
      <c r="N9" s="30"/>
    </row>
    <row r="10" spans="2:15" x14ac:dyDescent="0.2">
      <c r="B10" s="27" t="s">
        <v>26</v>
      </c>
      <c r="C10" s="30">
        <v>0</v>
      </c>
      <c r="D10" s="30">
        <f>Financing!D16</f>
        <v>-12000000</v>
      </c>
      <c r="E10" s="30">
        <f>Financing!E16</f>
        <v>-12000000</v>
      </c>
      <c r="F10" s="30">
        <f>Financing!F16</f>
        <v>-11400000</v>
      </c>
      <c r="G10" s="30">
        <f>Financing!G16</f>
        <v>-10200000</v>
      </c>
      <c r="H10" s="30">
        <f>Financing!H16</f>
        <v>-9000000</v>
      </c>
      <c r="I10" s="30">
        <f>Financing!I16</f>
        <v>-7800000</v>
      </c>
      <c r="J10" s="30">
        <f>Financing!J16</f>
        <v>-6600000</v>
      </c>
      <c r="K10" s="30">
        <f>Financing!K16</f>
        <v>-5400000</v>
      </c>
      <c r="L10" s="30">
        <f>Financing!L16</f>
        <v>-4200000</v>
      </c>
      <c r="M10" s="30">
        <f>Financing!M16</f>
        <v>-3000000</v>
      </c>
      <c r="N10" s="30"/>
    </row>
    <row r="11" spans="2:15" x14ac:dyDescent="0.2">
      <c r="B11" s="27" t="s">
        <v>77</v>
      </c>
      <c r="C11" s="30"/>
      <c r="D11" s="30">
        <f>Financing!D19-Financing!C19</f>
        <v>0</v>
      </c>
      <c r="E11" s="30">
        <f>Financing!E19-Financing!D19</f>
        <v>0</v>
      </c>
      <c r="F11" s="30">
        <f>Financing!F19-Financing!E19</f>
        <v>0</v>
      </c>
      <c r="G11" s="30">
        <f>Financing!G19-Financing!F19</f>
        <v>0</v>
      </c>
      <c r="H11" s="30">
        <f>Financing!H19-Financing!G19</f>
        <v>0</v>
      </c>
      <c r="I11" s="30">
        <f>Financing!I19-Financing!H19</f>
        <v>0</v>
      </c>
      <c r="J11" s="30">
        <f>Financing!J19-Financing!I19</f>
        <v>0</v>
      </c>
      <c r="K11" s="30">
        <f>Financing!K19-Financing!J19</f>
        <v>0</v>
      </c>
      <c r="L11" s="30">
        <f>Financing!L19-Financing!K19</f>
        <v>0</v>
      </c>
      <c r="M11" s="30">
        <f>Financing!M19-Financing!L19</f>
        <v>0</v>
      </c>
      <c r="N11" s="30"/>
    </row>
    <row r="12" spans="2:15" ht="12.6" thickBot="1" x14ac:dyDescent="0.3">
      <c r="B12" s="33" t="s">
        <v>36</v>
      </c>
      <c r="C12" s="34">
        <f>SUM(C8:C11)</f>
        <v>-500000000</v>
      </c>
      <c r="D12" s="34">
        <f t="shared" ref="D12:M12" si="1">SUM(D8:D10)</f>
        <v>54667620</v>
      </c>
      <c r="E12" s="34">
        <f t="shared" si="1"/>
        <v>40748296.200000003</v>
      </c>
      <c r="F12" s="34">
        <f t="shared" si="1"/>
        <v>27255279.162</v>
      </c>
      <c r="G12" s="34">
        <f t="shared" si="1"/>
        <v>29188631.953620002</v>
      </c>
      <c r="H12" s="34">
        <f t="shared" si="1"/>
        <v>31128418.273156211</v>
      </c>
      <c r="I12" s="34">
        <f t="shared" si="1"/>
        <v>33074702.45588778</v>
      </c>
      <c r="J12" s="34">
        <f t="shared" si="1"/>
        <v>35027549.480446652</v>
      </c>
      <c r="K12" s="34">
        <f t="shared" si="1"/>
        <v>36987024.975251108</v>
      </c>
      <c r="L12" s="34">
        <f t="shared" si="1"/>
        <v>38953195.22500363</v>
      </c>
      <c r="M12" s="34">
        <f t="shared" si="1"/>
        <v>40926127.177253664</v>
      </c>
      <c r="N12" s="38"/>
      <c r="O12" s="34">
        <f>Drivers!C48</f>
        <v>100000000</v>
      </c>
    </row>
    <row r="14" spans="2:15" x14ac:dyDescent="0.2">
      <c r="D14" s="39"/>
      <c r="E14" s="39"/>
      <c r="F14" s="39"/>
      <c r="G14" s="39"/>
      <c r="H14" s="39"/>
      <c r="I14" s="39"/>
      <c r="J14" s="39"/>
      <c r="K14" s="39"/>
      <c r="L14" s="39"/>
      <c r="M14" s="39"/>
    </row>
    <row r="16" spans="2:15" x14ac:dyDescent="0.2"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M35"/>
  <sheetViews>
    <sheetView topLeftCell="A3" workbookViewId="0">
      <selection activeCell="D35" sqref="D35"/>
    </sheetView>
  </sheetViews>
  <sheetFormatPr defaultColWidth="9.109375" defaultRowHeight="11.4" x14ac:dyDescent="0.2"/>
  <cols>
    <col min="1" max="1" width="2" style="3" customWidth="1"/>
    <col min="2" max="2" width="27.44140625" style="3" bestFit="1" customWidth="1"/>
    <col min="3" max="3" width="12.6640625" style="3" bestFit="1" customWidth="1"/>
    <col min="4" max="4" width="12" style="3" customWidth="1"/>
    <col min="5" max="13" width="12" style="3" bestFit="1" customWidth="1"/>
    <col min="14" max="16384" width="9.109375" style="3"/>
  </cols>
  <sheetData>
    <row r="1" spans="2:13" s="1" customFormat="1" ht="15.6" x14ac:dyDescent="0.3">
      <c r="B1" s="4" t="s">
        <v>39</v>
      </c>
    </row>
    <row r="2" spans="2:13" s="1" customFormat="1" ht="14.4" x14ac:dyDescent="0.3"/>
    <row r="3" spans="2:13" s="1" customFormat="1" ht="14.4" x14ac:dyDescent="0.3">
      <c r="B3" s="19" t="s">
        <v>53</v>
      </c>
      <c r="C3" s="42">
        <f>Drivers!C41</f>
        <v>0.04</v>
      </c>
    </row>
    <row r="4" spans="2:13" s="1" customFormat="1" ht="14.4" x14ac:dyDescent="0.3">
      <c r="B4" s="19" t="s">
        <v>107</v>
      </c>
      <c r="C4" s="42">
        <f>Drivers!C59</f>
        <v>0.02</v>
      </c>
    </row>
    <row r="5" spans="2:13" s="1" customFormat="1" ht="14.4" x14ac:dyDescent="0.3">
      <c r="B5" s="19" t="s">
        <v>32</v>
      </c>
      <c r="C5" s="42">
        <f>Drivers!C47</f>
        <v>0.3</v>
      </c>
    </row>
    <row r="6" spans="2:13" s="1" customFormat="1" ht="14.4" x14ac:dyDescent="0.3">
      <c r="B6" s="19" t="s">
        <v>95</v>
      </c>
      <c r="C6" s="100">
        <f>Drivers!C58</f>
        <v>5.5E-2</v>
      </c>
    </row>
    <row r="7" spans="2:13" s="1" customFormat="1" ht="14.4" x14ac:dyDescent="0.3">
      <c r="B7" s="19"/>
      <c r="C7" s="42"/>
    </row>
    <row r="8" spans="2:13" s="1" customFormat="1" ht="15" thickBot="1" x14ac:dyDescent="0.35">
      <c r="B8" s="7" t="s">
        <v>55</v>
      </c>
      <c r="C8" s="59" t="s">
        <v>69</v>
      </c>
      <c r="D8" s="59" t="s">
        <v>57</v>
      </c>
    </row>
    <row r="9" spans="2:13" s="1" customFormat="1" ht="14.4" x14ac:dyDescent="0.3">
      <c r="B9" s="3" t="s">
        <v>56</v>
      </c>
      <c r="C9" s="5">
        <f>Drivers!C51</f>
        <v>0.7</v>
      </c>
      <c r="D9" s="91">
        <f>Drivers!D51</f>
        <v>0.5</v>
      </c>
    </row>
    <row r="10" spans="2:13" s="1" customFormat="1" ht="14.4" x14ac:dyDescent="0.3">
      <c r="B10" s="3" t="s">
        <v>58</v>
      </c>
      <c r="C10" s="91">
        <f>Drivers!C52</f>
        <v>0.8</v>
      </c>
      <c r="D10" s="91">
        <f>Drivers!D52</f>
        <v>0.4</v>
      </c>
    </row>
    <row r="11" spans="2:13" s="1" customFormat="1" ht="14.4" x14ac:dyDescent="0.3">
      <c r="B11" s="3" t="s">
        <v>63</v>
      </c>
      <c r="C11" s="91">
        <f>Drivers!C53</f>
        <v>0.65</v>
      </c>
      <c r="D11" s="91">
        <f>Drivers!D53</f>
        <v>0.35</v>
      </c>
    </row>
    <row r="12" spans="2:13" s="1" customFormat="1" ht="14.4" x14ac:dyDescent="0.3"/>
    <row r="13" spans="2:13" s="1" customFormat="1" ht="14.4" x14ac:dyDescent="0.3"/>
    <row r="14" spans="2:13" s="1" customFormat="1" ht="15" thickBot="1" x14ac:dyDescent="0.35">
      <c r="B14" s="28" t="s">
        <v>13</v>
      </c>
      <c r="C14" s="28">
        <v>0</v>
      </c>
      <c r="D14" s="28">
        <v>1</v>
      </c>
      <c r="E14" s="28">
        <v>2</v>
      </c>
      <c r="F14" s="28">
        <v>3</v>
      </c>
      <c r="G14" s="28">
        <v>4</v>
      </c>
      <c r="H14" s="28">
        <v>5</v>
      </c>
      <c r="I14" s="28">
        <v>6</v>
      </c>
      <c r="J14" s="28">
        <v>7</v>
      </c>
      <c r="K14" s="28">
        <v>8</v>
      </c>
      <c r="L14" s="28">
        <v>9</v>
      </c>
      <c r="M14" s="28">
        <v>10</v>
      </c>
    </row>
    <row r="15" spans="2:13" s="1" customFormat="1" ht="14.4" x14ac:dyDescent="0.3">
      <c r="B15" s="19" t="s">
        <v>54</v>
      </c>
      <c r="C15" s="19">
        <f>Financing!C14</f>
        <v>300000000</v>
      </c>
      <c r="D15" s="19">
        <f>Financing!D14</f>
        <v>300000000</v>
      </c>
      <c r="E15" s="19">
        <f>Financing!E14</f>
        <v>285000000</v>
      </c>
      <c r="F15" s="19">
        <f>Financing!F14</f>
        <v>255000000</v>
      </c>
      <c r="G15" s="19">
        <f>Financing!G14</f>
        <v>225000000</v>
      </c>
      <c r="H15" s="19">
        <f>Financing!H14</f>
        <v>195000000</v>
      </c>
      <c r="I15" s="19">
        <f>Financing!I14</f>
        <v>165000000</v>
      </c>
      <c r="J15" s="19">
        <f>Financing!J14</f>
        <v>135000000</v>
      </c>
      <c r="K15" s="19">
        <f>Financing!K14</f>
        <v>105000000</v>
      </c>
      <c r="L15" s="19">
        <f>Financing!L14</f>
        <v>75000000</v>
      </c>
      <c r="M15" s="19">
        <f>Financing!M14</f>
        <v>45000000</v>
      </c>
    </row>
    <row r="16" spans="2:13" s="1" customFormat="1" ht="14.4" x14ac:dyDescent="0.3">
      <c r="B16" s="19" t="s">
        <v>47</v>
      </c>
      <c r="C16" s="19">
        <f>Financing!C19</f>
        <v>200000000</v>
      </c>
      <c r="D16" s="19">
        <f>Financing!D19</f>
        <v>200000000</v>
      </c>
      <c r="E16" s="19">
        <f>Financing!E19</f>
        <v>200000000</v>
      </c>
      <c r="F16" s="19">
        <f>Financing!F19</f>
        <v>200000000</v>
      </c>
      <c r="G16" s="19">
        <f>Financing!G19</f>
        <v>200000000</v>
      </c>
      <c r="H16" s="19">
        <f>Financing!H19</f>
        <v>200000000</v>
      </c>
      <c r="I16" s="19">
        <f>Financing!I19</f>
        <v>200000000</v>
      </c>
      <c r="J16" s="19">
        <f>Financing!J19</f>
        <v>200000000</v>
      </c>
      <c r="K16" s="19">
        <f>Financing!K19</f>
        <v>200000000</v>
      </c>
      <c r="L16" s="19">
        <f>Financing!L19</f>
        <v>200000000</v>
      </c>
      <c r="M16" s="19">
        <f>Financing!M19</f>
        <v>200000000</v>
      </c>
    </row>
    <row r="17" spans="2:13" s="1" customFormat="1" ht="14.4" x14ac:dyDescent="0.3">
      <c r="B17" s="14" t="s">
        <v>59</v>
      </c>
      <c r="C17" s="14">
        <f>SUM(C15:C16)</f>
        <v>500000000</v>
      </c>
      <c r="D17" s="14">
        <f t="shared" ref="D17:M17" si="0">SUM(D15:D16)</f>
        <v>500000000</v>
      </c>
      <c r="E17" s="14">
        <f t="shared" si="0"/>
        <v>485000000</v>
      </c>
      <c r="F17" s="14">
        <f t="shared" si="0"/>
        <v>455000000</v>
      </c>
      <c r="G17" s="14">
        <f t="shared" si="0"/>
        <v>425000000</v>
      </c>
      <c r="H17" s="14">
        <f t="shared" si="0"/>
        <v>395000000</v>
      </c>
      <c r="I17" s="14">
        <f t="shared" si="0"/>
        <v>365000000</v>
      </c>
      <c r="J17" s="14">
        <f t="shared" si="0"/>
        <v>335000000</v>
      </c>
      <c r="K17" s="14">
        <f t="shared" si="0"/>
        <v>305000000</v>
      </c>
      <c r="L17" s="14">
        <f t="shared" si="0"/>
        <v>275000000</v>
      </c>
      <c r="M17" s="14">
        <f t="shared" si="0"/>
        <v>245000000</v>
      </c>
    </row>
    <row r="19" spans="2:13" x14ac:dyDescent="0.2">
      <c r="B19" s="3" t="s">
        <v>60</v>
      </c>
      <c r="C19" s="41">
        <f>C15/C$17</f>
        <v>0.6</v>
      </c>
      <c r="D19" s="41">
        <f t="shared" ref="D19:M19" si="1">D15/D$17</f>
        <v>0.6</v>
      </c>
      <c r="E19" s="41">
        <f t="shared" si="1"/>
        <v>0.58762886597938147</v>
      </c>
      <c r="F19" s="41">
        <f t="shared" si="1"/>
        <v>0.56043956043956045</v>
      </c>
      <c r="G19" s="41">
        <f t="shared" si="1"/>
        <v>0.52941176470588236</v>
      </c>
      <c r="H19" s="41">
        <f t="shared" si="1"/>
        <v>0.49367088607594939</v>
      </c>
      <c r="I19" s="41">
        <f t="shared" si="1"/>
        <v>0.45205479452054792</v>
      </c>
      <c r="J19" s="41">
        <f t="shared" si="1"/>
        <v>0.40298507462686567</v>
      </c>
      <c r="K19" s="41">
        <f t="shared" si="1"/>
        <v>0.34426229508196721</v>
      </c>
      <c r="L19" s="41">
        <f t="shared" si="1"/>
        <v>0.27272727272727271</v>
      </c>
      <c r="M19" s="41">
        <f t="shared" si="1"/>
        <v>0.18367346938775511</v>
      </c>
    </row>
    <row r="20" spans="2:13" x14ac:dyDescent="0.2">
      <c r="B20" s="3" t="s">
        <v>61</v>
      </c>
      <c r="C20" s="41">
        <f t="shared" ref="C20:M20" si="2">C16/C$17</f>
        <v>0.4</v>
      </c>
      <c r="D20" s="41">
        <f t="shared" si="2"/>
        <v>0.4</v>
      </c>
      <c r="E20" s="41">
        <f t="shared" si="2"/>
        <v>0.41237113402061853</v>
      </c>
      <c r="F20" s="41">
        <f t="shared" si="2"/>
        <v>0.43956043956043955</v>
      </c>
      <c r="G20" s="41">
        <f t="shared" si="2"/>
        <v>0.47058823529411764</v>
      </c>
      <c r="H20" s="41">
        <f t="shared" si="2"/>
        <v>0.50632911392405067</v>
      </c>
      <c r="I20" s="41">
        <f t="shared" si="2"/>
        <v>0.54794520547945202</v>
      </c>
      <c r="J20" s="41">
        <f t="shared" si="2"/>
        <v>0.59701492537313428</v>
      </c>
      <c r="K20" s="41">
        <f t="shared" si="2"/>
        <v>0.65573770491803274</v>
      </c>
      <c r="L20" s="41">
        <f t="shared" si="2"/>
        <v>0.72727272727272729</v>
      </c>
      <c r="M20" s="41">
        <f t="shared" si="2"/>
        <v>0.81632653061224492</v>
      </c>
    </row>
    <row r="21" spans="2:13" ht="12" x14ac:dyDescent="0.25">
      <c r="B21" s="14" t="s">
        <v>62</v>
      </c>
      <c r="C21" s="58">
        <f>SUM(C19:C20)</f>
        <v>1</v>
      </c>
      <c r="D21" s="58">
        <f t="shared" ref="D21" si="3">SUM(D19:D20)</f>
        <v>1</v>
      </c>
      <c r="E21" s="58">
        <f t="shared" ref="E21" si="4">SUM(E19:E20)</f>
        <v>1</v>
      </c>
      <c r="F21" s="58">
        <f t="shared" ref="F21" si="5">SUM(F19:F20)</f>
        <v>1</v>
      </c>
      <c r="G21" s="58">
        <f t="shared" ref="G21" si="6">SUM(G19:G20)</f>
        <v>1</v>
      </c>
      <c r="H21" s="58">
        <f t="shared" ref="H21" si="7">SUM(H19:H20)</f>
        <v>1</v>
      </c>
      <c r="I21" s="58">
        <f t="shared" ref="I21" si="8">SUM(I19:I20)</f>
        <v>1</v>
      </c>
      <c r="J21" s="58">
        <f t="shared" ref="J21" si="9">SUM(J19:J20)</f>
        <v>1</v>
      </c>
      <c r="K21" s="58">
        <f t="shared" ref="K21" si="10">SUM(K19:K20)</f>
        <v>1</v>
      </c>
      <c r="L21" s="58">
        <f t="shared" ref="L21" si="11">SUM(L19:L20)</f>
        <v>1</v>
      </c>
      <c r="M21" s="58">
        <f t="shared" ref="M21" si="12">SUM(M19:M20)</f>
        <v>1</v>
      </c>
    </row>
    <row r="24" spans="2:13" x14ac:dyDescent="0.2">
      <c r="B24" s="3" t="s">
        <v>64</v>
      </c>
    </row>
    <row r="25" spans="2:13" x14ac:dyDescent="0.2">
      <c r="B25" s="3" t="s">
        <v>65</v>
      </c>
      <c r="C25" s="5">
        <f>AVERAGE(C9:C11)</f>
        <v>0.71666666666666667</v>
      </c>
    </row>
    <row r="26" spans="2:13" x14ac:dyDescent="0.2">
      <c r="B26" s="3" t="s">
        <v>66</v>
      </c>
      <c r="C26" s="61">
        <f>AVERAGE(D9:D11)</f>
        <v>0.41666666666666669</v>
      </c>
    </row>
    <row r="28" spans="2:13" x14ac:dyDescent="0.2">
      <c r="B28" s="3" t="s">
        <v>67</v>
      </c>
    </row>
    <row r="29" spans="2:13" x14ac:dyDescent="0.2">
      <c r="B29" s="3" t="s">
        <v>70</v>
      </c>
      <c r="C29" s="60">
        <f>C19/C20</f>
        <v>1.4999999999999998</v>
      </c>
      <c r="D29" s="60">
        <f t="shared" ref="D29:M29" si="13">D19/D20</f>
        <v>1.4999999999999998</v>
      </c>
      <c r="E29" s="60">
        <f t="shared" si="13"/>
        <v>1.425</v>
      </c>
      <c r="F29" s="60">
        <f t="shared" si="13"/>
        <v>1.2750000000000001</v>
      </c>
      <c r="G29" s="60">
        <f t="shared" si="13"/>
        <v>1.125</v>
      </c>
      <c r="H29" s="60">
        <f t="shared" si="13"/>
        <v>0.97499999999999998</v>
      </c>
      <c r="I29" s="60">
        <f t="shared" si="13"/>
        <v>0.82499999999999996</v>
      </c>
      <c r="J29" s="60">
        <f t="shared" si="13"/>
        <v>0.67500000000000004</v>
      </c>
      <c r="K29" s="60">
        <f t="shared" si="13"/>
        <v>0.52500000000000002</v>
      </c>
      <c r="L29" s="60">
        <f t="shared" si="13"/>
        <v>0.37499999999999994</v>
      </c>
      <c r="M29" s="60">
        <f t="shared" si="13"/>
        <v>0.22500000000000001</v>
      </c>
    </row>
    <row r="30" spans="2:13" x14ac:dyDescent="0.2">
      <c r="B30" s="3" t="s">
        <v>68</v>
      </c>
      <c r="C30" s="60">
        <f>$C$26/((1+(1-$C$5)*($C$25)))</f>
        <v>0.27746947835738073</v>
      </c>
      <c r="D30" s="60">
        <f t="shared" ref="D30:M30" si="14">$C$26/((1+(1-$C$5)*($C$25)))</f>
        <v>0.27746947835738073</v>
      </c>
      <c r="E30" s="60">
        <f t="shared" si="14"/>
        <v>0.27746947835738073</v>
      </c>
      <c r="F30" s="60">
        <f t="shared" si="14"/>
        <v>0.27746947835738073</v>
      </c>
      <c r="G30" s="60">
        <f t="shared" si="14"/>
        <v>0.27746947835738073</v>
      </c>
      <c r="H30" s="60">
        <f t="shared" si="14"/>
        <v>0.27746947835738073</v>
      </c>
      <c r="I30" s="60">
        <f t="shared" si="14"/>
        <v>0.27746947835738073</v>
      </c>
      <c r="J30" s="60">
        <f t="shared" si="14"/>
        <v>0.27746947835738073</v>
      </c>
      <c r="K30" s="60">
        <f t="shared" si="14"/>
        <v>0.27746947835738073</v>
      </c>
      <c r="L30" s="60">
        <f t="shared" si="14"/>
        <v>0.27746947835738073</v>
      </c>
      <c r="M30" s="60">
        <f t="shared" si="14"/>
        <v>0.27746947835738073</v>
      </c>
    </row>
    <row r="31" spans="2:13" ht="12" x14ac:dyDescent="0.25">
      <c r="B31" s="14" t="s">
        <v>67</v>
      </c>
      <c r="C31" s="62">
        <f>C30*(1+(1-$C$5)*(C29))</f>
        <v>0.56881243063263043</v>
      </c>
      <c r="D31" s="62">
        <f t="shared" ref="D31:M31" si="15">D30*(1+(1-$C$5)*(D29))</f>
        <v>0.56881243063263043</v>
      </c>
      <c r="E31" s="62">
        <f t="shared" si="15"/>
        <v>0.554245283018868</v>
      </c>
      <c r="F31" s="62">
        <f t="shared" si="15"/>
        <v>0.52511098779134302</v>
      </c>
      <c r="G31" s="62">
        <f t="shared" si="15"/>
        <v>0.4959766925638181</v>
      </c>
      <c r="H31" s="62">
        <f t="shared" si="15"/>
        <v>0.46684239733629312</v>
      </c>
      <c r="I31" s="62">
        <f t="shared" si="15"/>
        <v>0.43770810210876809</v>
      </c>
      <c r="J31" s="62">
        <f t="shared" si="15"/>
        <v>0.40857380688124312</v>
      </c>
      <c r="K31" s="62">
        <f t="shared" si="15"/>
        <v>0.37943951165371814</v>
      </c>
      <c r="L31" s="62">
        <f t="shared" si="15"/>
        <v>0.35030521642619317</v>
      </c>
      <c r="M31" s="62">
        <f t="shared" si="15"/>
        <v>0.32117092119866819</v>
      </c>
    </row>
    <row r="33" spans="2:13" ht="12" x14ac:dyDescent="0.25">
      <c r="B33" s="23" t="s">
        <v>71</v>
      </c>
      <c r="C33" s="63">
        <f>$C$4+$C$6*C31</f>
        <v>5.1284683684794677E-2</v>
      </c>
      <c r="D33" s="63">
        <f t="shared" ref="D33:M33" si="16">$C$4+$C$6*D31</f>
        <v>5.1284683684794677E-2</v>
      </c>
      <c r="E33" s="63">
        <f t="shared" si="16"/>
        <v>5.0483490566037736E-2</v>
      </c>
      <c r="F33" s="63">
        <f t="shared" si="16"/>
        <v>4.8881104328523869E-2</v>
      </c>
      <c r="G33" s="63">
        <f t="shared" si="16"/>
        <v>4.7278718091009996E-2</v>
      </c>
      <c r="H33" s="63">
        <f t="shared" si="16"/>
        <v>4.5676331853496122E-2</v>
      </c>
      <c r="I33" s="63">
        <f t="shared" si="16"/>
        <v>4.4073945615982241E-2</v>
      </c>
      <c r="J33" s="63">
        <f t="shared" si="16"/>
        <v>4.2471559378468374E-2</v>
      </c>
      <c r="K33" s="63">
        <f t="shared" si="16"/>
        <v>4.08691731409545E-2</v>
      </c>
      <c r="L33" s="63">
        <f t="shared" si="16"/>
        <v>3.9266786903440626E-2</v>
      </c>
      <c r="M33" s="63">
        <f t="shared" si="16"/>
        <v>3.7664400665926752E-2</v>
      </c>
    </row>
    <row r="35" spans="2:13" ht="12.6" thickBot="1" x14ac:dyDescent="0.3">
      <c r="B35" s="21" t="s">
        <v>39</v>
      </c>
      <c r="C35" s="64">
        <f>C19*(1-$C$5)*$C$3+C20*C33</f>
        <v>3.7313873473917875E-2</v>
      </c>
      <c r="D35" s="64">
        <f t="shared" ref="D35:M35" si="17">D19*(1-$C$5)*$C$3+D20*D33</f>
        <v>3.7313873473917875E-2</v>
      </c>
      <c r="E35" s="64">
        <f t="shared" si="17"/>
        <v>3.7271542501458858E-2</v>
      </c>
      <c r="F35" s="64">
        <f t="shared" si="17"/>
        <v>3.7178507397153351E-2</v>
      </c>
      <c r="G35" s="64">
        <f t="shared" si="17"/>
        <v>3.7072337925181172E-2</v>
      </c>
      <c r="H35" s="64">
        <f t="shared" si="17"/>
        <v>3.6950041444808165E-2</v>
      </c>
      <c r="I35" s="64">
        <f t="shared" si="17"/>
        <v>3.6807641433414924E-2</v>
      </c>
      <c r="J35" s="64">
        <f t="shared" si="17"/>
        <v>3.6639736942369175E-2</v>
      </c>
      <c r="K35" s="64">
        <f t="shared" si="17"/>
        <v>3.643880205964229E-2</v>
      </c>
      <c r="L35" s="64">
        <f t="shared" si="17"/>
        <v>3.6194026838865911E-2</v>
      </c>
      <c r="M35" s="64">
        <f t="shared" si="17"/>
        <v>3.5889306666062652E-2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B17"/>
  <sheetViews>
    <sheetView workbookViewId="0">
      <selection activeCell="G17" sqref="G17"/>
    </sheetView>
  </sheetViews>
  <sheetFormatPr defaultColWidth="9.109375" defaultRowHeight="11.4" x14ac:dyDescent="0.2"/>
  <cols>
    <col min="1" max="1" width="2" style="3" customWidth="1"/>
    <col min="2" max="16384" width="9.109375" style="3"/>
  </cols>
  <sheetData>
    <row r="17" spans="2:2" ht="50.4" x14ac:dyDescent="0.85">
      <c r="B17" s="40" t="s">
        <v>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N27"/>
  <sheetViews>
    <sheetView tabSelected="1" workbookViewId="0"/>
  </sheetViews>
  <sheetFormatPr defaultColWidth="9.109375" defaultRowHeight="14.4" x14ac:dyDescent="0.3"/>
  <cols>
    <col min="1" max="1" width="2" style="68" customWidth="1"/>
    <col min="2" max="2" width="26.44140625" style="68" customWidth="1"/>
    <col min="3" max="3" width="11.88671875" style="68" customWidth="1"/>
    <col min="4" max="4" width="12.5546875" style="68" bestFit="1" customWidth="1"/>
    <col min="5" max="12" width="11" style="68" bestFit="1" customWidth="1"/>
    <col min="13" max="13" width="11" style="69" bestFit="1" customWidth="1"/>
    <col min="14" max="14" width="11" style="68" bestFit="1" customWidth="1"/>
    <col min="15" max="16384" width="9.109375" style="68"/>
  </cols>
  <sheetData>
    <row r="1" spans="2:14" ht="15.6" x14ac:dyDescent="0.3">
      <c r="B1" s="67" t="s">
        <v>41</v>
      </c>
    </row>
    <row r="2" spans="2:14" ht="15.6" x14ac:dyDescent="0.3">
      <c r="B2" s="67"/>
    </row>
    <row r="3" spans="2:14" x14ac:dyDescent="0.3">
      <c r="B3" s="69" t="s">
        <v>10</v>
      </c>
      <c r="C3" s="13">
        <v>1</v>
      </c>
    </row>
    <row r="4" spans="2:14" ht="15.6" x14ac:dyDescent="0.3">
      <c r="B4" s="67"/>
    </row>
    <row r="5" spans="2:14" x14ac:dyDescent="0.3">
      <c r="B5" s="69" t="s">
        <v>38</v>
      </c>
      <c r="C5" s="70">
        <f>'Cash Flow'!O12-Financing!M14</f>
        <v>55000000</v>
      </c>
      <c r="M5" s="68"/>
      <c r="N5" s="69"/>
    </row>
    <row r="6" spans="2:14" x14ac:dyDescent="0.3">
      <c r="M6" s="68"/>
    </row>
    <row r="7" spans="2:14" ht="15" thickBot="1" x14ac:dyDescent="0.35">
      <c r="B7" s="71" t="s">
        <v>13</v>
      </c>
      <c r="C7" s="71"/>
      <c r="D7" s="71">
        <v>0</v>
      </c>
      <c r="E7" s="71">
        <v>1</v>
      </c>
      <c r="F7" s="71">
        <v>2</v>
      </c>
      <c r="G7" s="71">
        <v>3</v>
      </c>
      <c r="H7" s="71">
        <v>4</v>
      </c>
      <c r="I7" s="71">
        <v>5</v>
      </c>
      <c r="J7" s="71">
        <v>6</v>
      </c>
      <c r="K7" s="71">
        <v>7</v>
      </c>
      <c r="L7" s="71">
        <v>8</v>
      </c>
      <c r="M7" s="71">
        <v>9</v>
      </c>
      <c r="N7" s="71">
        <v>10</v>
      </c>
    </row>
    <row r="8" spans="2:14" x14ac:dyDescent="0.3">
      <c r="B8" s="72" t="s">
        <v>36</v>
      </c>
      <c r="C8" s="72"/>
      <c r="D8" s="72">
        <f>-Financing!C19</f>
        <v>-200000000</v>
      </c>
      <c r="E8" s="70">
        <f>'Cash Flow'!D12</f>
        <v>54667620</v>
      </c>
      <c r="F8" s="70">
        <f>'Cash Flow'!E12</f>
        <v>40748296.200000003</v>
      </c>
      <c r="G8" s="70">
        <f>'Cash Flow'!F12</f>
        <v>27255279.162</v>
      </c>
      <c r="H8" s="70">
        <f>'Cash Flow'!G12</f>
        <v>29188631.953620002</v>
      </c>
      <c r="I8" s="70">
        <f>'Cash Flow'!H12</f>
        <v>31128418.273156211</v>
      </c>
      <c r="J8" s="70">
        <f>'Cash Flow'!I12</f>
        <v>33074702.45588778</v>
      </c>
      <c r="K8" s="70">
        <f>'Cash Flow'!J12</f>
        <v>35027549.480446652</v>
      </c>
      <c r="L8" s="70">
        <f>'Cash Flow'!K12</f>
        <v>36987024.975251108</v>
      </c>
      <c r="M8" s="70">
        <f>'Cash Flow'!L12</f>
        <v>38953195.22500363</v>
      </c>
      <c r="N8" s="70">
        <f>'Cash Flow'!M12</f>
        <v>40926127.177253664</v>
      </c>
    </row>
    <row r="9" spans="2:14" x14ac:dyDescent="0.3">
      <c r="B9" s="72" t="s">
        <v>112</v>
      </c>
      <c r="C9" s="72"/>
      <c r="D9" s="72"/>
      <c r="E9" s="70"/>
      <c r="F9" s="70"/>
      <c r="G9" s="70"/>
      <c r="H9" s="70"/>
      <c r="I9" s="70"/>
      <c r="J9" s="70"/>
      <c r="K9" s="70"/>
      <c r="L9" s="70"/>
      <c r="M9" s="70"/>
      <c r="N9" s="70">
        <f>C5</f>
        <v>55000000</v>
      </c>
    </row>
    <row r="10" spans="2:14" x14ac:dyDescent="0.3">
      <c r="B10" s="75" t="s">
        <v>113</v>
      </c>
      <c r="C10" s="75"/>
      <c r="D10" s="75">
        <f>D8+D9</f>
        <v>-200000000</v>
      </c>
      <c r="E10" s="75">
        <f t="shared" ref="E10:N10" si="0">E8+E9</f>
        <v>54667620</v>
      </c>
      <c r="F10" s="75">
        <f t="shared" si="0"/>
        <v>40748296.200000003</v>
      </c>
      <c r="G10" s="75">
        <f t="shared" si="0"/>
        <v>27255279.162</v>
      </c>
      <c r="H10" s="75">
        <f t="shared" si="0"/>
        <v>29188631.953620002</v>
      </c>
      <c r="I10" s="75">
        <f t="shared" si="0"/>
        <v>31128418.273156211</v>
      </c>
      <c r="J10" s="75">
        <f t="shared" si="0"/>
        <v>33074702.45588778</v>
      </c>
      <c r="K10" s="75">
        <f t="shared" si="0"/>
        <v>35027549.480446652</v>
      </c>
      <c r="L10" s="75">
        <f t="shared" si="0"/>
        <v>36987024.975251108</v>
      </c>
      <c r="M10" s="75">
        <f t="shared" si="0"/>
        <v>38953195.22500363</v>
      </c>
      <c r="N10" s="75">
        <f t="shared" si="0"/>
        <v>95926127.177253664</v>
      </c>
    </row>
    <row r="11" spans="2:14" x14ac:dyDescent="0.3">
      <c r="B11" s="70" t="s">
        <v>71</v>
      </c>
      <c r="C11" s="70"/>
      <c r="D11" s="70"/>
      <c r="E11" s="73">
        <f>WACC!D33</f>
        <v>5.1284683684794677E-2</v>
      </c>
      <c r="F11" s="73">
        <f>WACC!E33</f>
        <v>5.0483490566037736E-2</v>
      </c>
      <c r="G11" s="73">
        <f>WACC!F33</f>
        <v>4.8881104328523869E-2</v>
      </c>
      <c r="H11" s="73">
        <f>WACC!G33</f>
        <v>4.7278718091009996E-2</v>
      </c>
      <c r="I11" s="73">
        <f>WACC!H33</f>
        <v>4.5676331853496122E-2</v>
      </c>
      <c r="J11" s="73">
        <f>WACC!I33</f>
        <v>4.4073945615982241E-2</v>
      </c>
      <c r="K11" s="73">
        <f>WACC!J33</f>
        <v>4.2471559378468374E-2</v>
      </c>
      <c r="L11" s="73">
        <f>WACC!K33</f>
        <v>4.08691731409545E-2</v>
      </c>
      <c r="M11" s="73">
        <f>WACC!L33</f>
        <v>3.9266786903440626E-2</v>
      </c>
      <c r="N11" s="73">
        <f>WACC!M33</f>
        <v>3.7664400665926752E-2</v>
      </c>
    </row>
    <row r="12" spans="2:14" x14ac:dyDescent="0.3">
      <c r="B12" s="75" t="s">
        <v>40</v>
      </c>
      <c r="C12" s="75"/>
      <c r="D12" s="76">
        <f t="shared" ref="D12:N13" si="1">D8/(1+D11)^D7</f>
        <v>-200000000</v>
      </c>
      <c r="E12" s="76">
        <f t="shared" si="1"/>
        <v>52000776.619695261</v>
      </c>
      <c r="F12" s="76">
        <f t="shared" si="1"/>
        <v>36925891.696602821</v>
      </c>
      <c r="G12" s="76">
        <f t="shared" si="1"/>
        <v>23619562.53976424</v>
      </c>
      <c r="H12" s="76">
        <f t="shared" si="1"/>
        <v>24264124.596397668</v>
      </c>
      <c r="I12" s="76">
        <f t="shared" si="1"/>
        <v>24898355.444246478</v>
      </c>
      <c r="J12" s="76">
        <f t="shared" si="1"/>
        <v>25533385.148736682</v>
      </c>
      <c r="K12" s="76">
        <f t="shared" si="1"/>
        <v>26179433.663845889</v>
      </c>
      <c r="L12" s="76">
        <f t="shared" si="1"/>
        <v>26846039.747707423</v>
      </c>
      <c r="M12" s="76">
        <f t="shared" si="1"/>
        <v>27542265.048010208</v>
      </c>
      <c r="N12" s="76">
        <f t="shared" si="1"/>
        <v>28276879.019867931</v>
      </c>
    </row>
    <row r="13" spans="2:14" x14ac:dyDescent="0.3">
      <c r="B13" s="77" t="s">
        <v>73</v>
      </c>
      <c r="C13" s="77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>
        <f>N9/(1+N11)^N7</f>
        <v>38000867.7429199</v>
      </c>
    </row>
    <row r="14" spans="2:14" x14ac:dyDescent="0.3">
      <c r="B14" s="75" t="s">
        <v>72</v>
      </c>
      <c r="C14" s="75"/>
      <c r="D14" s="75">
        <f>SUM(D12:D13)</f>
        <v>-200000000</v>
      </c>
      <c r="E14" s="75">
        <f t="shared" ref="E14:N14" si="2">SUM(E12:E13)</f>
        <v>52000776.619695261</v>
      </c>
      <c r="F14" s="75">
        <f t="shared" si="2"/>
        <v>36925891.696602821</v>
      </c>
      <c r="G14" s="75">
        <f t="shared" si="2"/>
        <v>23619562.53976424</v>
      </c>
      <c r="H14" s="75">
        <f t="shared" si="2"/>
        <v>24264124.596397668</v>
      </c>
      <c r="I14" s="75">
        <f t="shared" si="2"/>
        <v>24898355.444246478</v>
      </c>
      <c r="J14" s="75">
        <f t="shared" si="2"/>
        <v>25533385.148736682</v>
      </c>
      <c r="K14" s="75">
        <f t="shared" si="2"/>
        <v>26179433.663845889</v>
      </c>
      <c r="L14" s="75">
        <f t="shared" si="2"/>
        <v>26846039.747707423</v>
      </c>
      <c r="M14" s="75">
        <f t="shared" si="2"/>
        <v>27542265.048010208</v>
      </c>
      <c r="N14" s="75">
        <f t="shared" si="2"/>
        <v>66277746.762787834</v>
      </c>
    </row>
    <row r="15" spans="2:14" x14ac:dyDescent="0.3"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</row>
    <row r="16" spans="2:14" x14ac:dyDescent="0.3">
      <c r="B16" s="79" t="s">
        <v>90</v>
      </c>
      <c r="C16" s="77" t="s">
        <v>75</v>
      </c>
      <c r="D16" s="80">
        <f>SUM(D14:N14)</f>
        <v>134087581.26779449</v>
      </c>
      <c r="F16" s="81"/>
      <c r="G16" s="81"/>
      <c r="H16" s="81"/>
      <c r="I16" s="81"/>
      <c r="J16" s="81"/>
      <c r="K16" s="81"/>
      <c r="L16" s="81"/>
      <c r="M16" s="81"/>
      <c r="N16" s="81"/>
    </row>
    <row r="17" spans="2:14" x14ac:dyDescent="0.3">
      <c r="B17" s="78"/>
      <c r="C17" s="78"/>
      <c r="D17" s="78"/>
      <c r="E17" s="82"/>
      <c r="F17" s="78"/>
      <c r="G17" s="78"/>
      <c r="H17" s="78"/>
      <c r="I17" s="78"/>
      <c r="J17" s="78"/>
      <c r="K17" s="78"/>
      <c r="L17" s="78"/>
      <c r="M17" s="78"/>
      <c r="N17" s="78"/>
    </row>
    <row r="18" spans="2:14" x14ac:dyDescent="0.3">
      <c r="B18" s="79" t="s">
        <v>43</v>
      </c>
      <c r="C18" s="79"/>
      <c r="D18" s="83">
        <f>IRR(D10:N10)</f>
        <v>0.15351830407691436</v>
      </c>
      <c r="F18" s="84"/>
      <c r="G18" s="84"/>
      <c r="H18" s="84"/>
      <c r="I18" s="84"/>
      <c r="J18" s="84"/>
      <c r="K18" s="84"/>
      <c r="L18" s="84"/>
      <c r="M18" s="84"/>
      <c r="N18" s="84"/>
    </row>
    <row r="19" spans="2:14" x14ac:dyDescent="0.3">
      <c r="B19" s="74"/>
      <c r="C19" s="7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74"/>
    </row>
    <row r="20" spans="2:14" x14ac:dyDescent="0.3">
      <c r="B20" s="78"/>
      <c r="H20" s="78"/>
      <c r="I20" s="78"/>
      <c r="J20" s="78"/>
      <c r="K20" s="78"/>
      <c r="L20" s="78"/>
      <c r="M20" s="74"/>
    </row>
    <row r="21" spans="2:14" x14ac:dyDescent="0.3">
      <c r="B21" s="81"/>
      <c r="C21" s="101" t="s">
        <v>74</v>
      </c>
      <c r="D21" s="101"/>
      <c r="E21" s="85"/>
      <c r="F21" s="85"/>
    </row>
    <row r="22" spans="2:14" x14ac:dyDescent="0.3">
      <c r="D22" s="86">
        <f>D18</f>
        <v>0.15351830407691436</v>
      </c>
    </row>
    <row r="23" spans="2:14" x14ac:dyDescent="0.3">
      <c r="B23" s="87"/>
      <c r="C23" s="70">
        <v>70000000</v>
      </c>
      <c r="D23" s="88">
        <f t="dataTable" ref="D23:D27" dt2D="0" dtr="0" r1="C5"/>
        <v>0.15801905202457256</v>
      </c>
    </row>
    <row r="24" spans="2:14" x14ac:dyDescent="0.3">
      <c r="B24" s="87"/>
      <c r="C24" s="70">
        <v>80000000</v>
      </c>
      <c r="D24" s="88">
        <v>0.16090508974382178</v>
      </c>
    </row>
    <row r="25" spans="2:14" x14ac:dyDescent="0.3">
      <c r="B25" s="87"/>
      <c r="C25" s="70">
        <v>85000000</v>
      </c>
      <c r="D25" s="88">
        <v>0.16231605628541335</v>
      </c>
    </row>
    <row r="26" spans="2:14" x14ac:dyDescent="0.3">
      <c r="B26" s="87"/>
      <c r="C26" s="70">
        <v>95000000</v>
      </c>
      <c r="D26" s="88">
        <v>0.16507731051303676</v>
      </c>
    </row>
    <row r="27" spans="2:14" x14ac:dyDescent="0.3">
      <c r="B27" s="87"/>
      <c r="C27" s="70">
        <v>115000000</v>
      </c>
      <c r="D27" s="88">
        <v>0.17037424369268939</v>
      </c>
    </row>
  </sheetData>
  <mergeCells count="1">
    <mergeCell ref="C21:D21"/>
  </mergeCells>
  <dataValidations count="1">
    <dataValidation type="list" allowBlank="1" showInputMessage="1" showErrorMessage="1" sqref="C3" xr:uid="{00000000-0002-0000-0B00-000000000000}">
      <formula1>"1,2,3"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Input --&gt;</vt:lpstr>
      <vt:lpstr>Drivers</vt:lpstr>
      <vt:lpstr>Workings --&gt;</vt:lpstr>
      <vt:lpstr>Revenue</vt:lpstr>
      <vt:lpstr>Opex</vt:lpstr>
      <vt:lpstr>Fixed asset roll-forward</vt:lpstr>
      <vt:lpstr>Financing</vt:lpstr>
      <vt:lpstr>P&amp;L</vt:lpstr>
      <vt:lpstr>Cash Flow</vt:lpstr>
      <vt:lpstr>WACC</vt:lpstr>
      <vt:lpstr>Output --&gt;</vt:lpstr>
      <vt:lpstr>Discounted Cash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Ned</cp:lastModifiedBy>
  <dcterms:created xsi:type="dcterms:W3CDTF">2017-10-13T13:35:42Z</dcterms:created>
  <dcterms:modified xsi:type="dcterms:W3CDTF">2019-08-28T11:30:23Z</dcterms:modified>
</cp:coreProperties>
</file>