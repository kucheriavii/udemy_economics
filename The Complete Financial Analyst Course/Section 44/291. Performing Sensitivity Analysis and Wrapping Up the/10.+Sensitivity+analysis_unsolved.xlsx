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Courses\Video creating\The Finance Manager Course\Capital budgeting exercise\"/>
    </mc:Choice>
  </mc:AlternateContent>
  <xr:revisionPtr revIDLastSave="0" documentId="13_ncr:1_{3B11D5E3-3FE0-4FC1-B833-BF642D105A76}" xr6:coauthVersionLast="43" xr6:coauthVersionMax="43" xr10:uidLastSave="{00000000-0000-0000-0000-000000000000}"/>
  <bookViews>
    <workbookView xWindow="-108" yWindow="-108" windowWidth="23256" windowHeight="13176" firstSheet="5" activeTab="11" xr2:uid="{00000000-000D-0000-FFFF-FFFF00000000}"/>
  </bookViews>
  <sheets>
    <sheet name="Input --&gt;" sheetId="17" r:id="rId1"/>
    <sheet name="Drivers" sheetId="3" r:id="rId2"/>
    <sheet name="Workings --&gt;" sheetId="18" r:id="rId3"/>
    <sheet name="Savings forecast" sheetId="1" r:id="rId4"/>
    <sheet name="Fixed asset roll-forward" sheetId="2" r:id="rId5"/>
    <sheet name="Working capital" sheetId="5" r:id="rId6"/>
    <sheet name="Financing" sheetId="7" r:id="rId7"/>
    <sheet name="P&amp;L" sheetId="12" r:id="rId8"/>
    <sheet name="Cash Flow" sheetId="9" r:id="rId9"/>
    <sheet name="WACC" sheetId="14" r:id="rId10"/>
    <sheet name="Output --&gt;" sheetId="19" r:id="rId11"/>
    <sheet name="Discounted Cash Flows" sheetId="16" r:id="rId12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30" i="14" l="1"/>
  <c r="L30" i="14"/>
  <c r="K30" i="14"/>
  <c r="J30" i="14"/>
  <c r="I30" i="14"/>
  <c r="H30" i="14"/>
  <c r="G30" i="14"/>
  <c r="F30" i="14"/>
  <c r="E30" i="14"/>
  <c r="D30" i="14"/>
  <c r="C30" i="14"/>
  <c r="C3" i="3" l="1"/>
  <c r="C4" i="14" l="1"/>
  <c r="C6" i="14"/>
  <c r="D11" i="14"/>
  <c r="C11" i="14"/>
  <c r="D10" i="14"/>
  <c r="C10" i="14"/>
  <c r="D9" i="14"/>
  <c r="C9" i="14"/>
  <c r="C25" i="14" s="1"/>
  <c r="C5" i="14"/>
  <c r="C3" i="14"/>
  <c r="C20" i="7"/>
  <c r="C19" i="7"/>
  <c r="C16" i="7"/>
  <c r="C26" i="14" l="1"/>
  <c r="O12" i="9"/>
  <c r="C6" i="2"/>
  <c r="C5" i="2"/>
  <c r="C4" i="2"/>
  <c r="C7" i="7" l="1"/>
  <c r="C6" i="7"/>
  <c r="C11" i="7" s="1"/>
  <c r="C12" i="7" l="1"/>
  <c r="C14" i="7" s="1"/>
  <c r="C15" i="14" s="1"/>
  <c r="C10" i="5"/>
  <c r="C9" i="5"/>
  <c r="C5" i="5"/>
  <c r="C4" i="5"/>
  <c r="C23" i="3"/>
  <c r="L15" i="2"/>
  <c r="M7" i="9" s="1"/>
  <c r="C15" i="2"/>
  <c r="K21" i="2" s="1"/>
  <c r="C14" i="2"/>
  <c r="K15" i="2"/>
  <c r="J15" i="2"/>
  <c r="I15" i="2"/>
  <c r="H15" i="2"/>
  <c r="G15" i="2"/>
  <c r="F15" i="2"/>
  <c r="E15" i="2"/>
  <c r="B8" i="2"/>
  <c r="D15" i="2"/>
  <c r="K22" i="2" s="1"/>
  <c r="C24" i="1"/>
  <c r="C23" i="1"/>
  <c r="C20" i="1"/>
  <c r="C19" i="1"/>
  <c r="L10" i="1"/>
  <c r="K10" i="1"/>
  <c r="J10" i="1"/>
  <c r="I10" i="1"/>
  <c r="H10" i="1"/>
  <c r="G10" i="1"/>
  <c r="F10" i="1"/>
  <c r="E10" i="1"/>
  <c r="D10" i="1"/>
  <c r="C10" i="1"/>
  <c r="L9" i="1"/>
  <c r="K9" i="1"/>
  <c r="J9" i="1"/>
  <c r="I9" i="1"/>
  <c r="H9" i="1"/>
  <c r="H11" i="1" s="1"/>
  <c r="G9" i="1"/>
  <c r="F9" i="1"/>
  <c r="E9" i="1"/>
  <c r="D9" i="1"/>
  <c r="D11" i="1" s="1"/>
  <c r="C9" i="1"/>
  <c r="L8" i="1"/>
  <c r="K8" i="1"/>
  <c r="J8" i="1"/>
  <c r="I8" i="1"/>
  <c r="H8" i="1"/>
  <c r="G8" i="1"/>
  <c r="F8" i="1"/>
  <c r="E8" i="1"/>
  <c r="D8" i="1"/>
  <c r="C8" i="1"/>
  <c r="L11" i="1" l="1"/>
  <c r="E18" i="7"/>
  <c r="E19" i="7" s="1"/>
  <c r="E20" i="7" s="1"/>
  <c r="E11" i="9" s="1"/>
  <c r="I18" i="7"/>
  <c r="I19" i="7" s="1"/>
  <c r="I20" i="7" s="1"/>
  <c r="I11" i="9" s="1"/>
  <c r="C3" i="7"/>
  <c r="C7" i="9"/>
  <c r="C8" i="9" s="1"/>
  <c r="C12" i="9" s="1"/>
  <c r="C22" i="7" s="1"/>
  <c r="C23" i="7" s="1"/>
  <c r="D11" i="7"/>
  <c r="K12" i="7" s="1"/>
  <c r="K9" i="9" s="1"/>
  <c r="C11" i="1"/>
  <c r="G11" i="1"/>
  <c r="K11" i="1"/>
  <c r="E11" i="1"/>
  <c r="I11" i="1"/>
  <c r="F11" i="1"/>
  <c r="J11" i="1"/>
  <c r="F7" i="9"/>
  <c r="L23" i="2"/>
  <c r="H23" i="2"/>
  <c r="K23" i="2"/>
  <c r="G23" i="2"/>
  <c r="I23" i="2"/>
  <c r="J23" i="2"/>
  <c r="F23" i="2"/>
  <c r="J7" i="9"/>
  <c r="J27" i="2"/>
  <c r="K27" i="2"/>
  <c r="L27" i="2"/>
  <c r="G7" i="9"/>
  <c r="J24" i="2"/>
  <c r="G24" i="2"/>
  <c r="I24" i="2"/>
  <c r="L24" i="2"/>
  <c r="H24" i="2"/>
  <c r="K24" i="2"/>
  <c r="K7" i="9"/>
  <c r="L28" i="2"/>
  <c r="K28" i="2"/>
  <c r="H7" i="9"/>
  <c r="I25" i="2"/>
  <c r="L25" i="2"/>
  <c r="H25" i="2"/>
  <c r="J25" i="2"/>
  <c r="K25" i="2"/>
  <c r="L7" i="9"/>
  <c r="L29" i="2"/>
  <c r="I7" i="9"/>
  <c r="I26" i="2"/>
  <c r="L26" i="2"/>
  <c r="K26" i="2"/>
  <c r="J26" i="2"/>
  <c r="D7" i="9"/>
  <c r="E7" i="9"/>
  <c r="C11" i="5"/>
  <c r="C6" i="5"/>
  <c r="D24" i="1"/>
  <c r="E24" i="1" s="1"/>
  <c r="F24" i="1" s="1"/>
  <c r="G24" i="1" s="1"/>
  <c r="H24" i="1" s="1"/>
  <c r="I24" i="1" s="1"/>
  <c r="J24" i="1" s="1"/>
  <c r="K24" i="1" s="1"/>
  <c r="L24" i="1" s="1"/>
  <c r="H21" i="2"/>
  <c r="L21" i="2"/>
  <c r="H22" i="2"/>
  <c r="D21" i="2"/>
  <c r="L22" i="2"/>
  <c r="F20" i="2"/>
  <c r="J20" i="2"/>
  <c r="E21" i="2"/>
  <c r="I21" i="2"/>
  <c r="E22" i="2"/>
  <c r="I22" i="2"/>
  <c r="I20" i="2"/>
  <c r="C20" i="2"/>
  <c r="G20" i="2"/>
  <c r="K20" i="2"/>
  <c r="F21" i="2"/>
  <c r="J21" i="2"/>
  <c r="F22" i="2"/>
  <c r="J22" i="2"/>
  <c r="E20" i="2"/>
  <c r="D20" i="2"/>
  <c r="H20" i="2"/>
  <c r="L20" i="2"/>
  <c r="G21" i="2"/>
  <c r="G22" i="2"/>
  <c r="C25" i="1"/>
  <c r="C29" i="1" s="1"/>
  <c r="D23" i="1"/>
  <c r="E23" i="1" s="1"/>
  <c r="L14" i="5" l="1"/>
  <c r="M18" i="7"/>
  <c r="M19" i="7" s="1"/>
  <c r="M20" i="7" s="1"/>
  <c r="M11" i="9" s="1"/>
  <c r="H14" i="5"/>
  <c r="D14" i="5"/>
  <c r="L12" i="7"/>
  <c r="L9" i="9" s="1"/>
  <c r="K18" i="7"/>
  <c r="K19" i="7" s="1"/>
  <c r="K20" i="7" s="1"/>
  <c r="K11" i="9" s="1"/>
  <c r="J14" i="5"/>
  <c r="L18" i="7"/>
  <c r="L19" i="7" s="1"/>
  <c r="L20" i="7" s="1"/>
  <c r="L11" i="9" s="1"/>
  <c r="K14" i="5"/>
  <c r="G18" i="7"/>
  <c r="G19" i="7" s="1"/>
  <c r="G20" i="7" s="1"/>
  <c r="G11" i="9" s="1"/>
  <c r="F14" i="5"/>
  <c r="H18" i="7"/>
  <c r="H19" i="7" s="1"/>
  <c r="H20" i="7" s="1"/>
  <c r="H11" i="9" s="1"/>
  <c r="G14" i="5"/>
  <c r="J18" i="7"/>
  <c r="J19" i="7" s="1"/>
  <c r="J20" i="7" s="1"/>
  <c r="J11" i="9" s="1"/>
  <c r="I14" i="5"/>
  <c r="D18" i="7"/>
  <c r="D19" i="7" s="1"/>
  <c r="D20" i="7" s="1"/>
  <c r="C8" i="12" s="1"/>
  <c r="C14" i="5"/>
  <c r="F18" i="7"/>
  <c r="F19" i="7" s="1"/>
  <c r="F20" i="7" s="1"/>
  <c r="F11" i="9" s="1"/>
  <c r="E14" i="5"/>
  <c r="C16" i="14"/>
  <c r="C17" i="14" s="1"/>
  <c r="C19" i="14" s="1"/>
  <c r="D8" i="16"/>
  <c r="D11" i="16" s="1"/>
  <c r="D13" i="16" s="1"/>
  <c r="F12" i="7"/>
  <c r="F9" i="9" s="1"/>
  <c r="E12" i="7"/>
  <c r="E9" i="9" s="1"/>
  <c r="D12" i="7"/>
  <c r="D14" i="7" s="1"/>
  <c r="D15" i="14" s="1"/>
  <c r="H12" i="7"/>
  <c r="H9" i="9" s="1"/>
  <c r="G12" i="7"/>
  <c r="G9" i="9" s="1"/>
  <c r="I12" i="7"/>
  <c r="I9" i="9" s="1"/>
  <c r="M12" i="7"/>
  <c r="M9" i="9" s="1"/>
  <c r="D16" i="7"/>
  <c r="J12" i="7"/>
  <c r="J9" i="9" s="1"/>
  <c r="E30" i="2"/>
  <c r="E16" i="2" s="1"/>
  <c r="E5" i="12" s="1"/>
  <c r="H8" i="12"/>
  <c r="D8" i="12"/>
  <c r="D30" i="2"/>
  <c r="D16" i="2" s="1"/>
  <c r="D5" i="12" s="1"/>
  <c r="C30" i="2"/>
  <c r="C16" i="2" s="1"/>
  <c r="I30" i="2"/>
  <c r="I16" i="2" s="1"/>
  <c r="I5" i="12" s="1"/>
  <c r="L30" i="2"/>
  <c r="L16" i="2" s="1"/>
  <c r="L5" i="12" s="1"/>
  <c r="K30" i="2"/>
  <c r="K16" i="2" s="1"/>
  <c r="K5" i="12" s="1"/>
  <c r="J30" i="2"/>
  <c r="J16" i="2" s="1"/>
  <c r="J5" i="12" s="1"/>
  <c r="H30" i="2"/>
  <c r="H16" i="2" s="1"/>
  <c r="H5" i="12" s="1"/>
  <c r="G30" i="2"/>
  <c r="G16" i="2" s="1"/>
  <c r="G5" i="12" s="1"/>
  <c r="F30" i="2"/>
  <c r="F16" i="2" s="1"/>
  <c r="F5" i="12" s="1"/>
  <c r="D25" i="1"/>
  <c r="D29" i="1" s="1"/>
  <c r="C28" i="1"/>
  <c r="K15" i="5"/>
  <c r="G15" i="5"/>
  <c r="C15" i="5"/>
  <c r="F15" i="5"/>
  <c r="J15" i="5"/>
  <c r="I15" i="5"/>
  <c r="E15" i="5"/>
  <c r="L15" i="5"/>
  <c r="H15" i="5"/>
  <c r="D15" i="5"/>
  <c r="C30" i="1"/>
  <c r="F23" i="1"/>
  <c r="E25" i="1"/>
  <c r="L8" i="12" l="1"/>
  <c r="D9" i="9"/>
  <c r="C20" i="14"/>
  <c r="C21" i="14" s="1"/>
  <c r="D11" i="9"/>
  <c r="G8" i="12"/>
  <c r="E8" i="12"/>
  <c r="I8" i="12"/>
  <c r="F8" i="12"/>
  <c r="J8" i="12"/>
  <c r="K8" i="12"/>
  <c r="C5" i="12"/>
  <c r="C17" i="2"/>
  <c r="D14" i="2" s="1"/>
  <c r="D17" i="2" s="1"/>
  <c r="E14" i="2" s="1"/>
  <c r="E17" i="2" s="1"/>
  <c r="F14" i="2" s="1"/>
  <c r="F17" i="2" s="1"/>
  <c r="G14" i="2" s="1"/>
  <c r="G17" i="2" s="1"/>
  <c r="H14" i="2" s="1"/>
  <c r="H17" i="2" s="1"/>
  <c r="I14" i="2" s="1"/>
  <c r="I17" i="2" s="1"/>
  <c r="J14" i="2" s="1"/>
  <c r="J17" i="2" s="1"/>
  <c r="K14" i="2" s="1"/>
  <c r="K17" i="2" s="1"/>
  <c r="L14" i="2" s="1"/>
  <c r="L17" i="2" s="1"/>
  <c r="C31" i="1"/>
  <c r="C4" i="12" s="1"/>
  <c r="D28" i="1"/>
  <c r="D30" i="1"/>
  <c r="G23" i="1"/>
  <c r="F25" i="1"/>
  <c r="E30" i="1"/>
  <c r="E28" i="1"/>
  <c r="E29" i="1"/>
  <c r="C29" i="14" l="1"/>
  <c r="C31" i="14" s="1"/>
  <c r="C33" i="14" s="1"/>
  <c r="C35" i="14" s="1"/>
  <c r="C6" i="12"/>
  <c r="D31" i="1"/>
  <c r="D4" i="12" s="1"/>
  <c r="D6" i="12" s="1"/>
  <c r="E31" i="1"/>
  <c r="F4" i="9" s="1"/>
  <c r="C16" i="5"/>
  <c r="C17" i="5" s="1"/>
  <c r="D6" i="9" s="1"/>
  <c r="D4" i="9"/>
  <c r="F29" i="1"/>
  <c r="F28" i="1"/>
  <c r="F30" i="1"/>
  <c r="H23" i="1"/>
  <c r="G25" i="1"/>
  <c r="E4" i="9" l="1"/>
  <c r="D16" i="5"/>
  <c r="D17" i="5" s="1"/>
  <c r="E6" i="9" s="1"/>
  <c r="E16" i="5"/>
  <c r="E4" i="12"/>
  <c r="E6" i="12" s="1"/>
  <c r="F31" i="1"/>
  <c r="F4" i="12" s="1"/>
  <c r="F6" i="12" s="1"/>
  <c r="I23" i="1"/>
  <c r="H25" i="1"/>
  <c r="G29" i="1"/>
  <c r="G30" i="1"/>
  <c r="G28" i="1"/>
  <c r="E17" i="5" l="1"/>
  <c r="F6" i="9" s="1"/>
  <c r="F16" i="5"/>
  <c r="F17" i="5" s="1"/>
  <c r="G6" i="9" s="1"/>
  <c r="G4" i="9"/>
  <c r="G31" i="1"/>
  <c r="G16" i="5" s="1"/>
  <c r="H30" i="1"/>
  <c r="H28" i="1"/>
  <c r="H29" i="1"/>
  <c r="J23" i="1"/>
  <c r="I25" i="1"/>
  <c r="G4" i="12" l="1"/>
  <c r="G6" i="12" s="1"/>
  <c r="G17" i="5"/>
  <c r="H6" i="9" s="1"/>
  <c r="H4" i="9"/>
  <c r="H31" i="1"/>
  <c r="H4" i="12" s="1"/>
  <c r="H6" i="12" s="1"/>
  <c r="K23" i="1"/>
  <c r="J25" i="1"/>
  <c r="I29" i="1"/>
  <c r="I30" i="1"/>
  <c r="I28" i="1"/>
  <c r="I4" i="9" l="1"/>
  <c r="H16" i="5"/>
  <c r="H17" i="5" s="1"/>
  <c r="I6" i="9" s="1"/>
  <c r="I31" i="1"/>
  <c r="I4" i="12" s="1"/>
  <c r="I6" i="12" s="1"/>
  <c r="J29" i="1"/>
  <c r="J30" i="1"/>
  <c r="J28" i="1"/>
  <c r="L23" i="1"/>
  <c r="L25" i="1" s="1"/>
  <c r="K25" i="1"/>
  <c r="J4" i="9" l="1"/>
  <c r="I16" i="5"/>
  <c r="I17" i="5" s="1"/>
  <c r="J6" i="9" s="1"/>
  <c r="J31" i="1"/>
  <c r="K4" i="9" s="1"/>
  <c r="E11" i="7"/>
  <c r="L30" i="1"/>
  <c r="L28" i="1"/>
  <c r="L29" i="1"/>
  <c r="K30" i="1"/>
  <c r="K28" i="1"/>
  <c r="K29" i="1"/>
  <c r="E14" i="7" l="1"/>
  <c r="E16" i="7"/>
  <c r="J16" i="5"/>
  <c r="J17" i="5" s="1"/>
  <c r="K6" i="9" s="1"/>
  <c r="J4" i="12"/>
  <c r="J6" i="12" s="1"/>
  <c r="L31" i="1"/>
  <c r="L4" i="12" s="1"/>
  <c r="L6" i="12" s="1"/>
  <c r="K31" i="1"/>
  <c r="L4" i="9" s="1"/>
  <c r="C7" i="12"/>
  <c r="C9" i="12" s="1"/>
  <c r="C10" i="12" s="1"/>
  <c r="D10" i="9"/>
  <c r="F11" i="7" l="1"/>
  <c r="F14" i="7" s="1"/>
  <c r="F15" i="14" s="1"/>
  <c r="E15" i="14"/>
  <c r="F16" i="7"/>
  <c r="L16" i="5"/>
  <c r="M4" i="9"/>
  <c r="K16" i="5"/>
  <c r="K17" i="5" s="1"/>
  <c r="L6" i="9" s="1"/>
  <c r="K4" i="12"/>
  <c r="K6" i="12" s="1"/>
  <c r="D7" i="12"/>
  <c r="D9" i="12" s="1"/>
  <c r="D10" i="12" s="1"/>
  <c r="E10" i="9"/>
  <c r="C11" i="12"/>
  <c r="D5" i="9"/>
  <c r="D8" i="9" s="1"/>
  <c r="D12" i="9" s="1"/>
  <c r="G11" i="7" l="1"/>
  <c r="G16" i="7" s="1"/>
  <c r="E8" i="16"/>
  <c r="D22" i="7"/>
  <c r="D23" i="7" s="1"/>
  <c r="D16" i="14" s="1"/>
  <c r="D17" i="14" s="1"/>
  <c r="L17" i="5"/>
  <c r="M6" i="9" s="1"/>
  <c r="E7" i="12"/>
  <c r="E9" i="12" s="1"/>
  <c r="E10" i="12" s="1"/>
  <c r="F10" i="9"/>
  <c r="D11" i="12"/>
  <c r="E5" i="9"/>
  <c r="E8" i="9" s="1"/>
  <c r="E12" i="9" s="1"/>
  <c r="G14" i="7" l="1"/>
  <c r="H11" i="7" s="1"/>
  <c r="D20" i="14"/>
  <c r="D19" i="14"/>
  <c r="F8" i="16"/>
  <c r="E22" i="7"/>
  <c r="E23" i="7" s="1"/>
  <c r="E16" i="14" s="1"/>
  <c r="F7" i="12"/>
  <c r="F9" i="12" s="1"/>
  <c r="F10" i="12" s="1"/>
  <c r="G10" i="9"/>
  <c r="E11" i="12"/>
  <c r="F5" i="9"/>
  <c r="F8" i="9" s="1"/>
  <c r="F12" i="9" s="1"/>
  <c r="H14" i="7" l="1"/>
  <c r="I11" i="7" s="1"/>
  <c r="I14" i="7" s="1"/>
  <c r="H16" i="7"/>
  <c r="G15" i="14"/>
  <c r="D21" i="14"/>
  <c r="D29" i="14"/>
  <c r="D31" i="14" s="1"/>
  <c r="D33" i="14" s="1"/>
  <c r="E17" i="14"/>
  <c r="E19" i="14" s="1"/>
  <c r="G8" i="16"/>
  <c r="F22" i="7"/>
  <c r="F23" i="7" s="1"/>
  <c r="F16" i="14" s="1"/>
  <c r="F17" i="14" s="1"/>
  <c r="F11" i="12"/>
  <c r="G5" i="9"/>
  <c r="G8" i="9" s="1"/>
  <c r="G12" i="9" s="1"/>
  <c r="G22" i="7" s="1"/>
  <c r="G7" i="12"/>
  <c r="G9" i="12" s="1"/>
  <c r="G10" i="12" s="1"/>
  <c r="H10" i="9"/>
  <c r="H15" i="14" l="1"/>
  <c r="D35" i="14"/>
  <c r="E10" i="16"/>
  <c r="E11" i="16" s="1"/>
  <c r="E13" i="16" s="1"/>
  <c r="J11" i="7"/>
  <c r="J16" i="7" s="1"/>
  <c r="I15" i="14"/>
  <c r="F20" i="14"/>
  <c r="F19" i="14"/>
  <c r="I16" i="7"/>
  <c r="I10" i="9" s="1"/>
  <c r="E20" i="14"/>
  <c r="E21" i="14" s="1"/>
  <c r="G23" i="7"/>
  <c r="G16" i="14" s="1"/>
  <c r="H8" i="16"/>
  <c r="G11" i="12"/>
  <c r="H5" i="9"/>
  <c r="H8" i="9" s="1"/>
  <c r="H12" i="9" s="1"/>
  <c r="H22" i="7" s="1"/>
  <c r="J14" i="7" l="1"/>
  <c r="H7" i="12"/>
  <c r="H9" i="12" s="1"/>
  <c r="H10" i="12" s="1"/>
  <c r="I5" i="9" s="1"/>
  <c r="I8" i="9" s="1"/>
  <c r="I12" i="9" s="1"/>
  <c r="F29" i="14"/>
  <c r="F31" i="14" s="1"/>
  <c r="F33" i="14" s="1"/>
  <c r="E29" i="14"/>
  <c r="E31" i="14" s="1"/>
  <c r="E33" i="14" s="1"/>
  <c r="F21" i="14"/>
  <c r="K11" i="7"/>
  <c r="K16" i="7" s="1"/>
  <c r="J15" i="14"/>
  <c r="G17" i="14"/>
  <c r="G19" i="14" s="1"/>
  <c r="H23" i="7"/>
  <c r="H16" i="14" s="1"/>
  <c r="H17" i="14" s="1"/>
  <c r="I8" i="16"/>
  <c r="I7" i="12"/>
  <c r="I9" i="12" s="1"/>
  <c r="I10" i="12" s="1"/>
  <c r="J10" i="9"/>
  <c r="H11" i="12" l="1"/>
  <c r="F35" i="14"/>
  <c r="G10" i="16"/>
  <c r="E35" i="14"/>
  <c r="G11" i="16" s="1"/>
  <c r="G13" i="16" s="1"/>
  <c r="F10" i="16"/>
  <c r="F11" i="16" s="1"/>
  <c r="F13" i="16" s="1"/>
  <c r="K14" i="7"/>
  <c r="L11" i="7" s="1"/>
  <c r="H20" i="14"/>
  <c r="H19" i="14"/>
  <c r="G20" i="14"/>
  <c r="G21" i="14" s="1"/>
  <c r="J8" i="16"/>
  <c r="I22" i="7"/>
  <c r="I23" i="7" s="1"/>
  <c r="I16" i="14" s="1"/>
  <c r="J7" i="12"/>
  <c r="J9" i="12" s="1"/>
  <c r="J10" i="12" s="1"/>
  <c r="K10" i="9"/>
  <c r="I11" i="12"/>
  <c r="J5" i="9"/>
  <c r="J8" i="9" s="1"/>
  <c r="J12" i="9" s="1"/>
  <c r="J22" i="7" s="1"/>
  <c r="L16" i="7" l="1"/>
  <c r="L14" i="7"/>
  <c r="K15" i="14"/>
  <c r="H29" i="14"/>
  <c r="H31" i="14" s="1"/>
  <c r="H33" i="14" s="1"/>
  <c r="G29" i="14"/>
  <c r="G31" i="14" s="1"/>
  <c r="G33" i="14" s="1"/>
  <c r="H21" i="14"/>
  <c r="M11" i="7"/>
  <c r="M16" i="7" s="1"/>
  <c r="M10" i="9" s="1"/>
  <c r="L15" i="14"/>
  <c r="I17" i="14"/>
  <c r="I19" i="14" s="1"/>
  <c r="J23" i="7"/>
  <c r="J16" i="14" s="1"/>
  <c r="J17" i="14" s="1"/>
  <c r="K8" i="16"/>
  <c r="K7" i="12"/>
  <c r="K9" i="12" s="1"/>
  <c r="K10" i="12" s="1"/>
  <c r="L10" i="9"/>
  <c r="J11" i="12"/>
  <c r="K5" i="9"/>
  <c r="K8" i="9" s="1"/>
  <c r="K12" i="9" s="1"/>
  <c r="K22" i="7" s="1"/>
  <c r="G35" i="14" l="1"/>
  <c r="H10" i="16"/>
  <c r="H11" i="16" s="1"/>
  <c r="H13" i="16" s="1"/>
  <c r="H35" i="14"/>
  <c r="I10" i="16"/>
  <c r="M14" i="7"/>
  <c r="C5" i="16" s="1"/>
  <c r="O8" i="16" s="1"/>
  <c r="M15" i="14"/>
  <c r="I20" i="14"/>
  <c r="I21" i="14" s="1"/>
  <c r="J20" i="14"/>
  <c r="J19" i="14"/>
  <c r="L7" i="12"/>
  <c r="L9" i="12" s="1"/>
  <c r="L10" i="12" s="1"/>
  <c r="M5" i="9" s="1"/>
  <c r="M8" i="9" s="1"/>
  <c r="M12" i="9" s="1"/>
  <c r="K23" i="7"/>
  <c r="K16" i="14" s="1"/>
  <c r="L8" i="16"/>
  <c r="K11" i="12"/>
  <c r="L5" i="9"/>
  <c r="L8" i="9" s="1"/>
  <c r="L12" i="9" s="1"/>
  <c r="L22" i="7" s="1"/>
  <c r="I11" i="16" l="1"/>
  <c r="I13" i="16" s="1"/>
  <c r="J29" i="14"/>
  <c r="J31" i="14" s="1"/>
  <c r="J33" i="14" s="1"/>
  <c r="I29" i="14"/>
  <c r="I31" i="14" s="1"/>
  <c r="I33" i="14" s="1"/>
  <c r="J21" i="14"/>
  <c r="L11" i="12"/>
  <c r="K17" i="14"/>
  <c r="K19" i="14" s="1"/>
  <c r="N8" i="16"/>
  <c r="M22" i="7"/>
  <c r="L23" i="7"/>
  <c r="L16" i="14" s="1"/>
  <c r="L17" i="14" s="1"/>
  <c r="M8" i="16"/>
  <c r="I35" i="14" l="1"/>
  <c r="J10" i="16"/>
  <c r="J11" i="16" s="1"/>
  <c r="J13" i="16" s="1"/>
  <c r="J35" i="14"/>
  <c r="K10" i="16"/>
  <c r="L20" i="14"/>
  <c r="L19" i="14"/>
  <c r="K20" i="14"/>
  <c r="K21" i="14" s="1"/>
  <c r="M23" i="7"/>
  <c r="M16" i="14" s="1"/>
  <c r="K11" i="16" l="1"/>
  <c r="K13" i="16" s="1"/>
  <c r="L21" i="14"/>
  <c r="L29" i="14"/>
  <c r="L31" i="14" s="1"/>
  <c r="L33" i="14" s="1"/>
  <c r="K29" i="14"/>
  <c r="K31" i="14" s="1"/>
  <c r="K33" i="14" s="1"/>
  <c r="M17" i="14"/>
  <c r="M19" i="14" s="1"/>
  <c r="K35" i="14" l="1"/>
  <c r="L10" i="16"/>
  <c r="L11" i="16" s="1"/>
  <c r="L13" i="16" s="1"/>
  <c r="L35" i="14"/>
  <c r="M10" i="16"/>
  <c r="M20" i="14"/>
  <c r="M21" i="14" s="1"/>
  <c r="M11" i="16" l="1"/>
  <c r="M13" i="16" s="1"/>
  <c r="M29" i="14"/>
  <c r="M31" i="14" s="1"/>
  <c r="M33" i="14" s="1"/>
  <c r="M35" i="14" l="1"/>
  <c r="N10" i="16"/>
  <c r="N12" i="16" l="1"/>
  <c r="N11" i="16"/>
  <c r="N13" i="16" l="1"/>
</calcChain>
</file>

<file path=xl/sharedStrings.xml><?xml version="1.0" encoding="utf-8"?>
<sst xmlns="http://schemas.openxmlformats.org/spreadsheetml/2006/main" count="189" uniqueCount="125">
  <si>
    <t>Base volume</t>
  </si>
  <si>
    <t>Base case</t>
  </si>
  <si>
    <t>Best case</t>
  </si>
  <si>
    <t>Worst case</t>
  </si>
  <si>
    <t>Best volume</t>
  </si>
  <si>
    <t>Worst volume</t>
  </si>
  <si>
    <t>Price of production in Italy</t>
  </si>
  <si>
    <t>Price of production in Vietnam</t>
  </si>
  <si>
    <t>Expected long-term inflation Italy</t>
  </si>
  <si>
    <t>Expected long-term inflation Vietnam</t>
  </si>
  <si>
    <t>Price of production (EUR)</t>
  </si>
  <si>
    <t>Volume (in units)</t>
  </si>
  <si>
    <t>Productivity (as a %)</t>
  </si>
  <si>
    <t>Savings per unit</t>
  </si>
  <si>
    <t>Total savings (EUR)</t>
  </si>
  <si>
    <t>Savings forecast</t>
  </si>
  <si>
    <t>Investment plan</t>
  </si>
  <si>
    <t>Estimated initial investment (in EUR)</t>
  </si>
  <si>
    <t>Year 1</t>
  </si>
  <si>
    <t>Useful life (years)</t>
  </si>
  <si>
    <t>D&amp;A</t>
  </si>
  <si>
    <t>Selected case</t>
  </si>
  <si>
    <t>Drivers</t>
  </si>
  <si>
    <t>Capex</t>
  </si>
  <si>
    <t>in EUR</t>
  </si>
  <si>
    <t>Fixed asset roll-forward</t>
  </si>
  <si>
    <t>Beginning PP&amp;E</t>
  </si>
  <si>
    <t>Ending PP&amp;E</t>
  </si>
  <si>
    <t>D&amp;A schedule (in EUR)</t>
  </si>
  <si>
    <t>Capex Year 1</t>
  </si>
  <si>
    <t>Capex Year 2</t>
  </si>
  <si>
    <t>Capex Year 3</t>
  </si>
  <si>
    <t>WC Italy</t>
  </si>
  <si>
    <t>DPO</t>
  </si>
  <si>
    <t>DIO</t>
  </si>
  <si>
    <t>Net Trading Cycle (days)</t>
  </si>
  <si>
    <t>WC Vietnam</t>
  </si>
  <si>
    <t xml:space="preserve"> </t>
  </si>
  <si>
    <t>DIO Vietnam</t>
  </si>
  <si>
    <t>DPO Vietnam</t>
  </si>
  <si>
    <t>Delta Working Capital</t>
  </si>
  <si>
    <t>Financing</t>
  </si>
  <si>
    <t>Financing facilities</t>
  </si>
  <si>
    <t>Senior Facility (million EUR)</t>
  </si>
  <si>
    <t>Inflation</t>
  </si>
  <si>
    <t>Price of production</t>
  </si>
  <si>
    <t>Interest rate Senior Facility</t>
  </si>
  <si>
    <t>Covenants</t>
  </si>
  <si>
    <t>Savings per unit (EBITDA)</t>
  </si>
  <si>
    <t xml:space="preserve">Operating Cash Flow </t>
  </si>
  <si>
    <t>Interest expense</t>
  </si>
  <si>
    <t>Debt repayment</t>
  </si>
  <si>
    <t>Volume</t>
  </si>
  <si>
    <t>Volume lower than 16,000?</t>
  </si>
  <si>
    <t>Covenant 1</t>
  </si>
  <si>
    <t>Covenant Penalty</t>
  </si>
  <si>
    <t>Interest expenses</t>
  </si>
  <si>
    <t>Covenant penalty</t>
  </si>
  <si>
    <t>P&amp;L</t>
  </si>
  <si>
    <t>Savings (EBITDA)</t>
  </si>
  <si>
    <t>EBIT</t>
  </si>
  <si>
    <t>EBT</t>
  </si>
  <si>
    <t>Taxes</t>
  </si>
  <si>
    <t>Net Income</t>
  </si>
  <si>
    <t>Tax rate</t>
  </si>
  <si>
    <t>10 years</t>
  </si>
  <si>
    <t>Repay Senior Facility in</t>
  </si>
  <si>
    <t>Investment in Year 0</t>
  </si>
  <si>
    <t>Net Cash Flow</t>
  </si>
  <si>
    <t>Capex Year 4</t>
  </si>
  <si>
    <t>Capex Year 5</t>
  </si>
  <si>
    <t>Capex Year 6</t>
  </si>
  <si>
    <t>Capex Year 7</t>
  </si>
  <si>
    <t>Capex Year 8</t>
  </si>
  <si>
    <t>Capex Year 9</t>
  </si>
  <si>
    <t>Capex Year 10</t>
  </si>
  <si>
    <t>Residual value of the project</t>
  </si>
  <si>
    <t>Production should not be less than 15,000 per year.</t>
  </si>
  <si>
    <t>Extra production value</t>
  </si>
  <si>
    <t>Delta net trading cycle (days)</t>
  </si>
  <si>
    <t>Working capital</t>
  </si>
  <si>
    <t>Residual Value</t>
  </si>
  <si>
    <t>WACC</t>
  </si>
  <si>
    <t>Discounted Cash Flow</t>
  </si>
  <si>
    <t>Discounted Cash Flows</t>
  </si>
  <si>
    <t>Cash Flow</t>
  </si>
  <si>
    <t>Input --&gt;</t>
  </si>
  <si>
    <t>Output --&gt;</t>
  </si>
  <si>
    <t>Repayment %</t>
  </si>
  <si>
    <t>Otherwise penalty of $1,000,000 per year.</t>
  </si>
  <si>
    <t>Equity financing</t>
  </si>
  <si>
    <t>Repayment</t>
  </si>
  <si>
    <t>Ending Debt</t>
  </si>
  <si>
    <t>Beginning Debt</t>
  </si>
  <si>
    <t>Debt Facility (million EUR)</t>
  </si>
  <si>
    <t>Interest rate Debt Facility</t>
  </si>
  <si>
    <t>Repay Debt Facility in</t>
  </si>
  <si>
    <t>Cost of debt</t>
  </si>
  <si>
    <t>Debt financing</t>
  </si>
  <si>
    <t>Comparable companies</t>
  </si>
  <si>
    <t>Company A</t>
  </si>
  <si>
    <t>Beta</t>
  </si>
  <si>
    <t>Company B</t>
  </si>
  <si>
    <t>Total financing</t>
  </si>
  <si>
    <t>Debt financing %</t>
  </si>
  <si>
    <t>Equity financing %</t>
  </si>
  <si>
    <t>Total financing %</t>
  </si>
  <si>
    <t>Company C</t>
  </si>
  <si>
    <t>Comparable companies:</t>
  </si>
  <si>
    <t>Average leverage</t>
  </si>
  <si>
    <t>Average beta</t>
  </si>
  <si>
    <t>Project beta:</t>
  </si>
  <si>
    <t>Company beta</t>
  </si>
  <si>
    <t>Beta unlevered</t>
  </si>
  <si>
    <t>Leverage (D/E)</t>
  </si>
  <si>
    <t>Debt / Equity</t>
  </si>
  <si>
    <t>Cost of equity</t>
  </si>
  <si>
    <t>Market risk premium in Vietnam</t>
  </si>
  <si>
    <t>Market risk premium in Italy</t>
  </si>
  <si>
    <t>Risk-free rate in Vietnam</t>
  </si>
  <si>
    <t>Risk-free rate in Italy</t>
  </si>
  <si>
    <t>Risk-free in Vietnam</t>
  </si>
  <si>
    <t>Discounted Cash Flow with Residual Value</t>
  </si>
  <si>
    <t>Present Value Residual Value</t>
  </si>
  <si>
    <t>Workings 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</si>
</sst>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12"/>
      <color rgb="FF002060"/>
      <name val="Arial"/>
      <family val="2"/>
      <charset val="204"/>
    </font>
    <font>
      <sz val="11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9"/>
      <color rgb="FF002060"/>
      <name val="Arial"/>
      <family val="2"/>
      <charset val="204"/>
    </font>
    <font>
      <u/>
      <sz val="9"/>
      <color theme="1"/>
      <name val="Arial"/>
      <family val="2"/>
      <charset val="204"/>
    </font>
    <font>
      <b/>
      <sz val="40"/>
      <color rgb="FF002060"/>
      <name val="Arial"/>
      <family val="2"/>
      <charset val="204"/>
    </font>
    <font>
      <sz val="9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2060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9" fontId="3" fillId="2" borderId="0" xfId="0" applyNumberFormat="1" applyFont="1" applyFill="1"/>
    <xf numFmtId="165" fontId="3" fillId="2" borderId="0" xfId="1" applyNumberFormat="1" applyFont="1" applyFill="1"/>
    <xf numFmtId="0" fontId="6" fillId="2" borderId="2" xfId="0" applyFont="1" applyFill="1" applyBorder="1"/>
    <xf numFmtId="0" fontId="6" fillId="2" borderId="3" xfId="0" applyFont="1" applyFill="1" applyBorder="1"/>
    <xf numFmtId="165" fontId="6" fillId="2" borderId="3" xfId="0" applyNumberFormat="1" applyFont="1" applyFill="1" applyBorder="1"/>
    <xf numFmtId="165" fontId="0" fillId="2" borderId="0" xfId="1" applyNumberFormat="1" applyFont="1" applyFill="1"/>
    <xf numFmtId="9" fontId="0" fillId="2" borderId="0" xfId="0" applyNumberFormat="1" applyFill="1"/>
    <xf numFmtId="0" fontId="5" fillId="2" borderId="4" xfId="0" applyFont="1" applyFill="1" applyBorder="1"/>
    <xf numFmtId="0" fontId="7" fillId="3" borderId="0" xfId="0" applyFont="1" applyFill="1"/>
    <xf numFmtId="165" fontId="5" fillId="2" borderId="4" xfId="1" applyNumberFormat="1" applyFont="1" applyFill="1" applyBorder="1"/>
    <xf numFmtId="0" fontId="6" fillId="2" borderId="0" xfId="0" applyFont="1" applyFill="1" applyBorder="1"/>
    <xf numFmtId="165" fontId="3" fillId="2" borderId="0" xfId="0" applyNumberFormat="1" applyFont="1" applyFill="1"/>
    <xf numFmtId="0" fontId="6" fillId="2" borderId="5" xfId="0" applyFont="1" applyFill="1" applyBorder="1"/>
    <xf numFmtId="0" fontId="0" fillId="2" borderId="0" xfId="0" applyFill="1" applyBorder="1"/>
    <xf numFmtId="0" fontId="3" fillId="2" borderId="0" xfId="0" applyFont="1" applyFill="1" applyBorder="1"/>
    <xf numFmtId="165" fontId="3" fillId="2" borderId="0" xfId="1" applyNumberFormat="1" applyFont="1" applyFill="1" applyBorder="1"/>
    <xf numFmtId="165" fontId="5" fillId="2" borderId="4" xfId="0" applyNumberFormat="1" applyFont="1" applyFill="1" applyBorder="1"/>
    <xf numFmtId="0" fontId="8" fillId="2" borderId="3" xfId="0" applyFont="1" applyFill="1" applyBorder="1"/>
    <xf numFmtId="165" fontId="8" fillId="2" borderId="3" xfId="0" applyNumberFormat="1" applyFont="1" applyFill="1" applyBorder="1"/>
    <xf numFmtId="0" fontId="5" fillId="2" borderId="0" xfId="0" applyFont="1" applyFill="1"/>
    <xf numFmtId="9" fontId="3" fillId="2" borderId="0" xfId="0" applyNumberFormat="1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0" fillId="2" borderId="2" xfId="0" applyFont="1" applyFill="1" applyBorder="1"/>
    <xf numFmtId="0" fontId="11" fillId="2" borderId="0" xfId="0" applyFont="1" applyFill="1" applyBorder="1"/>
    <xf numFmtId="165" fontId="11" fillId="2" borderId="0" xfId="1" applyNumberFormat="1" applyFont="1" applyFill="1" applyBorder="1"/>
    <xf numFmtId="0" fontId="12" fillId="2" borderId="4" xfId="0" applyFont="1" applyFill="1" applyBorder="1"/>
    <xf numFmtId="165" fontId="12" fillId="2" borderId="4" xfId="0" applyNumberFormat="1" applyFont="1" applyFill="1" applyBorder="1"/>
    <xf numFmtId="0" fontId="10" fillId="2" borderId="3" xfId="0" applyFont="1" applyFill="1" applyBorder="1"/>
    <xf numFmtId="165" fontId="10" fillId="2" borderId="3" xfId="0" applyNumberFormat="1" applyFont="1" applyFill="1" applyBorder="1"/>
    <xf numFmtId="0" fontId="10" fillId="2" borderId="2" xfId="0" applyFont="1" applyFill="1" applyBorder="1" applyAlignment="1">
      <alignment horizontal="right"/>
    </xf>
    <xf numFmtId="165" fontId="12" fillId="2" borderId="0" xfId="0" applyNumberFormat="1" applyFont="1" applyFill="1" applyBorder="1"/>
    <xf numFmtId="0" fontId="10" fillId="2" borderId="0" xfId="0" applyFont="1" applyFill="1" applyBorder="1"/>
    <xf numFmtId="165" fontId="10" fillId="2" borderId="0" xfId="0" applyNumberFormat="1" applyFont="1" applyFill="1" applyBorder="1"/>
    <xf numFmtId="166" fontId="11" fillId="2" borderId="0" xfId="2" applyNumberFormat="1" applyFont="1" applyFill="1"/>
    <xf numFmtId="0" fontId="13" fillId="2" borderId="0" xfId="0" applyFont="1" applyFill="1"/>
    <xf numFmtId="166" fontId="3" fillId="2" borderId="0" xfId="2" applyNumberFormat="1" applyFont="1" applyFill="1"/>
    <xf numFmtId="9" fontId="3" fillId="2" borderId="0" xfId="2" applyFont="1" applyFill="1" applyBorder="1"/>
    <xf numFmtId="0" fontId="14" fillId="2" borderId="0" xfId="0" applyFont="1" applyFill="1"/>
    <xf numFmtId="0" fontId="15" fillId="2" borderId="0" xfId="0" applyFont="1" applyFill="1"/>
    <xf numFmtId="0" fontId="16" fillId="2" borderId="0" xfId="0" applyFont="1" applyFill="1"/>
    <xf numFmtId="165" fontId="17" fillId="3" borderId="0" xfId="1" applyNumberFormat="1" applyFont="1" applyFill="1" applyBorder="1"/>
    <xf numFmtId="165" fontId="16" fillId="2" borderId="0" xfId="1" applyNumberFormat="1" applyFont="1" applyFill="1" applyBorder="1"/>
    <xf numFmtId="0" fontId="15" fillId="2" borderId="0" xfId="0" applyFont="1" applyFill="1" applyBorder="1"/>
    <xf numFmtId="0" fontId="18" fillId="2" borderId="1" xfId="0" applyFont="1" applyFill="1" applyBorder="1"/>
    <xf numFmtId="0" fontId="19" fillId="2" borderId="1" xfId="0" applyFont="1" applyFill="1" applyBorder="1"/>
    <xf numFmtId="9" fontId="16" fillId="2" borderId="0" xfId="2" applyFont="1" applyFill="1"/>
    <xf numFmtId="9" fontId="16" fillId="2" borderId="0" xfId="0" applyNumberFormat="1" applyFont="1" applyFill="1" applyAlignment="1">
      <alignment horizontal="right"/>
    </xf>
    <xf numFmtId="0" fontId="20" fillId="2" borderId="2" xfId="0" applyFont="1" applyFill="1" applyBorder="1"/>
    <xf numFmtId="165" fontId="18" fillId="2" borderId="4" xfId="1" applyNumberFormat="1" applyFont="1" applyFill="1" applyBorder="1"/>
    <xf numFmtId="9" fontId="16" fillId="2" borderId="0" xfId="2" applyFont="1" applyFill="1" applyBorder="1"/>
    <xf numFmtId="165" fontId="18" fillId="2" borderId="0" xfId="1" applyNumberFormat="1" applyFont="1" applyFill="1" applyBorder="1"/>
    <xf numFmtId="165" fontId="16" fillId="2" borderId="0" xfId="1" applyNumberFormat="1" applyFont="1" applyFill="1" applyBorder="1" applyAlignment="1">
      <alignment horizontal="right" vertical="top"/>
    </xf>
    <xf numFmtId="165" fontId="18" fillId="2" borderId="4" xfId="1" applyNumberFormat="1" applyFont="1" applyFill="1" applyBorder="1" applyAlignment="1">
      <alignment horizontal="right" vertical="top"/>
    </xf>
    <xf numFmtId="165" fontId="3" fillId="2" borderId="4" xfId="1" applyNumberFormat="1" applyFont="1" applyFill="1" applyBorder="1"/>
    <xf numFmtId="166" fontId="5" fillId="2" borderId="4" xfId="2" applyNumberFormat="1" applyFont="1" applyFill="1" applyBorder="1"/>
    <xf numFmtId="0" fontId="6" fillId="2" borderId="2" xfId="0" applyFont="1" applyFill="1" applyBorder="1" applyAlignment="1">
      <alignment horizontal="right"/>
    </xf>
    <xf numFmtId="164" fontId="3" fillId="2" borderId="0" xfId="1" applyFont="1" applyFill="1"/>
    <xf numFmtId="164" fontId="3" fillId="2" borderId="0" xfId="1" applyNumberFormat="1" applyFont="1" applyFill="1"/>
    <xf numFmtId="164" fontId="3" fillId="2" borderId="0" xfId="0" applyNumberFormat="1" applyFont="1" applyFill="1"/>
    <xf numFmtId="0" fontId="5" fillId="2" borderId="0" xfId="0" applyFont="1" applyFill="1" applyBorder="1"/>
    <xf numFmtId="164" fontId="5" fillId="2" borderId="4" xfId="1" applyNumberFormat="1" applyFont="1" applyFill="1" applyBorder="1"/>
    <xf numFmtId="166" fontId="5" fillId="2" borderId="0" xfId="2" applyNumberFormat="1" applyFont="1" applyFill="1"/>
    <xf numFmtId="166" fontId="8" fillId="2" borderId="3" xfId="2" applyNumberFormat="1" applyFont="1" applyFill="1" applyBorder="1"/>
    <xf numFmtId="165" fontId="5" fillId="2" borderId="0" xfId="1" applyNumberFormat="1" applyFont="1" applyFill="1" applyBorder="1"/>
    <xf numFmtId="0" fontId="21" fillId="2" borderId="0" xfId="0" applyFont="1" applyFill="1"/>
    <xf numFmtId="0" fontId="22" fillId="2" borderId="0" xfId="0" applyFont="1" applyFill="1"/>
    <xf numFmtId="0" fontId="23" fillId="2" borderId="0" xfId="0" applyFont="1" applyFill="1"/>
    <xf numFmtId="165" fontId="3" fillId="2" borderId="0" xfId="1" applyNumberFormat="1" applyFont="1" applyFill="1" applyBorder="1" applyAlignment="1">
      <alignment horizontal="left"/>
    </xf>
    <xf numFmtId="166" fontId="3" fillId="2" borderId="0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7"/>
  <sheetViews>
    <sheetView workbookViewId="0">
      <selection activeCell="J40" sqref="J40"/>
    </sheetView>
  </sheetViews>
  <sheetFormatPr defaultColWidth="9.109375" defaultRowHeight="11.4" x14ac:dyDescent="0.2"/>
  <cols>
    <col min="1" max="1" width="2" style="73" customWidth="1"/>
    <col min="2" max="16384" width="9.109375" style="73"/>
  </cols>
  <sheetData>
    <row r="17" spans="2:2" ht="50.4" x14ac:dyDescent="0.85">
      <c r="B17" s="72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50"/>
  <sheetViews>
    <sheetView workbookViewId="0">
      <selection activeCell="C4" sqref="C4"/>
    </sheetView>
  </sheetViews>
  <sheetFormatPr defaultColWidth="9.109375" defaultRowHeight="11.4" x14ac:dyDescent="0.2"/>
  <cols>
    <col min="1" max="1" width="2" style="3" customWidth="1"/>
    <col min="2" max="2" width="35.6640625" style="3" bestFit="1" customWidth="1"/>
    <col min="3" max="3" width="12" style="3" bestFit="1" customWidth="1"/>
    <col min="4" max="4" width="10.88671875" style="3" customWidth="1"/>
    <col min="5" max="16384" width="9.109375" style="3"/>
  </cols>
  <sheetData>
    <row r="1" spans="2:3" s="2" customFormat="1" ht="15.6" x14ac:dyDescent="0.3">
      <c r="B1" s="4" t="s">
        <v>22</v>
      </c>
    </row>
    <row r="2" spans="2:3" s="2" customFormat="1" ht="13.8" x14ac:dyDescent="0.25"/>
    <row r="3" spans="2:3" s="2" customFormat="1" ht="13.8" x14ac:dyDescent="0.25">
      <c r="B3" s="3" t="s">
        <v>21</v>
      </c>
      <c r="C3" s="13">
        <f>'Discounted Cash Flows'!C3</f>
        <v>2</v>
      </c>
    </row>
    <row r="4" spans="2:3" s="2" customFormat="1" ht="13.8" x14ac:dyDescent="0.25"/>
    <row r="5" spans="2:3" s="2" customFormat="1" ht="14.4" thickBot="1" x14ac:dyDescent="0.3">
      <c r="B5" s="7" t="s">
        <v>44</v>
      </c>
      <c r="C5" s="7"/>
    </row>
    <row r="6" spans="2:3" s="2" customFormat="1" ht="13.8" x14ac:dyDescent="0.25">
      <c r="B6" s="3" t="s">
        <v>8</v>
      </c>
      <c r="C6" s="5">
        <v>0.01</v>
      </c>
    </row>
    <row r="7" spans="2:3" s="2" customFormat="1" ht="13.8" x14ac:dyDescent="0.25">
      <c r="B7" s="3" t="s">
        <v>9</v>
      </c>
      <c r="C7" s="5">
        <v>0.03</v>
      </c>
    </row>
    <row r="8" spans="2:3" s="2" customFormat="1" ht="13.8" x14ac:dyDescent="0.25"/>
    <row r="9" spans="2:3" s="2" customFormat="1" ht="14.4" thickBot="1" x14ac:dyDescent="0.3">
      <c r="B9" s="7" t="s">
        <v>45</v>
      </c>
      <c r="C9" s="7"/>
    </row>
    <row r="10" spans="2:3" s="2" customFormat="1" ht="13.8" x14ac:dyDescent="0.25">
      <c r="B10" s="3" t="s">
        <v>6</v>
      </c>
      <c r="C10" s="6">
        <v>15500</v>
      </c>
    </row>
    <row r="11" spans="2:3" s="2" customFormat="1" ht="13.8" x14ac:dyDescent="0.25">
      <c r="B11" s="3" t="s">
        <v>7</v>
      </c>
      <c r="C11" s="6">
        <v>11000</v>
      </c>
    </row>
    <row r="12" spans="2:3" s="2" customFormat="1" ht="13.8" x14ac:dyDescent="0.25"/>
    <row r="13" spans="2:3" s="2" customFormat="1" ht="14.4" thickBot="1" x14ac:dyDescent="0.3">
      <c r="B13" s="7" t="s">
        <v>17</v>
      </c>
      <c r="C13" s="7"/>
    </row>
    <row r="14" spans="2:3" s="2" customFormat="1" ht="13.8" x14ac:dyDescent="0.25">
      <c r="B14" s="3" t="s">
        <v>2</v>
      </c>
      <c r="C14" s="6">
        <v>320000000</v>
      </c>
    </row>
    <row r="15" spans="2:3" x14ac:dyDescent="0.2">
      <c r="B15" s="3" t="s">
        <v>1</v>
      </c>
      <c r="C15" s="6">
        <v>350000000</v>
      </c>
    </row>
    <row r="16" spans="2:3" x14ac:dyDescent="0.2">
      <c r="B16" s="3" t="s">
        <v>3</v>
      </c>
      <c r="C16" s="6">
        <v>380000000</v>
      </c>
    </row>
    <row r="18" spans="2:3" x14ac:dyDescent="0.2">
      <c r="B18" s="3" t="s">
        <v>19</v>
      </c>
      <c r="C18" s="6">
        <v>10</v>
      </c>
    </row>
    <row r="20" spans="2:3" ht="12.6" thickBot="1" x14ac:dyDescent="0.3">
      <c r="B20" s="7" t="s">
        <v>32</v>
      </c>
      <c r="C20" s="7"/>
    </row>
    <row r="21" spans="2:3" x14ac:dyDescent="0.2">
      <c r="B21" s="3" t="s">
        <v>34</v>
      </c>
      <c r="C21" s="3">
        <v>25</v>
      </c>
    </row>
    <row r="22" spans="2:3" x14ac:dyDescent="0.2">
      <c r="B22" s="3" t="s">
        <v>33</v>
      </c>
      <c r="C22" s="3">
        <v>30</v>
      </c>
    </row>
    <row r="23" spans="2:3" ht="12" x14ac:dyDescent="0.25">
      <c r="B23" s="12" t="s">
        <v>35</v>
      </c>
      <c r="C23" s="12">
        <f>C21-C22</f>
        <v>-5</v>
      </c>
    </row>
    <row r="24" spans="2:3" ht="12" x14ac:dyDescent="0.25">
      <c r="B24" s="66"/>
      <c r="C24" s="66"/>
    </row>
    <row r="25" spans="2:3" x14ac:dyDescent="0.2">
      <c r="B25" s="19" t="s">
        <v>112</v>
      </c>
      <c r="C25" s="19">
        <v>0.9</v>
      </c>
    </row>
    <row r="26" spans="2:3" ht="12" x14ac:dyDescent="0.25">
      <c r="B26" s="66"/>
      <c r="C26" s="66"/>
    </row>
    <row r="27" spans="2:3" ht="12.6" thickBot="1" x14ac:dyDescent="0.3">
      <c r="B27" s="7" t="s">
        <v>42</v>
      </c>
      <c r="C27" s="7"/>
    </row>
    <row r="28" spans="2:3" x14ac:dyDescent="0.2">
      <c r="B28" s="3" t="s">
        <v>43</v>
      </c>
      <c r="C28" s="6">
        <v>200000000</v>
      </c>
    </row>
    <row r="29" spans="2:3" x14ac:dyDescent="0.2">
      <c r="B29" s="3" t="s">
        <v>46</v>
      </c>
      <c r="C29" s="5">
        <v>0.05</v>
      </c>
    </row>
    <row r="30" spans="2:3" x14ac:dyDescent="0.2">
      <c r="B30" s="3" t="s">
        <v>66</v>
      </c>
      <c r="C30" s="25" t="s">
        <v>65</v>
      </c>
    </row>
    <row r="31" spans="2:3" x14ac:dyDescent="0.2">
      <c r="C31" s="5"/>
    </row>
    <row r="33" spans="2:4" ht="12" x14ac:dyDescent="0.25">
      <c r="B33" s="24" t="s">
        <v>54</v>
      </c>
    </row>
    <row r="34" spans="2:4" x14ac:dyDescent="0.2">
      <c r="B34" s="3" t="s">
        <v>77</v>
      </c>
    </row>
    <row r="35" spans="2:4" x14ac:dyDescent="0.2">
      <c r="B35" s="3" t="s">
        <v>89</v>
      </c>
    </row>
    <row r="37" spans="2:4" x14ac:dyDescent="0.2">
      <c r="B37" s="3" t="s">
        <v>64</v>
      </c>
      <c r="C37" s="5">
        <v>0.3</v>
      </c>
    </row>
    <row r="39" spans="2:4" x14ac:dyDescent="0.2">
      <c r="B39" s="3" t="s">
        <v>76</v>
      </c>
      <c r="C39" s="6">
        <v>100000000</v>
      </c>
    </row>
    <row r="41" spans="2:4" ht="12.6" thickBot="1" x14ac:dyDescent="0.3">
      <c r="B41" s="7" t="s">
        <v>99</v>
      </c>
      <c r="C41" s="62" t="s">
        <v>114</v>
      </c>
      <c r="D41" s="62" t="s">
        <v>101</v>
      </c>
    </row>
    <row r="42" spans="2:4" x14ac:dyDescent="0.2">
      <c r="B42" s="3" t="s">
        <v>100</v>
      </c>
      <c r="C42" s="5">
        <v>0.8</v>
      </c>
      <c r="D42" s="3">
        <v>0.6</v>
      </c>
    </row>
    <row r="43" spans="2:4" x14ac:dyDescent="0.2">
      <c r="B43" s="3" t="s">
        <v>102</v>
      </c>
      <c r="C43" s="5">
        <v>0.9</v>
      </c>
      <c r="D43" s="3">
        <v>0.65</v>
      </c>
    </row>
    <row r="44" spans="2:4" x14ac:dyDescent="0.2">
      <c r="B44" s="3" t="s">
        <v>107</v>
      </c>
      <c r="C44" s="5">
        <v>0.85</v>
      </c>
      <c r="D44" s="3">
        <v>0.56999999999999995</v>
      </c>
    </row>
    <row r="46" spans="2:4" x14ac:dyDescent="0.2">
      <c r="B46" s="3" t="s">
        <v>117</v>
      </c>
      <c r="C46" s="5">
        <v>0.06</v>
      </c>
    </row>
    <row r="47" spans="2:4" x14ac:dyDescent="0.2">
      <c r="B47" s="3" t="s">
        <v>118</v>
      </c>
      <c r="C47" s="5">
        <v>0.05</v>
      </c>
    </row>
    <row r="49" spans="2:3" x14ac:dyDescent="0.2">
      <c r="B49" s="3" t="s">
        <v>119</v>
      </c>
      <c r="C49" s="5">
        <v>0.03</v>
      </c>
    </row>
    <row r="50" spans="2:3" x14ac:dyDescent="0.2">
      <c r="B50" s="3" t="s">
        <v>120</v>
      </c>
      <c r="C50" s="5">
        <v>0.02</v>
      </c>
    </row>
  </sheetData>
  <dataValidations count="1">
    <dataValidation type="list" allowBlank="1" showInputMessage="1" showErrorMessage="1" sqref="C3" xr:uid="{00000000-0002-0000-0100-000000000000}">
      <formula1>"1,2,3"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B17"/>
  <sheetViews>
    <sheetView workbookViewId="0">
      <selection activeCell="E17" sqref="E17"/>
    </sheetView>
  </sheetViews>
  <sheetFormatPr defaultColWidth="9.109375" defaultRowHeight="11.4" x14ac:dyDescent="0.2"/>
  <cols>
    <col min="1" max="1" width="2" style="3" customWidth="1"/>
    <col min="2" max="16384" width="9.109375" style="3"/>
  </cols>
  <sheetData>
    <row r="17" spans="2:2" ht="50.4" x14ac:dyDescent="0.85">
      <c r="B17" s="41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31"/>
  <sheetViews>
    <sheetView topLeftCell="A2" workbookViewId="0">
      <selection activeCell="C31" sqref="C31"/>
    </sheetView>
  </sheetViews>
  <sheetFormatPr defaultColWidth="9.109375" defaultRowHeight="11.4" x14ac:dyDescent="0.2"/>
  <cols>
    <col min="1" max="1" width="2" style="3" customWidth="1"/>
    <col min="2" max="2" width="30.33203125" style="3" bestFit="1" customWidth="1"/>
    <col min="3" max="12" width="11" style="3" bestFit="1" customWidth="1"/>
    <col min="13" max="16384" width="9.109375" style="3"/>
  </cols>
  <sheetData>
    <row r="1" spans="2:12" ht="15.6" x14ac:dyDescent="0.3">
      <c r="B1" s="4" t="s">
        <v>15</v>
      </c>
    </row>
    <row r="3" spans="2:12" x14ac:dyDescent="0.2">
      <c r="B3" s="3" t="s">
        <v>4</v>
      </c>
      <c r="C3" s="6">
        <v>22000</v>
      </c>
    </row>
    <row r="4" spans="2:12" x14ac:dyDescent="0.2">
      <c r="B4" s="3" t="s">
        <v>0</v>
      </c>
      <c r="C4" s="6">
        <v>20000</v>
      </c>
    </row>
    <row r="5" spans="2:12" x14ac:dyDescent="0.2">
      <c r="B5" s="3" t="s">
        <v>5</v>
      </c>
      <c r="C5" s="6">
        <v>18000</v>
      </c>
    </row>
    <row r="7" spans="2:12" ht="12.6" thickBot="1" x14ac:dyDescent="0.3">
      <c r="B7" s="7" t="s">
        <v>11</v>
      </c>
      <c r="C7" s="7">
        <v>1</v>
      </c>
      <c r="D7" s="7">
        <v>2</v>
      </c>
      <c r="E7" s="7">
        <v>3</v>
      </c>
      <c r="F7" s="7">
        <v>4</v>
      </c>
      <c r="G7" s="7">
        <v>5</v>
      </c>
      <c r="H7" s="7">
        <v>6</v>
      </c>
      <c r="I7" s="7">
        <v>7</v>
      </c>
      <c r="J7" s="7">
        <v>8</v>
      </c>
      <c r="K7" s="7">
        <v>9</v>
      </c>
      <c r="L7" s="7">
        <v>10</v>
      </c>
    </row>
    <row r="8" spans="2:12" x14ac:dyDescent="0.2">
      <c r="B8" s="3" t="s">
        <v>2</v>
      </c>
      <c r="C8" s="6">
        <f t="shared" ref="C8:L8" si="0">$C3*C14</f>
        <v>18700</v>
      </c>
      <c r="D8" s="6">
        <f t="shared" si="0"/>
        <v>19140</v>
      </c>
      <c r="E8" s="6">
        <f t="shared" si="0"/>
        <v>19580</v>
      </c>
      <c r="F8" s="6">
        <f t="shared" si="0"/>
        <v>20240</v>
      </c>
      <c r="G8" s="6">
        <f t="shared" si="0"/>
        <v>19800</v>
      </c>
      <c r="H8" s="6">
        <f t="shared" si="0"/>
        <v>19580</v>
      </c>
      <c r="I8" s="6">
        <f t="shared" si="0"/>
        <v>19140</v>
      </c>
      <c r="J8" s="6">
        <f t="shared" si="0"/>
        <v>18700</v>
      </c>
      <c r="K8" s="6">
        <f t="shared" si="0"/>
        <v>18480</v>
      </c>
      <c r="L8" s="6">
        <f t="shared" si="0"/>
        <v>18260</v>
      </c>
    </row>
    <row r="9" spans="2:12" x14ac:dyDescent="0.2">
      <c r="B9" s="3" t="s">
        <v>1</v>
      </c>
      <c r="C9" s="6">
        <f t="shared" ref="C9:L9" si="1">$C4*C15</f>
        <v>16000</v>
      </c>
      <c r="D9" s="6">
        <f t="shared" si="1"/>
        <v>17000</v>
      </c>
      <c r="E9" s="6">
        <f t="shared" si="1"/>
        <v>17400</v>
      </c>
      <c r="F9" s="6">
        <f t="shared" si="1"/>
        <v>18000</v>
      </c>
      <c r="G9" s="6">
        <f t="shared" si="1"/>
        <v>17600</v>
      </c>
      <c r="H9" s="6">
        <f t="shared" si="1"/>
        <v>17400</v>
      </c>
      <c r="I9" s="6">
        <f t="shared" si="1"/>
        <v>17000</v>
      </c>
      <c r="J9" s="6">
        <f t="shared" si="1"/>
        <v>16600</v>
      </c>
      <c r="K9" s="6">
        <f t="shared" si="1"/>
        <v>16400</v>
      </c>
      <c r="L9" s="6">
        <f t="shared" si="1"/>
        <v>16200.000000000002</v>
      </c>
    </row>
    <row r="10" spans="2:12" x14ac:dyDescent="0.2">
      <c r="B10" s="3" t="s">
        <v>3</v>
      </c>
      <c r="C10" s="6">
        <f t="shared" ref="C10:L10" si="2">$C5*C16</f>
        <v>13500</v>
      </c>
      <c r="D10" s="6">
        <f t="shared" si="2"/>
        <v>14400</v>
      </c>
      <c r="E10" s="6">
        <f t="shared" si="2"/>
        <v>14760</v>
      </c>
      <c r="F10" s="6">
        <f t="shared" si="2"/>
        <v>15120</v>
      </c>
      <c r="G10" s="6">
        <f t="shared" si="2"/>
        <v>14940</v>
      </c>
      <c r="H10" s="6">
        <f t="shared" si="2"/>
        <v>14760</v>
      </c>
      <c r="I10" s="6">
        <f t="shared" si="2"/>
        <v>14400</v>
      </c>
      <c r="J10" s="6">
        <f t="shared" si="2"/>
        <v>14040</v>
      </c>
      <c r="K10" s="6">
        <f t="shared" si="2"/>
        <v>13860</v>
      </c>
      <c r="L10" s="6">
        <f t="shared" si="2"/>
        <v>13680</v>
      </c>
    </row>
    <row r="11" spans="2:12" ht="12" x14ac:dyDescent="0.25">
      <c r="B11" s="12" t="s">
        <v>21</v>
      </c>
      <c r="C11" s="14">
        <f>CHOOSE(Drivers!$C$3,'Savings forecast'!C8,'Savings forecast'!C9,'Savings forecast'!C10)</f>
        <v>16000</v>
      </c>
      <c r="D11" s="14">
        <f>CHOOSE(Drivers!$C$3,'Savings forecast'!D8,'Savings forecast'!D9,'Savings forecast'!D10)</f>
        <v>17000</v>
      </c>
      <c r="E11" s="14">
        <f>CHOOSE(Drivers!$C$3,'Savings forecast'!E8,'Savings forecast'!E9,'Savings forecast'!E10)</f>
        <v>17400</v>
      </c>
      <c r="F11" s="14">
        <f>CHOOSE(Drivers!$C$3,'Savings forecast'!F8,'Savings forecast'!F9,'Savings forecast'!F10)</f>
        <v>18000</v>
      </c>
      <c r="G11" s="14">
        <f>CHOOSE(Drivers!$C$3,'Savings forecast'!G8,'Savings forecast'!G9,'Savings forecast'!G10)</f>
        <v>17600</v>
      </c>
      <c r="H11" s="14">
        <f>CHOOSE(Drivers!$C$3,'Savings forecast'!H8,'Savings forecast'!H9,'Savings forecast'!H10)</f>
        <v>17400</v>
      </c>
      <c r="I11" s="14">
        <f>CHOOSE(Drivers!$C$3,'Savings forecast'!I8,'Savings forecast'!I9,'Savings forecast'!I10)</f>
        <v>17000</v>
      </c>
      <c r="J11" s="14">
        <f>CHOOSE(Drivers!$C$3,'Savings forecast'!J8,'Savings forecast'!J9,'Savings forecast'!J10)</f>
        <v>16600</v>
      </c>
      <c r="K11" s="14">
        <f>CHOOSE(Drivers!$C$3,'Savings forecast'!K8,'Savings forecast'!K9,'Savings forecast'!K10)</f>
        <v>16400</v>
      </c>
      <c r="L11" s="14">
        <f>CHOOSE(Drivers!$C$3,'Savings forecast'!L8,'Savings forecast'!L9,'Savings forecast'!L10)</f>
        <v>16200.000000000002</v>
      </c>
    </row>
    <row r="13" spans="2:12" ht="12.6" thickBot="1" x14ac:dyDescent="0.3">
      <c r="B13" s="7" t="s">
        <v>12</v>
      </c>
      <c r="C13" s="7">
        <v>1</v>
      </c>
      <c r="D13" s="7">
        <v>2</v>
      </c>
      <c r="E13" s="7">
        <v>3</v>
      </c>
      <c r="F13" s="7">
        <v>4</v>
      </c>
      <c r="G13" s="7">
        <v>5</v>
      </c>
      <c r="H13" s="7">
        <v>6</v>
      </c>
      <c r="I13" s="7">
        <v>7</v>
      </c>
      <c r="J13" s="7">
        <v>8</v>
      </c>
      <c r="K13" s="7">
        <v>9</v>
      </c>
      <c r="L13" s="7">
        <v>10</v>
      </c>
    </row>
    <row r="14" spans="2:12" x14ac:dyDescent="0.2">
      <c r="B14" s="3" t="s">
        <v>2</v>
      </c>
      <c r="C14" s="5">
        <v>0.85</v>
      </c>
      <c r="D14" s="5">
        <v>0.87</v>
      </c>
      <c r="E14" s="5">
        <v>0.89</v>
      </c>
      <c r="F14" s="5">
        <v>0.92</v>
      </c>
      <c r="G14" s="5">
        <v>0.9</v>
      </c>
      <c r="H14" s="5">
        <v>0.89</v>
      </c>
      <c r="I14" s="5">
        <v>0.87</v>
      </c>
      <c r="J14" s="5">
        <v>0.85</v>
      </c>
      <c r="K14" s="5">
        <v>0.84</v>
      </c>
      <c r="L14" s="5">
        <v>0.83</v>
      </c>
    </row>
    <row r="15" spans="2:12" x14ac:dyDescent="0.2">
      <c r="B15" s="3" t="s">
        <v>1</v>
      </c>
      <c r="C15" s="5">
        <v>0.8</v>
      </c>
      <c r="D15" s="5">
        <v>0.85</v>
      </c>
      <c r="E15" s="5">
        <v>0.87</v>
      </c>
      <c r="F15" s="5">
        <v>0.9</v>
      </c>
      <c r="G15" s="5">
        <v>0.88</v>
      </c>
      <c r="H15" s="5">
        <v>0.87</v>
      </c>
      <c r="I15" s="5">
        <v>0.85</v>
      </c>
      <c r="J15" s="5">
        <v>0.83</v>
      </c>
      <c r="K15" s="5">
        <v>0.82</v>
      </c>
      <c r="L15" s="5">
        <v>0.81</v>
      </c>
    </row>
    <row r="16" spans="2:12" x14ac:dyDescent="0.2">
      <c r="B16" s="3" t="s">
        <v>3</v>
      </c>
      <c r="C16" s="5">
        <v>0.75</v>
      </c>
      <c r="D16" s="5">
        <v>0.8</v>
      </c>
      <c r="E16" s="5">
        <v>0.82</v>
      </c>
      <c r="F16" s="5">
        <v>0.84</v>
      </c>
      <c r="G16" s="5">
        <v>0.83</v>
      </c>
      <c r="H16" s="5">
        <v>0.82</v>
      </c>
      <c r="I16" s="5">
        <v>0.8</v>
      </c>
      <c r="J16" s="5">
        <v>0.78</v>
      </c>
      <c r="K16" s="5">
        <v>0.77</v>
      </c>
      <c r="L16" s="5">
        <v>0.76</v>
      </c>
    </row>
    <row r="19" spans="2:12" x14ac:dyDescent="0.2">
      <c r="B19" s="3" t="s">
        <v>8</v>
      </c>
      <c r="C19" s="5">
        <f>Drivers!C6</f>
        <v>0.01</v>
      </c>
    </row>
    <row r="20" spans="2:12" x14ac:dyDescent="0.2">
      <c r="B20" s="3" t="s">
        <v>9</v>
      </c>
      <c r="C20" s="5">
        <f>Drivers!C7</f>
        <v>0.03</v>
      </c>
    </row>
    <row r="22" spans="2:12" ht="12.6" thickBot="1" x14ac:dyDescent="0.3">
      <c r="B22" s="7" t="s">
        <v>10</v>
      </c>
      <c r="C22" s="7">
        <v>1</v>
      </c>
      <c r="D22" s="7">
        <v>2</v>
      </c>
      <c r="E22" s="7">
        <v>3</v>
      </c>
      <c r="F22" s="7">
        <v>4</v>
      </c>
      <c r="G22" s="7">
        <v>5</v>
      </c>
      <c r="H22" s="7">
        <v>6</v>
      </c>
      <c r="I22" s="7">
        <v>7</v>
      </c>
      <c r="J22" s="7">
        <v>8</v>
      </c>
      <c r="K22" s="7">
        <v>9</v>
      </c>
      <c r="L22" s="7">
        <v>10</v>
      </c>
    </row>
    <row r="23" spans="2:12" x14ac:dyDescent="0.2">
      <c r="B23" s="3" t="s">
        <v>6</v>
      </c>
      <c r="C23" s="6">
        <f>Drivers!C10</f>
        <v>15500</v>
      </c>
      <c r="D23" s="6">
        <f t="shared" ref="D23:L23" si="3">C23*(1+$C19)</f>
        <v>15655</v>
      </c>
      <c r="E23" s="6">
        <f t="shared" si="3"/>
        <v>15811.55</v>
      </c>
      <c r="F23" s="6">
        <f t="shared" si="3"/>
        <v>15969.665499999999</v>
      </c>
      <c r="G23" s="6">
        <f t="shared" si="3"/>
        <v>16129.362154999999</v>
      </c>
      <c r="H23" s="6">
        <f t="shared" si="3"/>
        <v>16290.655776549998</v>
      </c>
      <c r="I23" s="6">
        <f t="shared" si="3"/>
        <v>16453.562334315498</v>
      </c>
      <c r="J23" s="6">
        <f t="shared" si="3"/>
        <v>16618.097957658654</v>
      </c>
      <c r="K23" s="6">
        <f t="shared" si="3"/>
        <v>16784.278937235242</v>
      </c>
      <c r="L23" s="6">
        <f t="shared" si="3"/>
        <v>16952.121726607595</v>
      </c>
    </row>
    <row r="24" spans="2:12" x14ac:dyDescent="0.2">
      <c r="B24" s="3" t="s">
        <v>7</v>
      </c>
      <c r="C24" s="6">
        <f>Drivers!C11</f>
        <v>11000</v>
      </c>
      <c r="D24" s="6">
        <f t="shared" ref="D24:L24" si="4">C24*(1+$C20)</f>
        <v>11330</v>
      </c>
      <c r="E24" s="6">
        <f t="shared" si="4"/>
        <v>11669.9</v>
      </c>
      <c r="F24" s="6">
        <f t="shared" si="4"/>
        <v>12019.996999999999</v>
      </c>
      <c r="G24" s="6">
        <f t="shared" si="4"/>
        <v>12380.59691</v>
      </c>
      <c r="H24" s="6">
        <f t="shared" si="4"/>
        <v>12752.0148173</v>
      </c>
      <c r="I24" s="6">
        <f t="shared" si="4"/>
        <v>13134.575261819</v>
      </c>
      <c r="J24" s="6">
        <f t="shared" si="4"/>
        <v>13528.61251967357</v>
      </c>
      <c r="K24" s="6">
        <f t="shared" si="4"/>
        <v>13934.470895263777</v>
      </c>
      <c r="L24" s="6">
        <f t="shared" si="4"/>
        <v>14352.505022121692</v>
      </c>
    </row>
    <row r="25" spans="2:12" ht="12.6" thickBot="1" x14ac:dyDescent="0.3">
      <c r="B25" s="8" t="s">
        <v>13</v>
      </c>
      <c r="C25" s="9">
        <f>C23-C24</f>
        <v>4500</v>
      </c>
      <c r="D25" s="9">
        <f t="shared" ref="D25:L25" si="5">D23-D24</f>
        <v>4325</v>
      </c>
      <c r="E25" s="9">
        <f t="shared" si="5"/>
        <v>4141.6499999999996</v>
      </c>
      <c r="F25" s="9">
        <f t="shared" si="5"/>
        <v>3949.6684999999998</v>
      </c>
      <c r="G25" s="9">
        <f t="shared" si="5"/>
        <v>3748.7652449999987</v>
      </c>
      <c r="H25" s="9">
        <f t="shared" si="5"/>
        <v>3538.6409592499986</v>
      </c>
      <c r="I25" s="9">
        <f t="shared" si="5"/>
        <v>3318.9870724964985</v>
      </c>
      <c r="J25" s="9">
        <f t="shared" si="5"/>
        <v>3089.485437985084</v>
      </c>
      <c r="K25" s="9">
        <f t="shared" si="5"/>
        <v>2849.8080419714643</v>
      </c>
      <c r="L25" s="9">
        <f t="shared" si="5"/>
        <v>2599.616704485903</v>
      </c>
    </row>
    <row r="27" spans="2:12" ht="12.6" thickBot="1" x14ac:dyDescent="0.3">
      <c r="B27" s="7" t="s">
        <v>14</v>
      </c>
      <c r="C27" s="7">
        <v>1</v>
      </c>
      <c r="D27" s="7">
        <v>2</v>
      </c>
      <c r="E27" s="7">
        <v>3</v>
      </c>
      <c r="F27" s="7">
        <v>4</v>
      </c>
      <c r="G27" s="7">
        <v>5</v>
      </c>
      <c r="H27" s="7">
        <v>6</v>
      </c>
      <c r="I27" s="7">
        <v>7</v>
      </c>
      <c r="J27" s="7">
        <v>8</v>
      </c>
      <c r="K27" s="7">
        <v>9</v>
      </c>
      <c r="L27" s="7">
        <v>10</v>
      </c>
    </row>
    <row r="28" spans="2:12" x14ac:dyDescent="0.2">
      <c r="B28" s="3" t="s">
        <v>2</v>
      </c>
      <c r="C28" s="6">
        <f>C8*C$25</f>
        <v>84150000</v>
      </c>
      <c r="D28" s="6">
        <f t="shared" ref="D28:L28" si="6">D8*D$25</f>
        <v>82780500</v>
      </c>
      <c r="E28" s="6">
        <f t="shared" si="6"/>
        <v>81093507</v>
      </c>
      <c r="F28" s="6">
        <f t="shared" si="6"/>
        <v>79941290.439999998</v>
      </c>
      <c r="G28" s="6">
        <f t="shared" si="6"/>
        <v>74225551.850999981</v>
      </c>
      <c r="H28" s="6">
        <f t="shared" si="6"/>
        <v>69286589.982114971</v>
      </c>
      <c r="I28" s="6">
        <f t="shared" si="6"/>
        <v>63525412.56758298</v>
      </c>
      <c r="J28" s="6">
        <f t="shared" si="6"/>
        <v>57773377.690321073</v>
      </c>
      <c r="K28" s="6">
        <f t="shared" si="6"/>
        <v>52664452.615632661</v>
      </c>
      <c r="L28" s="6">
        <f t="shared" si="6"/>
        <v>47469001.023912586</v>
      </c>
    </row>
    <row r="29" spans="2:12" x14ac:dyDescent="0.2">
      <c r="B29" s="3" t="s">
        <v>1</v>
      </c>
      <c r="C29" s="6">
        <f t="shared" ref="C29:L29" si="7">C9*C$25</f>
        <v>72000000</v>
      </c>
      <c r="D29" s="6">
        <f t="shared" si="7"/>
        <v>73525000</v>
      </c>
      <c r="E29" s="6">
        <f t="shared" si="7"/>
        <v>72064710</v>
      </c>
      <c r="F29" s="6">
        <f t="shared" si="7"/>
        <v>71094033</v>
      </c>
      <c r="G29" s="6">
        <f t="shared" si="7"/>
        <v>65978268.311999977</v>
      </c>
      <c r="H29" s="6">
        <f t="shared" si="7"/>
        <v>61572352.690949976</v>
      </c>
      <c r="I29" s="6">
        <f t="shared" si="7"/>
        <v>56422780.232440472</v>
      </c>
      <c r="J29" s="6">
        <f t="shared" si="7"/>
        <v>51285458.270552397</v>
      </c>
      <c r="K29" s="6">
        <f t="shared" si="7"/>
        <v>46736851.888332017</v>
      </c>
      <c r="L29" s="6">
        <f t="shared" si="7"/>
        <v>42113790.612671636</v>
      </c>
    </row>
    <row r="30" spans="2:12" x14ac:dyDescent="0.2">
      <c r="B30" s="3" t="s">
        <v>3</v>
      </c>
      <c r="C30" s="6">
        <f t="shared" ref="C30:L30" si="8">C10*C$25</f>
        <v>60750000</v>
      </c>
      <c r="D30" s="6">
        <f t="shared" si="8"/>
        <v>62280000</v>
      </c>
      <c r="E30" s="6">
        <f t="shared" si="8"/>
        <v>61130753.999999993</v>
      </c>
      <c r="F30" s="6">
        <f t="shared" si="8"/>
        <v>59718987.719999999</v>
      </c>
      <c r="G30" s="6">
        <f t="shared" si="8"/>
        <v>56006552.760299981</v>
      </c>
      <c r="H30" s="6">
        <f t="shared" si="8"/>
        <v>52230340.55852998</v>
      </c>
      <c r="I30" s="6">
        <f t="shared" si="8"/>
        <v>47793413.843949579</v>
      </c>
      <c r="J30" s="6">
        <f t="shared" si="8"/>
        <v>43376375.54931058</v>
      </c>
      <c r="K30" s="6">
        <f t="shared" si="8"/>
        <v>39498339.461724497</v>
      </c>
      <c r="L30" s="6">
        <f t="shared" si="8"/>
        <v>35562756.517367154</v>
      </c>
    </row>
    <row r="31" spans="2:12" ht="12" x14ac:dyDescent="0.25">
      <c r="B31" s="12" t="s">
        <v>21</v>
      </c>
      <c r="C31" s="14">
        <f>CHOOSE(Drivers!$C$3,'Savings forecast'!C28,'Savings forecast'!C29,'Savings forecast'!C30)</f>
        <v>72000000</v>
      </c>
      <c r="D31" s="14">
        <f>CHOOSE(Drivers!$C$3,'Savings forecast'!D28,'Savings forecast'!D29,'Savings forecast'!D30)</f>
        <v>73525000</v>
      </c>
      <c r="E31" s="14">
        <f>CHOOSE(Drivers!$C$3,'Savings forecast'!E28,'Savings forecast'!E29,'Savings forecast'!E30)</f>
        <v>72064710</v>
      </c>
      <c r="F31" s="14">
        <f>CHOOSE(Drivers!$C$3,'Savings forecast'!F28,'Savings forecast'!F29,'Savings forecast'!F30)</f>
        <v>71094033</v>
      </c>
      <c r="G31" s="14">
        <f>CHOOSE(Drivers!$C$3,'Savings forecast'!G28,'Savings forecast'!G29,'Savings forecast'!G30)</f>
        <v>65978268.311999977</v>
      </c>
      <c r="H31" s="14">
        <f>CHOOSE(Drivers!$C$3,'Savings forecast'!H28,'Savings forecast'!H29,'Savings forecast'!H30)</f>
        <v>61572352.690949976</v>
      </c>
      <c r="I31" s="14">
        <f>CHOOSE(Drivers!$C$3,'Savings forecast'!I28,'Savings forecast'!I29,'Savings forecast'!I30)</f>
        <v>56422780.232440472</v>
      </c>
      <c r="J31" s="14">
        <f>CHOOSE(Drivers!$C$3,'Savings forecast'!J28,'Savings forecast'!J29,'Savings forecast'!J30)</f>
        <v>51285458.270552397</v>
      </c>
      <c r="K31" s="14">
        <f>CHOOSE(Drivers!$C$3,'Savings forecast'!K28,'Savings forecast'!K29,'Savings forecast'!K30)</f>
        <v>46736851.888332017</v>
      </c>
      <c r="L31" s="14">
        <f>CHOOSE(Drivers!$C$3,'Savings forecast'!L28,'Savings forecast'!L29,'Savings forecast'!L30)</f>
        <v>42113790.612671636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38"/>
  <sheetViews>
    <sheetView workbookViewId="0">
      <selection activeCell="C8" sqref="C8"/>
    </sheetView>
  </sheetViews>
  <sheetFormatPr defaultColWidth="9.109375" defaultRowHeight="14.4" x14ac:dyDescent="0.3"/>
  <cols>
    <col min="1" max="1" width="2" style="1" customWidth="1"/>
    <col min="2" max="2" width="21.88671875" style="1" bestFit="1" customWidth="1"/>
    <col min="3" max="12" width="13.5546875" style="1" bestFit="1" customWidth="1"/>
    <col min="13" max="16384" width="9.109375" style="1"/>
  </cols>
  <sheetData>
    <row r="1" spans="2:13" ht="15.6" x14ac:dyDescent="0.3">
      <c r="B1" s="4" t="s">
        <v>25</v>
      </c>
    </row>
    <row r="3" spans="2:13" ht="15" thickBot="1" x14ac:dyDescent="0.35">
      <c r="B3" s="7" t="s">
        <v>17</v>
      </c>
      <c r="C3" s="7"/>
    </row>
    <row r="4" spans="2:13" x14ac:dyDescent="0.3">
      <c r="B4" s="3" t="s">
        <v>2</v>
      </c>
      <c r="C4" s="6">
        <f>Drivers!C14</f>
        <v>320000000</v>
      </c>
    </row>
    <row r="5" spans="2:13" x14ac:dyDescent="0.3">
      <c r="B5" s="3" t="s">
        <v>1</v>
      </c>
      <c r="C5" s="6">
        <f>Drivers!C15</f>
        <v>350000000</v>
      </c>
    </row>
    <row r="6" spans="2:13" x14ac:dyDescent="0.3">
      <c r="B6" s="3" t="s">
        <v>3</v>
      </c>
      <c r="C6" s="6">
        <f>Drivers!C16</f>
        <v>380000000</v>
      </c>
    </row>
    <row r="7" spans="2:13" x14ac:dyDescent="0.3">
      <c r="B7" s="3"/>
      <c r="C7" s="10"/>
    </row>
    <row r="8" spans="2:13" x14ac:dyDescent="0.3">
      <c r="B8" s="3" t="str">
        <f>Drivers!B18</f>
        <v>Useful life (years)</v>
      </c>
      <c r="C8" s="71">
        <v>10</v>
      </c>
    </row>
    <row r="9" spans="2:13" x14ac:dyDescent="0.3">
      <c r="B9" s="3"/>
      <c r="C9" s="3"/>
    </row>
    <row r="10" spans="2:13" ht="15" thickBot="1" x14ac:dyDescent="0.35">
      <c r="B10" s="7" t="s">
        <v>16</v>
      </c>
      <c r="C10" s="7">
        <v>0</v>
      </c>
      <c r="D10" s="7">
        <v>1</v>
      </c>
      <c r="E10" s="7">
        <v>2</v>
      </c>
      <c r="F10" s="7">
        <v>3</v>
      </c>
      <c r="G10" s="7">
        <v>4</v>
      </c>
      <c r="H10" s="7">
        <v>5</v>
      </c>
      <c r="I10" s="7">
        <v>6</v>
      </c>
      <c r="J10" s="7">
        <v>7</v>
      </c>
      <c r="K10" s="7">
        <v>8</v>
      </c>
      <c r="L10" s="7">
        <v>9</v>
      </c>
      <c r="M10" s="7">
        <v>10</v>
      </c>
    </row>
    <row r="11" spans="2:13" x14ac:dyDescent="0.3">
      <c r="B11" s="3" t="s">
        <v>18</v>
      </c>
      <c r="C11" s="11">
        <v>0.8</v>
      </c>
      <c r="D11" s="11">
        <v>0.1</v>
      </c>
      <c r="E11" s="11">
        <v>0.1</v>
      </c>
      <c r="F11" s="11">
        <v>0.03</v>
      </c>
      <c r="G11" s="11">
        <v>0.03</v>
      </c>
      <c r="H11" s="11">
        <v>0.03</v>
      </c>
      <c r="I11" s="11">
        <v>0.03</v>
      </c>
      <c r="J11" s="11">
        <v>0.03</v>
      </c>
      <c r="K11" s="11">
        <v>0.03</v>
      </c>
      <c r="L11" s="11">
        <v>0.03</v>
      </c>
      <c r="M11" s="11">
        <v>0.03</v>
      </c>
    </row>
    <row r="13" spans="2:13" ht="15" thickBot="1" x14ac:dyDescent="0.35">
      <c r="B13" s="7" t="s">
        <v>24</v>
      </c>
      <c r="C13" s="7">
        <v>1</v>
      </c>
      <c r="D13" s="7">
        <v>2</v>
      </c>
      <c r="E13" s="7">
        <v>3</v>
      </c>
      <c r="F13" s="7">
        <v>4</v>
      </c>
      <c r="G13" s="7">
        <v>5</v>
      </c>
      <c r="H13" s="7">
        <v>6</v>
      </c>
      <c r="I13" s="7">
        <v>7</v>
      </c>
      <c r="J13" s="7">
        <v>8</v>
      </c>
      <c r="K13" s="7">
        <v>9</v>
      </c>
      <c r="L13" s="7">
        <v>10</v>
      </c>
    </row>
    <row r="14" spans="2:13" x14ac:dyDescent="0.3">
      <c r="B14" s="3" t="s">
        <v>26</v>
      </c>
      <c r="C14" s="6">
        <f>CHOOSE(Drivers!$C$3,'Fixed asset roll-forward'!$C4,'Fixed asset roll-forward'!$C5,'Fixed asset roll-forward'!$C6)*'Fixed asset roll-forward'!C11</f>
        <v>280000000</v>
      </c>
      <c r="D14" s="6">
        <f>C17</f>
        <v>287000000</v>
      </c>
      <c r="E14" s="6">
        <f t="shared" ref="E14:L14" si="0">D17</f>
        <v>290500000</v>
      </c>
      <c r="F14" s="6">
        <f t="shared" si="0"/>
        <v>266000000</v>
      </c>
      <c r="G14" s="6">
        <f t="shared" si="0"/>
        <v>240450000</v>
      </c>
      <c r="H14" s="6">
        <f t="shared" si="0"/>
        <v>213850000</v>
      </c>
      <c r="I14" s="6">
        <f t="shared" si="0"/>
        <v>186200000</v>
      </c>
      <c r="J14" s="6">
        <f t="shared" si="0"/>
        <v>157500000</v>
      </c>
      <c r="K14" s="6">
        <f t="shared" si="0"/>
        <v>127750000</v>
      </c>
      <c r="L14" s="6">
        <f t="shared" si="0"/>
        <v>96950000</v>
      </c>
    </row>
    <row r="15" spans="2:13" x14ac:dyDescent="0.3">
      <c r="B15" s="3" t="s">
        <v>23</v>
      </c>
      <c r="C15" s="6">
        <f>CHOOSE(Drivers!$C$3,'Fixed asset roll-forward'!$C4,'Fixed asset roll-forward'!$C5,'Fixed asset roll-forward'!$C6)*'Fixed asset roll-forward'!D11</f>
        <v>35000000</v>
      </c>
      <c r="D15" s="6">
        <f>CHOOSE(Drivers!$C$3,'Fixed asset roll-forward'!$C4,'Fixed asset roll-forward'!$C5,'Fixed asset roll-forward'!$C6)*'Fixed asset roll-forward'!E11</f>
        <v>35000000</v>
      </c>
      <c r="E15" s="6">
        <f>CHOOSE(Drivers!$C$3,'Fixed asset roll-forward'!$C4,'Fixed asset roll-forward'!$C5,'Fixed asset roll-forward'!$C6)*'Fixed asset roll-forward'!F11</f>
        <v>10500000</v>
      </c>
      <c r="F15" s="6">
        <f>CHOOSE(Drivers!$C$3,'Fixed asset roll-forward'!$C4,'Fixed asset roll-forward'!$C5,'Fixed asset roll-forward'!$C6)*'Fixed asset roll-forward'!G11</f>
        <v>10500000</v>
      </c>
      <c r="G15" s="6">
        <f>CHOOSE(Drivers!$C$3,'Fixed asset roll-forward'!$C4,'Fixed asset roll-forward'!$C5,'Fixed asset roll-forward'!$C6)*'Fixed asset roll-forward'!H11</f>
        <v>10500000</v>
      </c>
      <c r="H15" s="6">
        <f>CHOOSE(Drivers!$C$3,'Fixed asset roll-forward'!$C4,'Fixed asset roll-forward'!$C5,'Fixed asset roll-forward'!$C6)*'Fixed asset roll-forward'!I11</f>
        <v>10500000</v>
      </c>
      <c r="I15" s="6">
        <f>CHOOSE(Drivers!$C$3,'Fixed asset roll-forward'!$C4,'Fixed asset roll-forward'!$C5,'Fixed asset roll-forward'!$C6)*'Fixed asset roll-forward'!J11</f>
        <v>10500000</v>
      </c>
      <c r="J15" s="6">
        <f>CHOOSE(Drivers!$C$3,'Fixed asset roll-forward'!$C4,'Fixed asset roll-forward'!$C5,'Fixed asset roll-forward'!$C6)*'Fixed asset roll-forward'!K11</f>
        <v>10500000</v>
      </c>
      <c r="K15" s="6">
        <f>CHOOSE(Drivers!$C$3,'Fixed asset roll-forward'!$C4,'Fixed asset roll-forward'!$C5,'Fixed asset roll-forward'!$C6)*'Fixed asset roll-forward'!L11</f>
        <v>10500000</v>
      </c>
      <c r="L15" s="6">
        <f>CHOOSE(Drivers!$C$3,'Fixed asset roll-forward'!$C4,'Fixed asset roll-forward'!$C5,'Fixed asset roll-forward'!$C6)*'Fixed asset roll-forward'!M11</f>
        <v>10500000</v>
      </c>
    </row>
    <row r="16" spans="2:13" x14ac:dyDescent="0.3">
      <c r="B16" s="1" t="s">
        <v>20</v>
      </c>
      <c r="C16" s="16">
        <f>C30</f>
        <v>-28000000</v>
      </c>
      <c r="D16" s="16">
        <f t="shared" ref="D16:L16" si="1">D30</f>
        <v>-31500000</v>
      </c>
      <c r="E16" s="16">
        <f t="shared" si="1"/>
        <v>-35000000</v>
      </c>
      <c r="F16" s="16">
        <f t="shared" si="1"/>
        <v>-36050000</v>
      </c>
      <c r="G16" s="16">
        <f t="shared" si="1"/>
        <v>-37100000</v>
      </c>
      <c r="H16" s="16">
        <f t="shared" si="1"/>
        <v>-38150000</v>
      </c>
      <c r="I16" s="16">
        <f t="shared" si="1"/>
        <v>-39200000</v>
      </c>
      <c r="J16" s="16">
        <f t="shared" si="1"/>
        <v>-40250000</v>
      </c>
      <c r="K16" s="16">
        <f t="shared" si="1"/>
        <v>-41300000</v>
      </c>
      <c r="L16" s="16">
        <f t="shared" si="1"/>
        <v>-42350000</v>
      </c>
    </row>
    <row r="17" spans="2:12" s="2" customFormat="1" thickBot="1" x14ac:dyDescent="0.3">
      <c r="B17" s="8" t="s">
        <v>27</v>
      </c>
      <c r="C17" s="9">
        <f>SUM(C14:C16)</f>
        <v>287000000</v>
      </c>
      <c r="D17" s="9">
        <f t="shared" ref="D17:L17" si="2">SUM(D14:D16)</f>
        <v>290500000</v>
      </c>
      <c r="E17" s="9">
        <f t="shared" si="2"/>
        <v>266000000</v>
      </c>
      <c r="F17" s="9">
        <f t="shared" si="2"/>
        <v>240450000</v>
      </c>
      <c r="G17" s="9">
        <f t="shared" si="2"/>
        <v>213850000</v>
      </c>
      <c r="H17" s="9">
        <f t="shared" si="2"/>
        <v>186200000</v>
      </c>
      <c r="I17" s="9">
        <f t="shared" si="2"/>
        <v>157500000</v>
      </c>
      <c r="J17" s="9">
        <f t="shared" si="2"/>
        <v>127750000</v>
      </c>
      <c r="K17" s="9">
        <f t="shared" si="2"/>
        <v>96950000</v>
      </c>
      <c r="L17" s="9">
        <f t="shared" si="2"/>
        <v>65100000</v>
      </c>
    </row>
    <row r="19" spans="2:12" ht="15" thickBot="1" x14ac:dyDescent="0.35">
      <c r="B19" s="7" t="s">
        <v>28</v>
      </c>
      <c r="C19" s="7">
        <v>1</v>
      </c>
      <c r="D19" s="7">
        <v>2</v>
      </c>
      <c r="E19" s="7">
        <v>3</v>
      </c>
      <c r="F19" s="7">
        <v>4</v>
      </c>
      <c r="G19" s="7">
        <v>5</v>
      </c>
      <c r="H19" s="7">
        <v>6</v>
      </c>
      <c r="I19" s="7">
        <v>7</v>
      </c>
      <c r="J19" s="7">
        <v>8</v>
      </c>
      <c r="K19" s="7">
        <v>9</v>
      </c>
      <c r="L19" s="7">
        <v>10</v>
      </c>
    </row>
    <row r="20" spans="2:12" x14ac:dyDescent="0.3">
      <c r="B20" s="1" t="s">
        <v>29</v>
      </c>
      <c r="C20" s="16">
        <f>-$C$14/10</f>
        <v>-28000000</v>
      </c>
      <c r="D20" s="16">
        <f t="shared" ref="D20:L20" si="3">-$C$14/10</f>
        <v>-28000000</v>
      </c>
      <c r="E20" s="16">
        <f t="shared" si="3"/>
        <v>-28000000</v>
      </c>
      <c r="F20" s="16">
        <f t="shared" si="3"/>
        <v>-28000000</v>
      </c>
      <c r="G20" s="16">
        <f t="shared" si="3"/>
        <v>-28000000</v>
      </c>
      <c r="H20" s="16">
        <f t="shared" si="3"/>
        <v>-28000000</v>
      </c>
      <c r="I20" s="16">
        <f t="shared" si="3"/>
        <v>-28000000</v>
      </c>
      <c r="J20" s="16">
        <f t="shared" si="3"/>
        <v>-28000000</v>
      </c>
      <c r="K20" s="16">
        <f t="shared" si="3"/>
        <v>-28000000</v>
      </c>
      <c r="L20" s="16">
        <f t="shared" si="3"/>
        <v>-28000000</v>
      </c>
    </row>
    <row r="21" spans="2:12" x14ac:dyDescent="0.3">
      <c r="B21" s="1" t="s">
        <v>30</v>
      </c>
      <c r="C21" s="3"/>
      <c r="D21" s="16">
        <f>-$C$15/10</f>
        <v>-3500000</v>
      </c>
      <c r="E21" s="16">
        <f t="shared" ref="E21:L21" si="4">-$C$15/10</f>
        <v>-3500000</v>
      </c>
      <c r="F21" s="16">
        <f t="shared" si="4"/>
        <v>-3500000</v>
      </c>
      <c r="G21" s="16">
        <f t="shared" si="4"/>
        <v>-3500000</v>
      </c>
      <c r="H21" s="16">
        <f t="shared" si="4"/>
        <v>-3500000</v>
      </c>
      <c r="I21" s="16">
        <f t="shared" si="4"/>
        <v>-3500000</v>
      </c>
      <c r="J21" s="16">
        <f t="shared" si="4"/>
        <v>-3500000</v>
      </c>
      <c r="K21" s="16">
        <f t="shared" si="4"/>
        <v>-3500000</v>
      </c>
      <c r="L21" s="16">
        <f t="shared" si="4"/>
        <v>-3500000</v>
      </c>
    </row>
    <row r="22" spans="2:12" x14ac:dyDescent="0.3">
      <c r="B22" s="1" t="s">
        <v>31</v>
      </c>
      <c r="C22" s="3"/>
      <c r="D22" s="3"/>
      <c r="E22" s="16">
        <f>-$D$15/10</f>
        <v>-3500000</v>
      </c>
      <c r="F22" s="16">
        <f t="shared" ref="F22:L22" si="5">-$D$15/10</f>
        <v>-3500000</v>
      </c>
      <c r="G22" s="16">
        <f t="shared" si="5"/>
        <v>-3500000</v>
      </c>
      <c r="H22" s="16">
        <f t="shared" si="5"/>
        <v>-3500000</v>
      </c>
      <c r="I22" s="16">
        <f t="shared" si="5"/>
        <v>-3500000</v>
      </c>
      <c r="J22" s="16">
        <f t="shared" si="5"/>
        <v>-3500000</v>
      </c>
      <c r="K22" s="16">
        <f t="shared" si="5"/>
        <v>-3500000</v>
      </c>
      <c r="L22" s="16">
        <f t="shared" si="5"/>
        <v>-3500000</v>
      </c>
    </row>
    <row r="23" spans="2:12" x14ac:dyDescent="0.3">
      <c r="B23" s="1" t="s">
        <v>69</v>
      </c>
      <c r="C23" s="3"/>
      <c r="D23" s="3"/>
      <c r="E23" s="16"/>
      <c r="F23" s="16">
        <f>-$E$15/10</f>
        <v>-1050000</v>
      </c>
      <c r="G23" s="16">
        <f t="shared" ref="G23:L23" si="6">-$E$15/10</f>
        <v>-1050000</v>
      </c>
      <c r="H23" s="16">
        <f t="shared" si="6"/>
        <v>-1050000</v>
      </c>
      <c r="I23" s="16">
        <f t="shared" si="6"/>
        <v>-1050000</v>
      </c>
      <c r="J23" s="16">
        <f t="shared" si="6"/>
        <v>-1050000</v>
      </c>
      <c r="K23" s="16">
        <f t="shared" si="6"/>
        <v>-1050000</v>
      </c>
      <c r="L23" s="16">
        <f t="shared" si="6"/>
        <v>-1050000</v>
      </c>
    </row>
    <row r="24" spans="2:12" x14ac:dyDescent="0.3">
      <c r="B24" s="1" t="s">
        <v>70</v>
      </c>
      <c r="C24" s="3"/>
      <c r="D24" s="3"/>
      <c r="E24" s="16"/>
      <c r="F24" s="16"/>
      <c r="G24" s="16">
        <f>-$F$15/10</f>
        <v>-1050000</v>
      </c>
      <c r="H24" s="16">
        <f t="shared" ref="H24:L24" si="7">-$F$15/10</f>
        <v>-1050000</v>
      </c>
      <c r="I24" s="16">
        <f t="shared" si="7"/>
        <v>-1050000</v>
      </c>
      <c r="J24" s="16">
        <f t="shared" si="7"/>
        <v>-1050000</v>
      </c>
      <c r="K24" s="16">
        <f t="shared" si="7"/>
        <v>-1050000</v>
      </c>
      <c r="L24" s="16">
        <f t="shared" si="7"/>
        <v>-1050000</v>
      </c>
    </row>
    <row r="25" spans="2:12" x14ac:dyDescent="0.3">
      <c r="B25" s="1" t="s">
        <v>71</v>
      </c>
      <c r="C25" s="3"/>
      <c r="D25" s="3"/>
      <c r="E25" s="16"/>
      <c r="F25" s="16"/>
      <c r="G25" s="16"/>
      <c r="H25" s="16">
        <f>-$G$15/10</f>
        <v>-1050000</v>
      </c>
      <c r="I25" s="16">
        <f t="shared" ref="I25:L25" si="8">-$G$15/10</f>
        <v>-1050000</v>
      </c>
      <c r="J25" s="16">
        <f t="shared" si="8"/>
        <v>-1050000</v>
      </c>
      <c r="K25" s="16">
        <f t="shared" si="8"/>
        <v>-1050000</v>
      </c>
      <c r="L25" s="16">
        <f t="shared" si="8"/>
        <v>-1050000</v>
      </c>
    </row>
    <row r="26" spans="2:12" x14ac:dyDescent="0.3">
      <c r="B26" s="1" t="s">
        <v>72</v>
      </c>
      <c r="C26" s="3"/>
      <c r="D26" s="3"/>
      <c r="E26" s="16"/>
      <c r="F26" s="16"/>
      <c r="G26" s="16"/>
      <c r="H26" s="16"/>
      <c r="I26" s="16">
        <f>-$H$15/10</f>
        <v>-1050000</v>
      </c>
      <c r="J26" s="16">
        <f t="shared" ref="J26:L26" si="9">-$H$15/10</f>
        <v>-1050000</v>
      </c>
      <c r="K26" s="16">
        <f t="shared" si="9"/>
        <v>-1050000</v>
      </c>
      <c r="L26" s="16">
        <f t="shared" si="9"/>
        <v>-1050000</v>
      </c>
    </row>
    <row r="27" spans="2:12" x14ac:dyDescent="0.3">
      <c r="B27" s="1" t="s">
        <v>73</v>
      </c>
      <c r="C27" s="3"/>
      <c r="D27" s="3"/>
      <c r="E27" s="16"/>
      <c r="F27" s="16"/>
      <c r="G27" s="16"/>
      <c r="H27" s="16"/>
      <c r="I27" s="16"/>
      <c r="J27" s="16">
        <f>-$I$15/10</f>
        <v>-1050000</v>
      </c>
      <c r="K27" s="16">
        <f t="shared" ref="K27:L27" si="10">-$I$15/10</f>
        <v>-1050000</v>
      </c>
      <c r="L27" s="16">
        <f t="shared" si="10"/>
        <v>-1050000</v>
      </c>
    </row>
    <row r="28" spans="2:12" x14ac:dyDescent="0.3">
      <c r="B28" s="1" t="s">
        <v>74</v>
      </c>
      <c r="C28" s="3"/>
      <c r="D28" s="3"/>
      <c r="E28" s="16"/>
      <c r="F28" s="16"/>
      <c r="G28" s="16"/>
      <c r="H28" s="16"/>
      <c r="I28" s="16"/>
      <c r="J28" s="16"/>
      <c r="K28" s="16">
        <f>-$J$15/10</f>
        <v>-1050000</v>
      </c>
      <c r="L28" s="16">
        <f>-$J$15/10</f>
        <v>-1050000</v>
      </c>
    </row>
    <row r="29" spans="2:12" x14ac:dyDescent="0.3">
      <c r="B29" s="1" t="s">
        <v>75</v>
      </c>
      <c r="C29" s="3"/>
      <c r="D29" s="3"/>
      <c r="E29" s="16"/>
      <c r="F29" s="16"/>
      <c r="G29" s="16"/>
      <c r="H29" s="16"/>
      <c r="I29" s="16"/>
      <c r="J29" s="16"/>
      <c r="K29" s="16"/>
      <c r="L29" s="16">
        <f>-$K$15/10</f>
        <v>-1050000</v>
      </c>
    </row>
    <row r="30" spans="2:12" ht="15" thickBot="1" x14ac:dyDescent="0.35">
      <c r="B30" s="8" t="s">
        <v>20</v>
      </c>
      <c r="C30" s="9">
        <f>SUM(C20:C29)</f>
        <v>-28000000</v>
      </c>
      <c r="D30" s="9">
        <f t="shared" ref="D30:L30" si="11">SUM(D20:D29)</f>
        <v>-31500000</v>
      </c>
      <c r="E30" s="9">
        <f t="shared" si="11"/>
        <v>-35000000</v>
      </c>
      <c r="F30" s="9">
        <f t="shared" si="11"/>
        <v>-36050000</v>
      </c>
      <c r="G30" s="9">
        <f t="shared" si="11"/>
        <v>-37100000</v>
      </c>
      <c r="H30" s="9">
        <f t="shared" si="11"/>
        <v>-38150000</v>
      </c>
      <c r="I30" s="9">
        <f t="shared" si="11"/>
        <v>-39200000</v>
      </c>
      <c r="J30" s="9">
        <f t="shared" si="11"/>
        <v>-40250000</v>
      </c>
      <c r="K30" s="9">
        <f t="shared" si="11"/>
        <v>-41300000</v>
      </c>
      <c r="L30" s="9">
        <f t="shared" si="11"/>
        <v>-42350000</v>
      </c>
    </row>
    <row r="38" spans="6:6" x14ac:dyDescent="0.3">
      <c r="F38" s="1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27"/>
  <sheetViews>
    <sheetView workbookViewId="0">
      <selection activeCell="D16" sqref="D16"/>
    </sheetView>
  </sheetViews>
  <sheetFormatPr defaultColWidth="9.109375" defaultRowHeight="14.4" x14ac:dyDescent="0.3"/>
  <cols>
    <col min="1" max="1" width="2" style="1" customWidth="1"/>
    <col min="2" max="2" width="24.33203125" style="1" customWidth="1"/>
    <col min="3" max="12" width="13.5546875" style="1" bestFit="1" customWidth="1"/>
    <col min="13" max="16384" width="9.109375" style="1"/>
  </cols>
  <sheetData>
    <row r="1" spans="2:12" ht="15.6" x14ac:dyDescent="0.3">
      <c r="B1" s="4" t="s">
        <v>80</v>
      </c>
    </row>
    <row r="3" spans="2:12" ht="15" thickBot="1" x14ac:dyDescent="0.35">
      <c r="B3" s="7" t="s">
        <v>32</v>
      </c>
      <c r="C3" s="7"/>
    </row>
    <row r="4" spans="2:12" x14ac:dyDescent="0.3">
      <c r="B4" s="3" t="s">
        <v>34</v>
      </c>
      <c r="C4" s="3">
        <f>Drivers!C21</f>
        <v>25</v>
      </c>
    </row>
    <row r="5" spans="2:12" x14ac:dyDescent="0.3">
      <c r="B5" s="3" t="s">
        <v>33</v>
      </c>
      <c r="C5" s="3">
        <f>Drivers!C22</f>
        <v>30</v>
      </c>
    </row>
    <row r="6" spans="2:12" x14ac:dyDescent="0.3">
      <c r="B6" s="17" t="s">
        <v>35</v>
      </c>
      <c r="C6" s="17">
        <f>C4-C5</f>
        <v>-5</v>
      </c>
    </row>
    <row r="7" spans="2:12" x14ac:dyDescent="0.3">
      <c r="B7" s="15"/>
      <c r="C7" s="15"/>
    </row>
    <row r="8" spans="2:12" ht="15" thickBot="1" x14ac:dyDescent="0.35">
      <c r="B8" s="7" t="s">
        <v>36</v>
      </c>
      <c r="C8" s="7"/>
    </row>
    <row r="9" spans="2:12" x14ac:dyDescent="0.3">
      <c r="B9" s="3" t="s">
        <v>34</v>
      </c>
      <c r="C9" s="3">
        <f>CHOOSE(Drivers!$C$3,'Working capital'!C20,'Working capital'!C21,'Working capital'!C22)</f>
        <v>50</v>
      </c>
    </row>
    <row r="10" spans="2:12" x14ac:dyDescent="0.3">
      <c r="B10" s="3" t="s">
        <v>33</v>
      </c>
      <c r="C10" s="3">
        <f>CHOOSE(Drivers!$C$3,'Working capital'!C25,'Working capital'!C26,'Working capital'!C27)</f>
        <v>30</v>
      </c>
    </row>
    <row r="11" spans="2:12" x14ac:dyDescent="0.3">
      <c r="B11" s="17" t="s">
        <v>35</v>
      </c>
      <c r="C11" s="17">
        <f>C9-C10</f>
        <v>20</v>
      </c>
    </row>
    <row r="12" spans="2:12" x14ac:dyDescent="0.3">
      <c r="B12" s="15"/>
      <c r="C12" s="15"/>
    </row>
    <row r="13" spans="2:12" ht="15" thickBot="1" x14ac:dyDescent="0.35">
      <c r="B13" s="7" t="s">
        <v>24</v>
      </c>
      <c r="C13" s="7">
        <v>1</v>
      </c>
      <c r="D13" s="7">
        <v>2</v>
      </c>
      <c r="E13" s="7">
        <v>3</v>
      </c>
      <c r="F13" s="7">
        <v>4</v>
      </c>
      <c r="G13" s="7">
        <v>5</v>
      </c>
      <c r="H13" s="7">
        <v>6</v>
      </c>
      <c r="I13" s="7">
        <v>7</v>
      </c>
      <c r="J13" s="7">
        <v>8</v>
      </c>
      <c r="K13" s="7">
        <v>9</v>
      </c>
      <c r="L13" s="7">
        <v>10</v>
      </c>
    </row>
    <row r="14" spans="2:12" x14ac:dyDescent="0.3">
      <c r="B14" s="19" t="s">
        <v>78</v>
      </c>
      <c r="C14" s="20">
        <f>'Savings forecast'!C24*'Savings forecast'!C11</f>
        <v>176000000</v>
      </c>
      <c r="D14" s="20">
        <f>'Savings forecast'!D24*'Savings forecast'!D11</f>
        <v>192610000</v>
      </c>
      <c r="E14" s="20">
        <f>'Savings forecast'!E24*'Savings forecast'!E11</f>
        <v>203056260</v>
      </c>
      <c r="F14" s="20">
        <f>'Savings forecast'!F24*'Savings forecast'!F11</f>
        <v>216359946</v>
      </c>
      <c r="G14" s="20">
        <f>'Savings forecast'!G24*'Savings forecast'!G11</f>
        <v>217898505.616</v>
      </c>
      <c r="H14" s="20">
        <f>'Savings forecast'!H24*'Savings forecast'!H11</f>
        <v>221885057.82102001</v>
      </c>
      <c r="I14" s="20">
        <f>'Savings forecast'!I24*'Savings forecast'!I11</f>
        <v>223287779.450923</v>
      </c>
      <c r="J14" s="20">
        <f>'Savings forecast'!J24*'Savings forecast'!J11</f>
        <v>224574967.82658127</v>
      </c>
      <c r="K14" s="20">
        <f>'Savings forecast'!K24*'Savings forecast'!K11</f>
        <v>228525322.68232596</v>
      </c>
      <c r="L14" s="20">
        <f>'Savings forecast'!L24*'Savings forecast'!L11</f>
        <v>232510581.35837144</v>
      </c>
    </row>
    <row r="15" spans="2:12" s="18" customFormat="1" x14ac:dyDescent="0.3">
      <c r="B15" s="19" t="s">
        <v>79</v>
      </c>
      <c r="C15" s="20">
        <f>$C$11-$C$6</f>
        <v>25</v>
      </c>
      <c r="D15" s="20">
        <f t="shared" ref="D15:L15" si="0">$C$11-$C$6</f>
        <v>25</v>
      </c>
      <c r="E15" s="20">
        <f t="shared" si="0"/>
        <v>25</v>
      </c>
      <c r="F15" s="20">
        <f t="shared" si="0"/>
        <v>25</v>
      </c>
      <c r="G15" s="20">
        <f t="shared" si="0"/>
        <v>25</v>
      </c>
      <c r="H15" s="20">
        <f t="shared" si="0"/>
        <v>25</v>
      </c>
      <c r="I15" s="20">
        <f t="shared" si="0"/>
        <v>25</v>
      </c>
      <c r="J15" s="20">
        <f t="shared" si="0"/>
        <v>25</v>
      </c>
      <c r="K15" s="20">
        <f t="shared" si="0"/>
        <v>25</v>
      </c>
      <c r="L15" s="20">
        <f t="shared" si="0"/>
        <v>25</v>
      </c>
    </row>
    <row r="16" spans="2:12" s="18" customFormat="1" x14ac:dyDescent="0.3">
      <c r="B16" s="19" t="s">
        <v>80</v>
      </c>
      <c r="C16" s="20">
        <f>-C14*C15/360</f>
        <v>-12222222.222222222</v>
      </c>
      <c r="D16" s="20">
        <f t="shared" ref="D16:L16" si="1">-D14*D15/360</f>
        <v>-13375694.444444444</v>
      </c>
      <c r="E16" s="20">
        <f t="shared" si="1"/>
        <v>-14101129.166666666</v>
      </c>
      <c r="F16" s="20">
        <f t="shared" si="1"/>
        <v>-15024996.25</v>
      </c>
      <c r="G16" s="20">
        <f t="shared" si="1"/>
        <v>-15131840.667777777</v>
      </c>
      <c r="H16" s="20">
        <f t="shared" si="1"/>
        <v>-15408684.570904167</v>
      </c>
      <c r="I16" s="20">
        <f t="shared" si="1"/>
        <v>-15506095.795202987</v>
      </c>
      <c r="J16" s="20">
        <f t="shared" si="1"/>
        <v>-15595483.876845922</v>
      </c>
      <c r="K16" s="20">
        <f t="shared" si="1"/>
        <v>-15869814.075161526</v>
      </c>
      <c r="L16" s="20">
        <f t="shared" si="1"/>
        <v>-16146568.149886904</v>
      </c>
    </row>
    <row r="17" spans="2:12" s="18" customFormat="1" ht="15" thickBot="1" x14ac:dyDescent="0.35">
      <c r="B17" s="8" t="s">
        <v>40</v>
      </c>
      <c r="C17" s="9">
        <f>C16</f>
        <v>-12222222.222222222</v>
      </c>
      <c r="D17" s="9">
        <f>D16-C16</f>
        <v>-1153472.222222222</v>
      </c>
      <c r="E17" s="9">
        <f>E16-D16</f>
        <v>-725434.72222222202</v>
      </c>
      <c r="F17" s="9">
        <f t="shared" ref="F17:L17" si="2">F16-E16</f>
        <v>-923867.08333333395</v>
      </c>
      <c r="G17" s="9">
        <f t="shared" si="2"/>
        <v>-106844.41777777672</v>
      </c>
      <c r="H17" s="9">
        <f t="shared" si="2"/>
        <v>-276843.90312639065</v>
      </c>
      <c r="I17" s="9">
        <f t="shared" si="2"/>
        <v>-97411.2242988199</v>
      </c>
      <c r="J17" s="9">
        <f t="shared" si="2"/>
        <v>-89388.081642935053</v>
      </c>
      <c r="K17" s="9">
        <f t="shared" si="2"/>
        <v>-274330.19831560366</v>
      </c>
      <c r="L17" s="9">
        <f t="shared" si="2"/>
        <v>-276754.0747253783</v>
      </c>
    </row>
    <row r="18" spans="2:12" x14ac:dyDescent="0.3">
      <c r="B18" s="3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2:12" ht="15" thickBot="1" x14ac:dyDescent="0.35">
      <c r="B19" s="7" t="s">
        <v>38</v>
      </c>
      <c r="C19" s="7"/>
    </row>
    <row r="20" spans="2:12" x14ac:dyDescent="0.3">
      <c r="B20" s="3" t="s">
        <v>2</v>
      </c>
      <c r="C20" s="1">
        <v>45</v>
      </c>
    </row>
    <row r="21" spans="2:12" x14ac:dyDescent="0.3">
      <c r="B21" s="3" t="s">
        <v>1</v>
      </c>
      <c r="C21" s="1">
        <v>50</v>
      </c>
    </row>
    <row r="22" spans="2:12" x14ac:dyDescent="0.3">
      <c r="B22" s="3" t="s">
        <v>3</v>
      </c>
      <c r="C22" s="1">
        <v>55</v>
      </c>
    </row>
    <row r="24" spans="2:12" ht="15" thickBot="1" x14ac:dyDescent="0.35">
      <c r="B24" s="7" t="s">
        <v>39</v>
      </c>
      <c r="C24" s="7"/>
    </row>
    <row r="25" spans="2:12" x14ac:dyDescent="0.3">
      <c r="B25" s="3" t="s">
        <v>2</v>
      </c>
      <c r="C25" s="1">
        <v>25</v>
      </c>
    </row>
    <row r="26" spans="2:12" x14ac:dyDescent="0.3">
      <c r="B26" s="3" t="s">
        <v>1</v>
      </c>
      <c r="C26" s="1">
        <v>30</v>
      </c>
    </row>
    <row r="27" spans="2:12" x14ac:dyDescent="0.3">
      <c r="B27" s="3" t="s">
        <v>3</v>
      </c>
      <c r="C27" s="1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23"/>
  <sheetViews>
    <sheetView workbookViewId="0">
      <selection activeCell="C15" sqref="C15"/>
    </sheetView>
  </sheetViews>
  <sheetFormatPr defaultColWidth="9.109375" defaultRowHeight="14.4" x14ac:dyDescent="0.3"/>
  <cols>
    <col min="1" max="1" width="2" style="45" customWidth="1"/>
    <col min="2" max="2" width="31" style="45" bestFit="1" customWidth="1"/>
    <col min="3" max="3" width="12.5546875" style="45" bestFit="1" customWidth="1"/>
    <col min="4" max="13" width="12" style="45" bestFit="1" customWidth="1"/>
    <col min="14" max="16384" width="9.109375" style="45"/>
  </cols>
  <sheetData>
    <row r="1" spans="2:14" ht="15.6" x14ac:dyDescent="0.3">
      <c r="B1" s="44" t="s">
        <v>41</v>
      </c>
      <c r="C1" s="44"/>
    </row>
    <row r="3" spans="2:14" x14ac:dyDescent="0.3">
      <c r="B3" s="46" t="s">
        <v>67</v>
      </c>
      <c r="C3" s="47">
        <f>'Fixed asset roll-forward'!$C$14</f>
        <v>280000000</v>
      </c>
      <c r="D3" s="48"/>
      <c r="E3" s="48"/>
      <c r="F3" s="48"/>
      <c r="G3" s="48"/>
      <c r="H3" s="48"/>
      <c r="I3" s="48"/>
      <c r="J3" s="48"/>
      <c r="K3" s="48"/>
      <c r="L3" s="48"/>
      <c r="M3" s="49"/>
    </row>
    <row r="5" spans="2:14" x14ac:dyDescent="0.3">
      <c r="B5" s="50" t="s">
        <v>42</v>
      </c>
      <c r="C5" s="51"/>
    </row>
    <row r="6" spans="2:14" x14ac:dyDescent="0.3">
      <c r="B6" s="46" t="s">
        <v>94</v>
      </c>
      <c r="C6" s="48">
        <f>Drivers!C28</f>
        <v>200000000</v>
      </c>
    </row>
    <row r="7" spans="2:14" x14ac:dyDescent="0.3">
      <c r="B7" s="46" t="s">
        <v>95</v>
      </c>
      <c r="C7" s="52">
        <f>Drivers!C29</f>
        <v>0.05</v>
      </c>
    </row>
    <row r="8" spans="2:14" x14ac:dyDescent="0.3">
      <c r="B8" s="46" t="s">
        <v>96</v>
      </c>
      <c r="C8" s="53" t="s">
        <v>65</v>
      </c>
    </row>
    <row r="9" spans="2:14" x14ac:dyDescent="0.3">
      <c r="B9" s="46"/>
      <c r="C9" s="53"/>
    </row>
    <row r="10" spans="2:14" ht="15" thickBot="1" x14ac:dyDescent="0.35">
      <c r="B10" s="54" t="s">
        <v>24</v>
      </c>
      <c r="C10" s="54">
        <v>0</v>
      </c>
      <c r="D10" s="54">
        <v>1</v>
      </c>
      <c r="E10" s="54">
        <v>2</v>
      </c>
      <c r="F10" s="54">
        <v>3</v>
      </c>
      <c r="G10" s="54">
        <v>4</v>
      </c>
      <c r="H10" s="54">
        <v>5</v>
      </c>
      <c r="I10" s="54">
        <v>6</v>
      </c>
      <c r="J10" s="54">
        <v>7</v>
      </c>
      <c r="K10" s="54">
        <v>8</v>
      </c>
      <c r="L10" s="54">
        <v>9</v>
      </c>
      <c r="M10" s="54">
        <v>10</v>
      </c>
    </row>
    <row r="11" spans="2:14" x14ac:dyDescent="0.3">
      <c r="B11" s="48" t="s">
        <v>93</v>
      </c>
      <c r="C11" s="48">
        <f>C6</f>
        <v>200000000</v>
      </c>
      <c r="D11" s="48">
        <f>C14</f>
        <v>200000000</v>
      </c>
      <c r="E11" s="48">
        <f>D14</f>
        <v>200000000</v>
      </c>
      <c r="F11" s="48">
        <f t="shared" ref="F11:M11" si="0">E14</f>
        <v>190000000</v>
      </c>
      <c r="G11" s="48">
        <f t="shared" si="0"/>
        <v>170000000</v>
      </c>
      <c r="H11" s="48">
        <f t="shared" si="0"/>
        <v>150000000</v>
      </c>
      <c r="I11" s="48">
        <f t="shared" si="0"/>
        <v>130000000</v>
      </c>
      <c r="J11" s="48">
        <f t="shared" si="0"/>
        <v>110000000</v>
      </c>
      <c r="K11" s="48">
        <f t="shared" si="0"/>
        <v>90000000</v>
      </c>
      <c r="L11" s="48">
        <f t="shared" si="0"/>
        <v>70000000</v>
      </c>
      <c r="M11" s="48">
        <f t="shared" si="0"/>
        <v>50000000</v>
      </c>
      <c r="N11" s="48"/>
    </row>
    <row r="12" spans="2:14" x14ac:dyDescent="0.3">
      <c r="B12" s="48" t="s">
        <v>91</v>
      </c>
      <c r="C12" s="48">
        <f>-$C$11*C13</f>
        <v>0</v>
      </c>
      <c r="D12" s="48">
        <f>-$D$11*D13</f>
        <v>0</v>
      </c>
      <c r="E12" s="48">
        <f t="shared" ref="E12:M12" si="1">-$D$11*E13</f>
        <v>-10000000</v>
      </c>
      <c r="F12" s="48">
        <f t="shared" si="1"/>
        <v>-20000000</v>
      </c>
      <c r="G12" s="48">
        <f t="shared" si="1"/>
        <v>-20000000</v>
      </c>
      <c r="H12" s="48">
        <f t="shared" si="1"/>
        <v>-20000000</v>
      </c>
      <c r="I12" s="48">
        <f t="shared" si="1"/>
        <v>-20000000</v>
      </c>
      <c r="J12" s="48">
        <f t="shared" si="1"/>
        <v>-20000000</v>
      </c>
      <c r="K12" s="48">
        <f t="shared" si="1"/>
        <v>-20000000</v>
      </c>
      <c r="L12" s="48">
        <f t="shared" si="1"/>
        <v>-20000000</v>
      </c>
      <c r="M12" s="48">
        <f t="shared" si="1"/>
        <v>-20000000</v>
      </c>
    </row>
    <row r="13" spans="2:14" x14ac:dyDescent="0.3">
      <c r="B13" s="48" t="s">
        <v>88</v>
      </c>
      <c r="C13" s="56">
        <v>0</v>
      </c>
      <c r="D13" s="56">
        <v>0</v>
      </c>
      <c r="E13" s="56">
        <v>0.05</v>
      </c>
      <c r="F13" s="56">
        <v>0.1</v>
      </c>
      <c r="G13" s="56">
        <v>0.1</v>
      </c>
      <c r="H13" s="56">
        <v>0.1</v>
      </c>
      <c r="I13" s="56">
        <v>0.1</v>
      </c>
      <c r="J13" s="56">
        <v>0.1</v>
      </c>
      <c r="K13" s="56">
        <v>0.1</v>
      </c>
      <c r="L13" s="56">
        <v>0.1</v>
      </c>
      <c r="M13" s="56">
        <v>0.1</v>
      </c>
    </row>
    <row r="14" spans="2:14" x14ac:dyDescent="0.3">
      <c r="B14" s="55" t="s">
        <v>92</v>
      </c>
      <c r="C14" s="59">
        <f>SUM(C11:C12)</f>
        <v>200000000</v>
      </c>
      <c r="D14" s="59">
        <f>SUM(D11:D12)</f>
        <v>200000000</v>
      </c>
      <c r="E14" s="59">
        <f t="shared" ref="E14:M14" si="2">SUM(E11:E12)</f>
        <v>190000000</v>
      </c>
      <c r="F14" s="59">
        <f t="shared" si="2"/>
        <v>170000000</v>
      </c>
      <c r="G14" s="59">
        <f t="shared" si="2"/>
        <v>150000000</v>
      </c>
      <c r="H14" s="59">
        <f t="shared" si="2"/>
        <v>130000000</v>
      </c>
      <c r="I14" s="59">
        <f t="shared" si="2"/>
        <v>110000000</v>
      </c>
      <c r="J14" s="59">
        <f t="shared" si="2"/>
        <v>90000000</v>
      </c>
      <c r="K14" s="59">
        <f t="shared" si="2"/>
        <v>70000000</v>
      </c>
      <c r="L14" s="59">
        <f t="shared" si="2"/>
        <v>50000000</v>
      </c>
      <c r="M14" s="59">
        <f t="shared" si="2"/>
        <v>30000000</v>
      </c>
    </row>
    <row r="15" spans="2:14" x14ac:dyDescent="0.3"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</row>
    <row r="16" spans="2:14" x14ac:dyDescent="0.3">
      <c r="B16" s="57" t="s">
        <v>50</v>
      </c>
      <c r="C16" s="57">
        <f t="shared" ref="C16:M16" si="3">IF(C10=0,0,-C11*$C$7)</f>
        <v>0</v>
      </c>
      <c r="D16" s="57">
        <f t="shared" si="3"/>
        <v>-10000000</v>
      </c>
      <c r="E16" s="57">
        <f t="shared" si="3"/>
        <v>-10000000</v>
      </c>
      <c r="F16" s="57">
        <f t="shared" si="3"/>
        <v>-9500000</v>
      </c>
      <c r="G16" s="57">
        <f t="shared" si="3"/>
        <v>-8500000</v>
      </c>
      <c r="H16" s="57">
        <f t="shared" si="3"/>
        <v>-7500000</v>
      </c>
      <c r="I16" s="57">
        <f t="shared" si="3"/>
        <v>-6500000</v>
      </c>
      <c r="J16" s="57">
        <f t="shared" si="3"/>
        <v>-5500000</v>
      </c>
      <c r="K16" s="57">
        <f t="shared" si="3"/>
        <v>-4500000</v>
      </c>
      <c r="L16" s="57">
        <f t="shared" si="3"/>
        <v>-3500000</v>
      </c>
      <c r="M16" s="57">
        <f t="shared" si="3"/>
        <v>-2500000</v>
      </c>
    </row>
    <row r="17" spans="2:13" x14ac:dyDescent="0.3"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</row>
    <row r="18" spans="2:13" x14ac:dyDescent="0.3">
      <c r="B18" s="48" t="s">
        <v>52</v>
      </c>
      <c r="C18" s="48">
        <v>0</v>
      </c>
      <c r="D18" s="48">
        <f>'Savings forecast'!C11</f>
        <v>16000</v>
      </c>
      <c r="E18" s="48">
        <f>'Savings forecast'!D11</f>
        <v>17000</v>
      </c>
      <c r="F18" s="48">
        <f>'Savings forecast'!E11</f>
        <v>17400</v>
      </c>
      <c r="G18" s="48">
        <f>'Savings forecast'!F11</f>
        <v>18000</v>
      </c>
      <c r="H18" s="48">
        <f>'Savings forecast'!G11</f>
        <v>17600</v>
      </c>
      <c r="I18" s="48">
        <f>'Savings forecast'!H11</f>
        <v>17400</v>
      </c>
      <c r="J18" s="48">
        <f>'Savings forecast'!I11</f>
        <v>17000</v>
      </c>
      <c r="K18" s="48">
        <f>'Savings forecast'!J11</f>
        <v>16600</v>
      </c>
      <c r="L18" s="48">
        <f>'Savings forecast'!K11</f>
        <v>16400</v>
      </c>
      <c r="M18" s="48">
        <f>'Savings forecast'!L11</f>
        <v>16200.000000000002</v>
      </c>
    </row>
    <row r="19" spans="2:13" x14ac:dyDescent="0.3">
      <c r="B19" s="48" t="s">
        <v>53</v>
      </c>
      <c r="C19" s="58" t="str">
        <f>IF(C18&lt;16000,"Yes","No")</f>
        <v>Yes</v>
      </c>
      <c r="D19" s="58" t="str">
        <f>IF(D18&lt;16000,"Yes","No")</f>
        <v>No</v>
      </c>
      <c r="E19" s="58" t="str">
        <f t="shared" ref="E19:M19" si="4">IF(E18&lt;16000,"Yes","No")</f>
        <v>No</v>
      </c>
      <c r="F19" s="58" t="str">
        <f t="shared" si="4"/>
        <v>No</v>
      </c>
      <c r="G19" s="58" t="str">
        <f t="shared" si="4"/>
        <v>No</v>
      </c>
      <c r="H19" s="58" t="str">
        <f t="shared" si="4"/>
        <v>No</v>
      </c>
      <c r="I19" s="58" t="str">
        <f t="shared" si="4"/>
        <v>No</v>
      </c>
      <c r="J19" s="58" t="str">
        <f t="shared" si="4"/>
        <v>No</v>
      </c>
      <c r="K19" s="58" t="str">
        <f t="shared" si="4"/>
        <v>No</v>
      </c>
      <c r="L19" s="58" t="str">
        <f t="shared" si="4"/>
        <v>No</v>
      </c>
      <c r="M19" s="58" t="str">
        <f t="shared" si="4"/>
        <v>No</v>
      </c>
    </row>
    <row r="20" spans="2:13" x14ac:dyDescent="0.3">
      <c r="B20" s="55" t="s">
        <v>55</v>
      </c>
      <c r="C20" s="59">
        <f t="shared" ref="C20:M20" si="5">IF(C10=0,0,IF(C19="Yes",1000000,0))</f>
        <v>0</v>
      </c>
      <c r="D20" s="59">
        <f t="shared" si="5"/>
        <v>0</v>
      </c>
      <c r="E20" s="59">
        <f t="shared" si="5"/>
        <v>0</v>
      </c>
      <c r="F20" s="59">
        <f t="shared" si="5"/>
        <v>0</v>
      </c>
      <c r="G20" s="59">
        <f t="shared" si="5"/>
        <v>0</v>
      </c>
      <c r="H20" s="59">
        <f t="shared" si="5"/>
        <v>0</v>
      </c>
      <c r="I20" s="59">
        <f t="shared" si="5"/>
        <v>0</v>
      </c>
      <c r="J20" s="59">
        <f t="shared" si="5"/>
        <v>0</v>
      </c>
      <c r="K20" s="59">
        <f t="shared" si="5"/>
        <v>0</v>
      </c>
      <c r="L20" s="59">
        <f t="shared" si="5"/>
        <v>0</v>
      </c>
      <c r="M20" s="59">
        <f t="shared" si="5"/>
        <v>0</v>
      </c>
    </row>
    <row r="22" spans="2:13" x14ac:dyDescent="0.3">
      <c r="B22" s="20" t="s">
        <v>68</v>
      </c>
      <c r="C22" s="20">
        <f>'Cash Flow'!C12</f>
        <v>-280000000</v>
      </c>
      <c r="D22" s="20">
        <f>'Cash Flow'!D12</f>
        <v>4577777.7777777761</v>
      </c>
      <c r="E22" s="20">
        <f>'Cash Flow'!E12</f>
        <v>7764027.7777777761</v>
      </c>
      <c r="F22" s="20">
        <f>'Cash Flow'!F12</f>
        <v>23069862.277777776</v>
      </c>
      <c r="G22" s="20">
        <f>'Cash Flow'!G12</f>
        <v>23206956.016666666</v>
      </c>
      <c r="H22" s="20">
        <f>'Cash Flow'!H12</f>
        <v>21457943.400622204</v>
      </c>
      <c r="I22" s="20">
        <f>'Cash Flow'!I12</f>
        <v>19218802.980538592</v>
      </c>
      <c r="J22" s="20">
        <f>'Cash Flow'!J12</f>
        <v>16808534.938409507</v>
      </c>
      <c r="K22" s="20">
        <f>'Cash Flow'!K12</f>
        <v>14235432.707743742</v>
      </c>
      <c r="L22" s="20">
        <f>'Cash Flow'!L12</f>
        <v>11881466.123516805</v>
      </c>
      <c r="M22" s="20">
        <f>'Cash Flow'!M12</f>
        <v>8837036.537946254</v>
      </c>
    </row>
    <row r="23" spans="2:13" x14ac:dyDescent="0.3">
      <c r="B23" s="55" t="s">
        <v>90</v>
      </c>
      <c r="C23" s="59">
        <f>-(C14+C22)</f>
        <v>80000000</v>
      </c>
      <c r="D23" s="59">
        <f t="shared" ref="D23:M23" si="6">IF(D22&gt;0,C23,C23-D22)</f>
        <v>80000000</v>
      </c>
      <c r="E23" s="59">
        <f t="shared" si="6"/>
        <v>80000000</v>
      </c>
      <c r="F23" s="59">
        <f t="shared" si="6"/>
        <v>80000000</v>
      </c>
      <c r="G23" s="59">
        <f t="shared" si="6"/>
        <v>80000000</v>
      </c>
      <c r="H23" s="59">
        <f t="shared" si="6"/>
        <v>80000000</v>
      </c>
      <c r="I23" s="59">
        <f t="shared" si="6"/>
        <v>80000000</v>
      </c>
      <c r="J23" s="59">
        <f t="shared" si="6"/>
        <v>80000000</v>
      </c>
      <c r="K23" s="59">
        <f t="shared" si="6"/>
        <v>80000000</v>
      </c>
      <c r="L23" s="59">
        <f t="shared" si="6"/>
        <v>80000000</v>
      </c>
      <c r="M23" s="59">
        <f t="shared" si="6"/>
        <v>80000000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11"/>
  <sheetViews>
    <sheetView workbookViewId="0">
      <selection activeCell="C10" sqref="C10"/>
    </sheetView>
  </sheetViews>
  <sheetFormatPr defaultColWidth="9.109375" defaultRowHeight="14.4" x14ac:dyDescent="0.3"/>
  <cols>
    <col min="1" max="1" width="2" style="1" customWidth="1"/>
    <col min="2" max="2" width="22.44140625" style="1" bestFit="1" customWidth="1"/>
    <col min="3" max="3" width="22.44140625" style="1" customWidth="1"/>
    <col min="4" max="12" width="11.5546875" style="1" bestFit="1" customWidth="1"/>
    <col min="13" max="16384" width="9.109375" style="1"/>
  </cols>
  <sheetData>
    <row r="1" spans="2:12" ht="15.6" x14ac:dyDescent="0.3">
      <c r="B1" s="4" t="s">
        <v>58</v>
      </c>
      <c r="C1" s="4"/>
    </row>
    <row r="3" spans="2:12" ht="15" thickBot="1" x14ac:dyDescent="0.35">
      <c r="B3" s="7" t="s">
        <v>24</v>
      </c>
      <c r="C3" s="7">
        <v>1</v>
      </c>
      <c r="D3" s="7">
        <v>2</v>
      </c>
      <c r="E3" s="7">
        <v>3</v>
      </c>
      <c r="F3" s="7">
        <v>4</v>
      </c>
      <c r="G3" s="7">
        <v>5</v>
      </c>
      <c r="H3" s="7">
        <v>6</v>
      </c>
      <c r="I3" s="7">
        <v>7</v>
      </c>
      <c r="J3" s="7">
        <v>8</v>
      </c>
      <c r="K3" s="7">
        <v>9</v>
      </c>
      <c r="L3" s="7">
        <v>10</v>
      </c>
    </row>
    <row r="4" spans="2:12" x14ac:dyDescent="0.3">
      <c r="B4" s="19" t="s">
        <v>59</v>
      </c>
      <c r="C4" s="20">
        <f>'Savings forecast'!C31</f>
        <v>72000000</v>
      </c>
      <c r="D4" s="20">
        <f>'Savings forecast'!D31</f>
        <v>73525000</v>
      </c>
      <c r="E4" s="20">
        <f>'Savings forecast'!E31</f>
        <v>72064710</v>
      </c>
      <c r="F4" s="20">
        <f>'Savings forecast'!F31</f>
        <v>71094033</v>
      </c>
      <c r="G4" s="20">
        <f>'Savings forecast'!G31</f>
        <v>65978268.311999977</v>
      </c>
      <c r="H4" s="20">
        <f>'Savings forecast'!H31</f>
        <v>61572352.690949976</v>
      </c>
      <c r="I4" s="20">
        <f>'Savings forecast'!I31</f>
        <v>56422780.232440472</v>
      </c>
      <c r="J4" s="20">
        <f>'Savings forecast'!J31</f>
        <v>51285458.270552397</v>
      </c>
      <c r="K4" s="20">
        <f>'Savings forecast'!K31</f>
        <v>46736851.888332017</v>
      </c>
      <c r="L4" s="20">
        <f>'Savings forecast'!L31</f>
        <v>42113790.612671636</v>
      </c>
    </row>
    <row r="5" spans="2:12" s="18" customFormat="1" x14ac:dyDescent="0.3">
      <c r="B5" s="19" t="s">
        <v>20</v>
      </c>
      <c r="C5" s="20">
        <f>'Fixed asset roll-forward'!C16</f>
        <v>-28000000</v>
      </c>
      <c r="D5" s="20">
        <f>'Fixed asset roll-forward'!D16</f>
        <v>-31500000</v>
      </c>
      <c r="E5" s="20">
        <f>'Fixed asset roll-forward'!E16</f>
        <v>-35000000</v>
      </c>
      <c r="F5" s="20">
        <f>'Fixed asset roll-forward'!F16</f>
        <v>-36050000</v>
      </c>
      <c r="G5" s="20">
        <f>'Fixed asset roll-forward'!G16</f>
        <v>-37100000</v>
      </c>
      <c r="H5" s="20">
        <f>'Fixed asset roll-forward'!H16</f>
        <v>-38150000</v>
      </c>
      <c r="I5" s="20">
        <f>'Fixed asset roll-forward'!I16</f>
        <v>-39200000</v>
      </c>
      <c r="J5" s="20">
        <f>'Fixed asset roll-forward'!J16</f>
        <v>-40250000</v>
      </c>
      <c r="K5" s="20">
        <f>'Fixed asset roll-forward'!K16</f>
        <v>-41300000</v>
      </c>
      <c r="L5" s="20">
        <f>'Fixed asset roll-forward'!L16</f>
        <v>-42350000</v>
      </c>
    </row>
    <row r="6" spans="2:12" x14ac:dyDescent="0.3">
      <c r="B6" s="12" t="s">
        <v>60</v>
      </c>
      <c r="C6" s="21">
        <f>SUM(C4:C5)</f>
        <v>44000000</v>
      </c>
      <c r="D6" s="21">
        <f t="shared" ref="D6:L6" si="0">SUM(D4:D5)</f>
        <v>42025000</v>
      </c>
      <c r="E6" s="21">
        <f t="shared" si="0"/>
        <v>37064710</v>
      </c>
      <c r="F6" s="21">
        <f t="shared" si="0"/>
        <v>35044033</v>
      </c>
      <c r="G6" s="21">
        <f t="shared" si="0"/>
        <v>28878268.311999977</v>
      </c>
      <c r="H6" s="21">
        <f t="shared" si="0"/>
        <v>23422352.690949976</v>
      </c>
      <c r="I6" s="21">
        <f t="shared" si="0"/>
        <v>17222780.232440472</v>
      </c>
      <c r="J6" s="21">
        <f t="shared" si="0"/>
        <v>11035458.270552397</v>
      </c>
      <c r="K6" s="21">
        <f t="shared" si="0"/>
        <v>5436851.8883320168</v>
      </c>
      <c r="L6" s="21">
        <f t="shared" si="0"/>
        <v>-236209.38732836396</v>
      </c>
    </row>
    <row r="7" spans="2:12" x14ac:dyDescent="0.3">
      <c r="B7" s="19" t="s">
        <v>56</v>
      </c>
      <c r="C7" s="20">
        <f>Financing!D16</f>
        <v>-10000000</v>
      </c>
      <c r="D7" s="20">
        <f>Financing!E16</f>
        <v>-10000000</v>
      </c>
      <c r="E7" s="20">
        <f>Financing!F16</f>
        <v>-9500000</v>
      </c>
      <c r="F7" s="20">
        <f>Financing!G16</f>
        <v>-8500000</v>
      </c>
      <c r="G7" s="20">
        <f>Financing!H16</f>
        <v>-7500000</v>
      </c>
      <c r="H7" s="20">
        <f>Financing!I16</f>
        <v>-6500000</v>
      </c>
      <c r="I7" s="20">
        <f>Financing!J16</f>
        <v>-5500000</v>
      </c>
      <c r="J7" s="20">
        <f>Financing!K16</f>
        <v>-4500000</v>
      </c>
      <c r="K7" s="20">
        <f>Financing!L16</f>
        <v>-3500000</v>
      </c>
      <c r="L7" s="20">
        <f>Financing!M16</f>
        <v>-2500000</v>
      </c>
    </row>
    <row r="8" spans="2:12" x14ac:dyDescent="0.3">
      <c r="B8" s="19" t="s">
        <v>47</v>
      </c>
      <c r="C8" s="20">
        <f>-Financing!D20</f>
        <v>0</v>
      </c>
      <c r="D8" s="20">
        <f>-Financing!E20</f>
        <v>0</v>
      </c>
      <c r="E8" s="20">
        <f>-Financing!F20</f>
        <v>0</v>
      </c>
      <c r="F8" s="20">
        <f>-Financing!G20</f>
        <v>0</v>
      </c>
      <c r="G8" s="20">
        <f>-Financing!H20</f>
        <v>0</v>
      </c>
      <c r="H8" s="20">
        <f>-Financing!I20</f>
        <v>0</v>
      </c>
      <c r="I8" s="20">
        <f>-Financing!J20</f>
        <v>0</v>
      </c>
      <c r="J8" s="20">
        <f>-Financing!K20</f>
        <v>0</v>
      </c>
      <c r="K8" s="20">
        <f>-Financing!L20</f>
        <v>0</v>
      </c>
      <c r="L8" s="20">
        <f>-Financing!M20</f>
        <v>0</v>
      </c>
    </row>
    <row r="9" spans="2:12" x14ac:dyDescent="0.3">
      <c r="B9" s="12" t="s">
        <v>61</v>
      </c>
      <c r="C9" s="21">
        <f>SUM(C6:C8)</f>
        <v>34000000</v>
      </c>
      <c r="D9" s="21">
        <f t="shared" ref="D9:L9" si="1">SUM(D6:D8)</f>
        <v>32025000</v>
      </c>
      <c r="E9" s="21">
        <f t="shared" si="1"/>
        <v>27564710</v>
      </c>
      <c r="F9" s="21">
        <f t="shared" si="1"/>
        <v>26544033</v>
      </c>
      <c r="G9" s="21">
        <f t="shared" si="1"/>
        <v>21378268.311999977</v>
      </c>
      <c r="H9" s="21">
        <f t="shared" si="1"/>
        <v>16922352.690949976</v>
      </c>
      <c r="I9" s="21">
        <f t="shared" si="1"/>
        <v>11722780.232440472</v>
      </c>
      <c r="J9" s="21">
        <f t="shared" si="1"/>
        <v>6535458.2705523968</v>
      </c>
      <c r="K9" s="21">
        <f t="shared" si="1"/>
        <v>1936851.8883320168</v>
      </c>
      <c r="L9" s="21">
        <f t="shared" si="1"/>
        <v>-2736209.387328364</v>
      </c>
    </row>
    <row r="10" spans="2:12" x14ac:dyDescent="0.3">
      <c r="B10" s="19" t="s">
        <v>62</v>
      </c>
      <c r="C10" s="20">
        <f>IF(-'P&amp;L'!C9*Drivers!$C$37&gt;0,0,-'P&amp;L'!C9*Drivers!$C$37)</f>
        <v>-10200000</v>
      </c>
      <c r="D10" s="20">
        <f>IF(-'P&amp;L'!D9*Drivers!$C$37&gt;0,0,-'P&amp;L'!D9*Drivers!$C$37)</f>
        <v>-9607500</v>
      </c>
      <c r="E10" s="20">
        <f>IF(-'P&amp;L'!E9*Drivers!$C$37&gt;0,0,-'P&amp;L'!E9*Drivers!$C$37)</f>
        <v>-8269413</v>
      </c>
      <c r="F10" s="20">
        <f>IF(-'P&amp;L'!F9*Drivers!$C$37&gt;0,0,-'P&amp;L'!F9*Drivers!$C$37)</f>
        <v>-7963209.8999999994</v>
      </c>
      <c r="G10" s="20">
        <f>IF(-'P&amp;L'!G9*Drivers!$C$37&gt;0,0,-'P&amp;L'!G9*Drivers!$C$37)</f>
        <v>-6413480.4935999932</v>
      </c>
      <c r="H10" s="20">
        <f>IF(-'P&amp;L'!H9*Drivers!$C$37&gt;0,0,-'P&amp;L'!H9*Drivers!$C$37)</f>
        <v>-5076705.8072849931</v>
      </c>
      <c r="I10" s="20">
        <f>IF(-'P&amp;L'!I9*Drivers!$C$37&gt;0,0,-'P&amp;L'!I9*Drivers!$C$37)</f>
        <v>-3516834.0697321412</v>
      </c>
      <c r="J10" s="20">
        <f>IF(-'P&amp;L'!J9*Drivers!$C$37&gt;0,0,-'P&amp;L'!J9*Drivers!$C$37)</f>
        <v>-1960637.481165719</v>
      </c>
      <c r="K10" s="20">
        <f>IF(-'P&amp;L'!K9*Drivers!$C$37&gt;0,0,-'P&amp;L'!K9*Drivers!$C$37)</f>
        <v>-581055.56649960496</v>
      </c>
      <c r="L10" s="20">
        <f>IF(-'P&amp;L'!L9*Drivers!$C$37&gt;0,0,-'P&amp;L'!L9*Drivers!$C$37)</f>
        <v>0</v>
      </c>
    </row>
    <row r="11" spans="2:12" ht="15" thickBot="1" x14ac:dyDescent="0.35">
      <c r="B11" s="22" t="s">
        <v>63</v>
      </c>
      <c r="C11" s="23">
        <f>SUM(C9:C10)</f>
        <v>23800000</v>
      </c>
      <c r="D11" s="23">
        <f t="shared" ref="D11:L11" si="2">SUM(D9:D10)</f>
        <v>22417500</v>
      </c>
      <c r="E11" s="23">
        <f t="shared" si="2"/>
        <v>19295297</v>
      </c>
      <c r="F11" s="23">
        <f t="shared" si="2"/>
        <v>18580823.100000001</v>
      </c>
      <c r="G11" s="23">
        <f t="shared" si="2"/>
        <v>14964787.818399984</v>
      </c>
      <c r="H11" s="23">
        <f t="shared" si="2"/>
        <v>11845646.883664984</v>
      </c>
      <c r="I11" s="23">
        <f t="shared" si="2"/>
        <v>8205946.1627083309</v>
      </c>
      <c r="J11" s="23">
        <f t="shared" si="2"/>
        <v>4574820.7893866776</v>
      </c>
      <c r="K11" s="23">
        <f t="shared" si="2"/>
        <v>1355796.3218324119</v>
      </c>
      <c r="L11" s="23">
        <f t="shared" si="2"/>
        <v>-2736209.387328364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O16"/>
  <sheetViews>
    <sheetView workbookViewId="0">
      <selection activeCell="D8" sqref="D8"/>
    </sheetView>
  </sheetViews>
  <sheetFormatPr defaultColWidth="9.109375" defaultRowHeight="11.4" x14ac:dyDescent="0.2"/>
  <cols>
    <col min="1" max="1" width="2" style="28" customWidth="1"/>
    <col min="2" max="2" width="22.44140625" style="28" bestFit="1" customWidth="1"/>
    <col min="3" max="3" width="12.5546875" style="28" bestFit="1" customWidth="1"/>
    <col min="4" max="5" width="11.5546875" style="28" customWidth="1"/>
    <col min="6" max="13" width="11.5546875" style="28" bestFit="1" customWidth="1"/>
    <col min="14" max="14" width="1.33203125" style="30" customWidth="1"/>
    <col min="15" max="15" width="13.109375" style="28" bestFit="1" customWidth="1"/>
    <col min="16" max="16384" width="9.109375" style="28"/>
  </cols>
  <sheetData>
    <row r="1" spans="2:15" ht="15.6" x14ac:dyDescent="0.3">
      <c r="B1" s="26" t="s">
        <v>85</v>
      </c>
      <c r="C1" s="26"/>
      <c r="D1" s="27"/>
    </row>
    <row r="3" spans="2:15" ht="12.6" thickBot="1" x14ac:dyDescent="0.3">
      <c r="B3" s="29" t="s">
        <v>24</v>
      </c>
      <c r="C3" s="29">
        <v>0</v>
      </c>
      <c r="D3" s="29">
        <v>1</v>
      </c>
      <c r="E3" s="29">
        <v>2</v>
      </c>
      <c r="F3" s="29">
        <v>3</v>
      </c>
      <c r="G3" s="29">
        <v>4</v>
      </c>
      <c r="H3" s="29">
        <v>5</v>
      </c>
      <c r="I3" s="29">
        <v>6</v>
      </c>
      <c r="J3" s="29">
        <v>7</v>
      </c>
      <c r="K3" s="29">
        <v>8</v>
      </c>
      <c r="L3" s="29">
        <v>9</v>
      </c>
      <c r="M3" s="29">
        <v>10</v>
      </c>
      <c r="N3" s="38"/>
      <c r="O3" s="36" t="s">
        <v>81</v>
      </c>
    </row>
    <row r="4" spans="2:15" x14ac:dyDescent="0.2">
      <c r="B4" s="30" t="s">
        <v>48</v>
      </c>
      <c r="C4" s="31">
        <v>0</v>
      </c>
      <c r="D4" s="31">
        <f>'Savings forecast'!C31</f>
        <v>72000000</v>
      </c>
      <c r="E4" s="31">
        <f>'Savings forecast'!D31</f>
        <v>73525000</v>
      </c>
      <c r="F4" s="31">
        <f>'Savings forecast'!E31</f>
        <v>72064710</v>
      </c>
      <c r="G4" s="31">
        <f>'Savings forecast'!F31</f>
        <v>71094033</v>
      </c>
      <c r="H4" s="31">
        <f>'Savings forecast'!G31</f>
        <v>65978268.311999977</v>
      </c>
      <c r="I4" s="31">
        <f>'Savings forecast'!H31</f>
        <v>61572352.690949976</v>
      </c>
      <c r="J4" s="31">
        <f>'Savings forecast'!I31</f>
        <v>56422780.232440472</v>
      </c>
      <c r="K4" s="31">
        <f>'Savings forecast'!J31</f>
        <v>51285458.270552397</v>
      </c>
      <c r="L4" s="31">
        <f>'Savings forecast'!K31</f>
        <v>46736851.888332017</v>
      </c>
      <c r="M4" s="31">
        <f>'Savings forecast'!L31</f>
        <v>42113790.612671636</v>
      </c>
      <c r="N4" s="31"/>
    </row>
    <row r="5" spans="2:15" x14ac:dyDescent="0.2">
      <c r="B5" s="30" t="s">
        <v>62</v>
      </c>
      <c r="C5" s="31">
        <v>0</v>
      </c>
      <c r="D5" s="31">
        <f>'P&amp;L'!C10</f>
        <v>-10200000</v>
      </c>
      <c r="E5" s="31">
        <f>'P&amp;L'!D10</f>
        <v>-9607500</v>
      </c>
      <c r="F5" s="31">
        <f>'P&amp;L'!E10</f>
        <v>-8269413</v>
      </c>
      <c r="G5" s="31">
        <f>'P&amp;L'!F10</f>
        <v>-7963209.8999999994</v>
      </c>
      <c r="H5" s="31">
        <f>'P&amp;L'!G10</f>
        <v>-6413480.4935999932</v>
      </c>
      <c r="I5" s="31">
        <f>'P&amp;L'!H10</f>
        <v>-5076705.8072849931</v>
      </c>
      <c r="J5" s="31">
        <f>'P&amp;L'!I10</f>
        <v>-3516834.0697321412</v>
      </c>
      <c r="K5" s="31">
        <f>'P&amp;L'!J10</f>
        <v>-1960637.481165719</v>
      </c>
      <c r="L5" s="31">
        <f>'P&amp;L'!K10</f>
        <v>-581055.56649960496</v>
      </c>
      <c r="M5" s="31">
        <f>'P&amp;L'!L10</f>
        <v>0</v>
      </c>
      <c r="N5" s="31"/>
    </row>
    <row r="6" spans="2:15" s="30" customFormat="1" x14ac:dyDescent="0.2">
      <c r="B6" s="30" t="s">
        <v>40</v>
      </c>
      <c r="C6" s="31">
        <v>0</v>
      </c>
      <c r="D6" s="31">
        <f>'Working capital'!C17</f>
        <v>-12222222.222222222</v>
      </c>
      <c r="E6" s="31">
        <f>'Working capital'!D17</f>
        <v>-1153472.222222222</v>
      </c>
      <c r="F6" s="31">
        <f>'Working capital'!E17</f>
        <v>-725434.72222222202</v>
      </c>
      <c r="G6" s="31">
        <f>'Working capital'!F17</f>
        <v>-923867.08333333395</v>
      </c>
      <c r="H6" s="31">
        <f>'Working capital'!G17</f>
        <v>-106844.41777777672</v>
      </c>
      <c r="I6" s="31">
        <f>'Working capital'!H17</f>
        <v>-276843.90312639065</v>
      </c>
      <c r="J6" s="31">
        <f>'Working capital'!I17</f>
        <v>-97411.2242988199</v>
      </c>
      <c r="K6" s="31">
        <f>'Working capital'!J17</f>
        <v>-89388.081642935053</v>
      </c>
      <c r="L6" s="31">
        <f>'Working capital'!K17</f>
        <v>-274330.19831560366</v>
      </c>
      <c r="M6" s="31">
        <f>'Working capital'!L17</f>
        <v>-276754.0747253783</v>
      </c>
      <c r="N6" s="31"/>
    </row>
    <row r="7" spans="2:15" x14ac:dyDescent="0.2">
      <c r="B7" s="28" t="s">
        <v>23</v>
      </c>
      <c r="C7" s="31">
        <f>-'Fixed asset roll-forward'!C14</f>
        <v>-280000000</v>
      </c>
      <c r="D7" s="31">
        <f>-'Fixed asset roll-forward'!C15</f>
        <v>-35000000</v>
      </c>
      <c r="E7" s="31">
        <f>-'Fixed asset roll-forward'!D15</f>
        <v>-35000000</v>
      </c>
      <c r="F7" s="31">
        <f>-'Fixed asset roll-forward'!E15</f>
        <v>-10500000</v>
      </c>
      <c r="G7" s="31">
        <f>-'Fixed asset roll-forward'!F15</f>
        <v>-10500000</v>
      </c>
      <c r="H7" s="31">
        <f>-'Fixed asset roll-forward'!G15</f>
        <v>-10500000</v>
      </c>
      <c r="I7" s="31">
        <f>-'Fixed asset roll-forward'!H15</f>
        <v>-10500000</v>
      </c>
      <c r="J7" s="31">
        <f>-'Fixed asset roll-forward'!I15</f>
        <v>-10500000</v>
      </c>
      <c r="K7" s="31">
        <f>-'Fixed asset roll-forward'!J15</f>
        <v>-10500000</v>
      </c>
      <c r="L7" s="31">
        <f>-'Fixed asset roll-forward'!K15</f>
        <v>-10500000</v>
      </c>
      <c r="M7" s="31">
        <f>-'Fixed asset roll-forward'!L15</f>
        <v>-10500000</v>
      </c>
      <c r="N7" s="31"/>
    </row>
    <row r="8" spans="2:15" ht="12" x14ac:dyDescent="0.25">
      <c r="B8" s="32" t="s">
        <v>49</v>
      </c>
      <c r="C8" s="33">
        <f>SUM(C4:C7)</f>
        <v>-280000000</v>
      </c>
      <c r="D8" s="33">
        <f>SUM(D4:D7)</f>
        <v>14577777.777777776</v>
      </c>
      <c r="E8" s="33">
        <f t="shared" ref="E8:M8" si="0">SUM(E4:E7)</f>
        <v>27764027.777777776</v>
      </c>
      <c r="F8" s="33">
        <f t="shared" si="0"/>
        <v>52569862.277777776</v>
      </c>
      <c r="G8" s="33">
        <f t="shared" si="0"/>
        <v>51706956.016666666</v>
      </c>
      <c r="H8" s="33">
        <f t="shared" si="0"/>
        <v>48957943.400622204</v>
      </c>
      <c r="I8" s="33">
        <f t="shared" si="0"/>
        <v>45718802.980538592</v>
      </c>
      <c r="J8" s="33">
        <f t="shared" si="0"/>
        <v>42308534.938409507</v>
      </c>
      <c r="K8" s="33">
        <f t="shared" si="0"/>
        <v>38735432.707743742</v>
      </c>
      <c r="L8" s="33">
        <f t="shared" si="0"/>
        <v>35381466.123516805</v>
      </c>
      <c r="M8" s="33">
        <f t="shared" si="0"/>
        <v>31337036.537946254</v>
      </c>
      <c r="N8" s="37"/>
    </row>
    <row r="9" spans="2:15" x14ac:dyDescent="0.2">
      <c r="B9" s="28" t="s">
        <v>51</v>
      </c>
      <c r="C9" s="31">
        <v>0</v>
      </c>
      <c r="D9" s="31">
        <f>Financing!D12</f>
        <v>0</v>
      </c>
      <c r="E9" s="31">
        <f>Financing!E12</f>
        <v>-10000000</v>
      </c>
      <c r="F9" s="31">
        <f>Financing!F12</f>
        <v>-20000000</v>
      </c>
      <c r="G9" s="31">
        <f>Financing!G12</f>
        <v>-20000000</v>
      </c>
      <c r="H9" s="31">
        <f>Financing!H12</f>
        <v>-20000000</v>
      </c>
      <c r="I9" s="31">
        <f>Financing!I12</f>
        <v>-20000000</v>
      </c>
      <c r="J9" s="31">
        <f>Financing!J12</f>
        <v>-20000000</v>
      </c>
      <c r="K9" s="31">
        <f>Financing!K12</f>
        <v>-20000000</v>
      </c>
      <c r="L9" s="31">
        <f>Financing!L12</f>
        <v>-20000000</v>
      </c>
      <c r="M9" s="31">
        <f>Financing!M12</f>
        <v>-20000000</v>
      </c>
      <c r="N9" s="31"/>
    </row>
    <row r="10" spans="2:15" x14ac:dyDescent="0.2">
      <c r="B10" s="28" t="s">
        <v>56</v>
      </c>
      <c r="C10" s="31">
        <v>0</v>
      </c>
      <c r="D10" s="31">
        <f>Financing!D16</f>
        <v>-10000000</v>
      </c>
      <c r="E10" s="31">
        <f>Financing!E16</f>
        <v>-10000000</v>
      </c>
      <c r="F10" s="31">
        <f>Financing!F16</f>
        <v>-9500000</v>
      </c>
      <c r="G10" s="31">
        <f>Financing!G16</f>
        <v>-8500000</v>
      </c>
      <c r="H10" s="31">
        <f>Financing!H16</f>
        <v>-7500000</v>
      </c>
      <c r="I10" s="31">
        <f>Financing!I16</f>
        <v>-6500000</v>
      </c>
      <c r="J10" s="31">
        <f>Financing!J16</f>
        <v>-5500000</v>
      </c>
      <c r="K10" s="31">
        <f>Financing!K16</f>
        <v>-4500000</v>
      </c>
      <c r="L10" s="31">
        <f>Financing!L16</f>
        <v>-3500000</v>
      </c>
      <c r="M10" s="31">
        <f>Financing!M16</f>
        <v>-2500000</v>
      </c>
      <c r="N10" s="31"/>
    </row>
    <row r="11" spans="2:15" x14ac:dyDescent="0.2">
      <c r="B11" s="28" t="s">
        <v>57</v>
      </c>
      <c r="C11" s="31">
        <v>0</v>
      </c>
      <c r="D11" s="31">
        <f>-Financing!D20</f>
        <v>0</v>
      </c>
      <c r="E11" s="31">
        <f>-Financing!E20</f>
        <v>0</v>
      </c>
      <c r="F11" s="31">
        <f>-Financing!F20</f>
        <v>0</v>
      </c>
      <c r="G11" s="31">
        <f>-Financing!G20</f>
        <v>0</v>
      </c>
      <c r="H11" s="31">
        <f>-Financing!H20</f>
        <v>0</v>
      </c>
      <c r="I11" s="31">
        <f>-Financing!I20</f>
        <v>0</v>
      </c>
      <c r="J11" s="31">
        <f>-Financing!J20</f>
        <v>0</v>
      </c>
      <c r="K11" s="31">
        <f>-Financing!K20</f>
        <v>0</v>
      </c>
      <c r="L11" s="31">
        <f>-Financing!L20</f>
        <v>0</v>
      </c>
      <c r="M11" s="31">
        <f>-Financing!M20</f>
        <v>0</v>
      </c>
      <c r="N11" s="31"/>
    </row>
    <row r="12" spans="2:15" ht="12.6" thickBot="1" x14ac:dyDescent="0.3">
      <c r="B12" s="34" t="s">
        <v>68</v>
      </c>
      <c r="C12" s="35">
        <f>SUM(C8:C11)</f>
        <v>-280000000</v>
      </c>
      <c r="D12" s="35">
        <f>SUM(D8:D11)</f>
        <v>4577777.7777777761</v>
      </c>
      <c r="E12" s="35">
        <f t="shared" ref="E12:M12" si="1">SUM(E8:E11)</f>
        <v>7764027.7777777761</v>
      </c>
      <c r="F12" s="35">
        <f t="shared" si="1"/>
        <v>23069862.277777776</v>
      </c>
      <c r="G12" s="35">
        <f t="shared" si="1"/>
        <v>23206956.016666666</v>
      </c>
      <c r="H12" s="35">
        <f t="shared" si="1"/>
        <v>21457943.400622204</v>
      </c>
      <c r="I12" s="35">
        <f t="shared" si="1"/>
        <v>19218802.980538592</v>
      </c>
      <c r="J12" s="35">
        <f t="shared" si="1"/>
        <v>16808534.938409507</v>
      </c>
      <c r="K12" s="35">
        <f t="shared" si="1"/>
        <v>14235432.707743742</v>
      </c>
      <c r="L12" s="35">
        <f t="shared" si="1"/>
        <v>11881466.123516805</v>
      </c>
      <c r="M12" s="35">
        <f t="shared" si="1"/>
        <v>8837036.537946254</v>
      </c>
      <c r="N12" s="39"/>
      <c r="O12" s="35">
        <f>Drivers!C39</f>
        <v>100000000</v>
      </c>
    </row>
    <row r="14" spans="2:15" x14ac:dyDescent="0.2">
      <c r="D14" s="40"/>
      <c r="E14" s="40"/>
      <c r="F14" s="40"/>
      <c r="G14" s="40"/>
      <c r="H14" s="40"/>
      <c r="I14" s="40"/>
      <c r="J14" s="40"/>
      <c r="K14" s="40"/>
      <c r="L14" s="40"/>
      <c r="M14" s="40"/>
    </row>
    <row r="16" spans="2:15" x14ac:dyDescent="0.2"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M35"/>
  <sheetViews>
    <sheetView workbookViewId="0"/>
  </sheetViews>
  <sheetFormatPr defaultColWidth="9.109375" defaultRowHeight="11.4" x14ac:dyDescent="0.2"/>
  <cols>
    <col min="1" max="1" width="2" style="3" customWidth="1"/>
    <col min="2" max="2" width="27.44140625" style="3" bestFit="1" customWidth="1"/>
    <col min="3" max="3" width="12.6640625" style="3" bestFit="1" customWidth="1"/>
    <col min="4" max="4" width="12" style="3" customWidth="1"/>
    <col min="5" max="13" width="12" style="3" bestFit="1" customWidth="1"/>
    <col min="14" max="16384" width="9.109375" style="3"/>
  </cols>
  <sheetData>
    <row r="1" spans="2:13" s="1" customFormat="1" ht="15.6" x14ac:dyDescent="0.3">
      <c r="B1" s="4" t="s">
        <v>82</v>
      </c>
    </row>
    <row r="2" spans="2:13" s="1" customFormat="1" ht="14.4" x14ac:dyDescent="0.3"/>
    <row r="3" spans="2:13" s="1" customFormat="1" ht="14.4" x14ac:dyDescent="0.3">
      <c r="B3" s="20" t="s">
        <v>97</v>
      </c>
      <c r="C3" s="43">
        <f>Drivers!C29</f>
        <v>0.05</v>
      </c>
    </row>
    <row r="4" spans="2:13" s="1" customFormat="1" ht="14.4" x14ac:dyDescent="0.3">
      <c r="B4" s="20" t="s">
        <v>121</v>
      </c>
      <c r="C4" s="43">
        <f>Drivers!C49</f>
        <v>0.03</v>
      </c>
    </row>
    <row r="5" spans="2:13" s="1" customFormat="1" ht="14.4" x14ac:dyDescent="0.3">
      <c r="B5" s="20" t="s">
        <v>64</v>
      </c>
      <c r="C5" s="43">
        <f>Drivers!C37</f>
        <v>0.3</v>
      </c>
    </row>
    <row r="6" spans="2:13" s="1" customFormat="1" ht="14.4" x14ac:dyDescent="0.3">
      <c r="B6" s="20" t="s">
        <v>117</v>
      </c>
      <c r="C6" s="43">
        <f>Drivers!C46</f>
        <v>0.06</v>
      </c>
    </row>
    <row r="7" spans="2:13" s="1" customFormat="1" ht="14.4" x14ac:dyDescent="0.3">
      <c r="B7" s="20"/>
      <c r="C7" s="43"/>
    </row>
    <row r="8" spans="2:13" s="1" customFormat="1" ht="15" thickBot="1" x14ac:dyDescent="0.35">
      <c r="B8" s="7" t="s">
        <v>99</v>
      </c>
      <c r="C8" s="62" t="s">
        <v>114</v>
      </c>
      <c r="D8" s="62" t="s">
        <v>101</v>
      </c>
    </row>
    <row r="9" spans="2:13" s="1" customFormat="1" ht="14.4" x14ac:dyDescent="0.3">
      <c r="B9" s="3" t="s">
        <v>100</v>
      </c>
      <c r="C9" s="5">
        <f>Drivers!C42</f>
        <v>0.8</v>
      </c>
      <c r="D9" s="64">
        <f>Drivers!D42</f>
        <v>0.6</v>
      </c>
    </row>
    <row r="10" spans="2:13" s="1" customFormat="1" ht="14.4" x14ac:dyDescent="0.3">
      <c r="B10" s="3" t="s">
        <v>102</v>
      </c>
      <c r="C10" s="5">
        <f>Drivers!C43</f>
        <v>0.9</v>
      </c>
      <c r="D10" s="64">
        <f>Drivers!D43</f>
        <v>0.65</v>
      </c>
    </row>
    <row r="11" spans="2:13" s="1" customFormat="1" ht="14.4" x14ac:dyDescent="0.3">
      <c r="B11" s="3" t="s">
        <v>107</v>
      </c>
      <c r="C11" s="5">
        <f>Drivers!C44</f>
        <v>0.85</v>
      </c>
      <c r="D11" s="64">
        <f>Drivers!D44</f>
        <v>0.56999999999999995</v>
      </c>
    </row>
    <row r="12" spans="2:13" s="1" customFormat="1" ht="14.4" x14ac:dyDescent="0.3"/>
    <row r="13" spans="2:13" s="1" customFormat="1" ht="14.4" x14ac:dyDescent="0.3"/>
    <row r="14" spans="2:13" s="1" customFormat="1" ht="15" thickBot="1" x14ac:dyDescent="0.35">
      <c r="B14" s="29" t="s">
        <v>24</v>
      </c>
      <c r="C14" s="29">
        <v>0</v>
      </c>
      <c r="D14" s="29">
        <v>1</v>
      </c>
      <c r="E14" s="29">
        <v>2</v>
      </c>
      <c r="F14" s="29">
        <v>3</v>
      </c>
      <c r="G14" s="29">
        <v>4</v>
      </c>
      <c r="H14" s="29">
        <v>5</v>
      </c>
      <c r="I14" s="29">
        <v>6</v>
      </c>
      <c r="J14" s="29">
        <v>7</v>
      </c>
      <c r="K14" s="29">
        <v>8</v>
      </c>
      <c r="L14" s="29">
        <v>9</v>
      </c>
      <c r="M14" s="29">
        <v>10</v>
      </c>
    </row>
    <row r="15" spans="2:13" s="1" customFormat="1" ht="14.4" x14ac:dyDescent="0.3">
      <c r="B15" s="20" t="s">
        <v>98</v>
      </c>
      <c r="C15" s="20">
        <f>Financing!C14</f>
        <v>200000000</v>
      </c>
      <c r="D15" s="20">
        <f>Financing!D14</f>
        <v>200000000</v>
      </c>
      <c r="E15" s="20">
        <f>Financing!E14</f>
        <v>190000000</v>
      </c>
      <c r="F15" s="20">
        <f>Financing!F14</f>
        <v>170000000</v>
      </c>
      <c r="G15" s="20">
        <f>Financing!G14</f>
        <v>150000000</v>
      </c>
      <c r="H15" s="20">
        <f>Financing!H14</f>
        <v>130000000</v>
      </c>
      <c r="I15" s="20">
        <f>Financing!I14</f>
        <v>110000000</v>
      </c>
      <c r="J15" s="20">
        <f>Financing!J14</f>
        <v>90000000</v>
      </c>
      <c r="K15" s="20">
        <f>Financing!K14</f>
        <v>70000000</v>
      </c>
      <c r="L15" s="20">
        <f>Financing!L14</f>
        <v>50000000</v>
      </c>
      <c r="M15" s="20">
        <f>Financing!M14</f>
        <v>30000000</v>
      </c>
    </row>
    <row r="16" spans="2:13" s="1" customFormat="1" ht="14.4" x14ac:dyDescent="0.3">
      <c r="B16" s="20" t="s">
        <v>90</v>
      </c>
      <c r="C16" s="20">
        <f>Financing!C23</f>
        <v>80000000</v>
      </c>
      <c r="D16" s="20">
        <f>Financing!D23</f>
        <v>80000000</v>
      </c>
      <c r="E16" s="20">
        <f>Financing!E23</f>
        <v>80000000</v>
      </c>
      <c r="F16" s="20">
        <f>Financing!F23</f>
        <v>80000000</v>
      </c>
      <c r="G16" s="20">
        <f>Financing!G23</f>
        <v>80000000</v>
      </c>
      <c r="H16" s="20">
        <f>Financing!H23</f>
        <v>80000000</v>
      </c>
      <c r="I16" s="20">
        <f>Financing!I23</f>
        <v>80000000</v>
      </c>
      <c r="J16" s="20">
        <f>Financing!J23</f>
        <v>80000000</v>
      </c>
      <c r="K16" s="20">
        <f>Financing!K23</f>
        <v>80000000</v>
      </c>
      <c r="L16" s="20">
        <f>Financing!L23</f>
        <v>80000000</v>
      </c>
      <c r="M16" s="20">
        <f>Financing!M23</f>
        <v>80000000</v>
      </c>
    </row>
    <row r="17" spans="2:13" s="1" customFormat="1" ht="14.4" x14ac:dyDescent="0.3">
      <c r="B17" s="14" t="s">
        <v>103</v>
      </c>
      <c r="C17" s="14">
        <f>SUM(C15:C16)</f>
        <v>280000000</v>
      </c>
      <c r="D17" s="14">
        <f t="shared" ref="D17:M17" si="0">SUM(D15:D16)</f>
        <v>280000000</v>
      </c>
      <c r="E17" s="14">
        <f t="shared" si="0"/>
        <v>270000000</v>
      </c>
      <c r="F17" s="14">
        <f t="shared" si="0"/>
        <v>250000000</v>
      </c>
      <c r="G17" s="14">
        <f t="shared" si="0"/>
        <v>230000000</v>
      </c>
      <c r="H17" s="14">
        <f t="shared" si="0"/>
        <v>210000000</v>
      </c>
      <c r="I17" s="14">
        <f t="shared" si="0"/>
        <v>190000000</v>
      </c>
      <c r="J17" s="14">
        <f t="shared" si="0"/>
        <v>170000000</v>
      </c>
      <c r="K17" s="14">
        <f t="shared" si="0"/>
        <v>150000000</v>
      </c>
      <c r="L17" s="14">
        <f t="shared" si="0"/>
        <v>130000000</v>
      </c>
      <c r="M17" s="14">
        <f t="shared" si="0"/>
        <v>110000000</v>
      </c>
    </row>
    <row r="19" spans="2:13" x14ac:dyDescent="0.2">
      <c r="B19" s="3" t="s">
        <v>104</v>
      </c>
      <c r="C19" s="42">
        <f>C15/C$17</f>
        <v>0.7142857142857143</v>
      </c>
      <c r="D19" s="42">
        <f t="shared" ref="D19:M19" si="1">D15/D$17</f>
        <v>0.7142857142857143</v>
      </c>
      <c r="E19" s="42">
        <f t="shared" si="1"/>
        <v>0.70370370370370372</v>
      </c>
      <c r="F19" s="42">
        <f t="shared" si="1"/>
        <v>0.68</v>
      </c>
      <c r="G19" s="42">
        <f t="shared" si="1"/>
        <v>0.65217391304347827</v>
      </c>
      <c r="H19" s="42">
        <f t="shared" si="1"/>
        <v>0.61904761904761907</v>
      </c>
      <c r="I19" s="42">
        <f t="shared" si="1"/>
        <v>0.57894736842105265</v>
      </c>
      <c r="J19" s="42">
        <f t="shared" si="1"/>
        <v>0.52941176470588236</v>
      </c>
      <c r="K19" s="42">
        <f t="shared" si="1"/>
        <v>0.46666666666666667</v>
      </c>
      <c r="L19" s="42">
        <f t="shared" si="1"/>
        <v>0.38461538461538464</v>
      </c>
      <c r="M19" s="42">
        <f t="shared" si="1"/>
        <v>0.27272727272727271</v>
      </c>
    </row>
    <row r="20" spans="2:13" x14ac:dyDescent="0.2">
      <c r="B20" s="3" t="s">
        <v>105</v>
      </c>
      <c r="C20" s="42">
        <f t="shared" ref="C20:M20" si="2">C16/C$17</f>
        <v>0.2857142857142857</v>
      </c>
      <c r="D20" s="42">
        <f t="shared" si="2"/>
        <v>0.2857142857142857</v>
      </c>
      <c r="E20" s="42">
        <f t="shared" si="2"/>
        <v>0.29629629629629628</v>
      </c>
      <c r="F20" s="42">
        <f t="shared" si="2"/>
        <v>0.32</v>
      </c>
      <c r="G20" s="42">
        <f t="shared" si="2"/>
        <v>0.34782608695652173</v>
      </c>
      <c r="H20" s="42">
        <f t="shared" si="2"/>
        <v>0.38095238095238093</v>
      </c>
      <c r="I20" s="42">
        <f t="shared" si="2"/>
        <v>0.42105263157894735</v>
      </c>
      <c r="J20" s="42">
        <f t="shared" si="2"/>
        <v>0.47058823529411764</v>
      </c>
      <c r="K20" s="42">
        <f t="shared" si="2"/>
        <v>0.53333333333333333</v>
      </c>
      <c r="L20" s="42">
        <f t="shared" si="2"/>
        <v>0.61538461538461542</v>
      </c>
      <c r="M20" s="42">
        <f t="shared" si="2"/>
        <v>0.72727272727272729</v>
      </c>
    </row>
    <row r="21" spans="2:13" ht="12" x14ac:dyDescent="0.25">
      <c r="B21" s="14" t="s">
        <v>106</v>
      </c>
      <c r="C21" s="61">
        <f>SUM(C19:C20)</f>
        <v>1</v>
      </c>
      <c r="D21" s="61">
        <f t="shared" ref="D21" si="3">SUM(D19:D20)</f>
        <v>1</v>
      </c>
      <c r="E21" s="61">
        <f t="shared" ref="E21" si="4">SUM(E19:E20)</f>
        <v>1</v>
      </c>
      <c r="F21" s="61">
        <f t="shared" ref="F21" si="5">SUM(F19:F20)</f>
        <v>1</v>
      </c>
      <c r="G21" s="61">
        <f t="shared" ref="G21" si="6">SUM(G19:G20)</f>
        <v>1</v>
      </c>
      <c r="H21" s="61">
        <f t="shared" ref="H21" si="7">SUM(H19:H20)</f>
        <v>1</v>
      </c>
      <c r="I21" s="61">
        <f t="shared" ref="I21" si="8">SUM(I19:I20)</f>
        <v>1</v>
      </c>
      <c r="J21" s="61">
        <f t="shared" ref="J21" si="9">SUM(J19:J20)</f>
        <v>1</v>
      </c>
      <c r="K21" s="61">
        <f t="shared" ref="K21" si="10">SUM(K19:K20)</f>
        <v>1</v>
      </c>
      <c r="L21" s="61">
        <f t="shared" ref="L21" si="11">SUM(L19:L20)</f>
        <v>1</v>
      </c>
      <c r="M21" s="61">
        <f t="shared" ref="M21" si="12">SUM(M19:M20)</f>
        <v>1</v>
      </c>
    </row>
    <row r="24" spans="2:13" x14ac:dyDescent="0.2">
      <c r="B24" s="3" t="s">
        <v>108</v>
      </c>
    </row>
    <row r="25" spans="2:13" x14ac:dyDescent="0.2">
      <c r="B25" s="3" t="s">
        <v>109</v>
      </c>
      <c r="C25" s="5">
        <f>AVERAGE(C9:C11)</f>
        <v>0.85000000000000009</v>
      </c>
    </row>
    <row r="26" spans="2:13" x14ac:dyDescent="0.2">
      <c r="B26" s="3" t="s">
        <v>110</v>
      </c>
      <c r="C26" s="65">
        <f>AVERAGE(D9:D11)</f>
        <v>0.60666666666666658</v>
      </c>
    </row>
    <row r="28" spans="2:13" x14ac:dyDescent="0.2">
      <c r="B28" s="3" t="s">
        <v>111</v>
      </c>
    </row>
    <row r="29" spans="2:13" x14ac:dyDescent="0.2">
      <c r="B29" s="3" t="s">
        <v>115</v>
      </c>
      <c r="C29" s="63">
        <f>C19/C20</f>
        <v>2.5</v>
      </c>
      <c r="D29" s="63">
        <f t="shared" ref="D29:M29" si="13">D19/D20</f>
        <v>2.5</v>
      </c>
      <c r="E29" s="63">
        <f t="shared" si="13"/>
        <v>2.375</v>
      </c>
      <c r="F29" s="63">
        <f t="shared" si="13"/>
        <v>2.125</v>
      </c>
      <c r="G29" s="63">
        <f t="shared" si="13"/>
        <v>1.875</v>
      </c>
      <c r="H29" s="63">
        <f t="shared" si="13"/>
        <v>1.6250000000000002</v>
      </c>
      <c r="I29" s="63">
        <f t="shared" si="13"/>
        <v>1.3750000000000002</v>
      </c>
      <c r="J29" s="63">
        <f t="shared" si="13"/>
        <v>1.125</v>
      </c>
      <c r="K29" s="63">
        <f t="shared" si="13"/>
        <v>0.875</v>
      </c>
      <c r="L29" s="63">
        <f t="shared" si="13"/>
        <v>0.625</v>
      </c>
      <c r="M29" s="63">
        <f t="shared" si="13"/>
        <v>0.37499999999999994</v>
      </c>
    </row>
    <row r="30" spans="2:13" x14ac:dyDescent="0.2">
      <c r="B30" s="3" t="s">
        <v>113</v>
      </c>
      <c r="C30" s="63">
        <f>$C$26/((1+(1-$C$5)*($C$25)))</f>
        <v>0.38035527690700099</v>
      </c>
      <c r="D30" s="63">
        <f t="shared" ref="D30:M30" si="14">$C$26/((1+(1-$C$5)*($C$25)))</f>
        <v>0.38035527690700099</v>
      </c>
      <c r="E30" s="63">
        <f t="shared" si="14"/>
        <v>0.38035527690700099</v>
      </c>
      <c r="F30" s="63">
        <f t="shared" si="14"/>
        <v>0.38035527690700099</v>
      </c>
      <c r="G30" s="63">
        <f t="shared" si="14"/>
        <v>0.38035527690700099</v>
      </c>
      <c r="H30" s="63">
        <f t="shared" si="14"/>
        <v>0.38035527690700099</v>
      </c>
      <c r="I30" s="63">
        <f t="shared" si="14"/>
        <v>0.38035527690700099</v>
      </c>
      <c r="J30" s="63">
        <f t="shared" si="14"/>
        <v>0.38035527690700099</v>
      </c>
      <c r="K30" s="63">
        <f t="shared" si="14"/>
        <v>0.38035527690700099</v>
      </c>
      <c r="L30" s="63">
        <f t="shared" si="14"/>
        <v>0.38035527690700099</v>
      </c>
      <c r="M30" s="63">
        <f t="shared" si="14"/>
        <v>0.38035527690700099</v>
      </c>
    </row>
    <row r="31" spans="2:13" ht="12" x14ac:dyDescent="0.25">
      <c r="B31" s="14" t="s">
        <v>111</v>
      </c>
      <c r="C31" s="67">
        <f>C30*(1+(1-$C$5)*(C29))</f>
        <v>1.0459770114942528</v>
      </c>
      <c r="D31" s="67">
        <f t="shared" ref="D31:M31" si="15">D30*(1+(1-$C$5)*(D29))</f>
        <v>1.0459770114942528</v>
      </c>
      <c r="E31" s="67">
        <f t="shared" si="15"/>
        <v>1.0126959247648901</v>
      </c>
      <c r="F31" s="67">
        <f t="shared" si="15"/>
        <v>0.94613375130616495</v>
      </c>
      <c r="G31" s="67">
        <f t="shared" si="15"/>
        <v>0.87957157784743978</v>
      </c>
      <c r="H31" s="67">
        <f t="shared" si="15"/>
        <v>0.81300940438871472</v>
      </c>
      <c r="I31" s="67">
        <f t="shared" si="15"/>
        <v>0.74644723092998955</v>
      </c>
      <c r="J31" s="67">
        <f t="shared" si="15"/>
        <v>0.67988505747126426</v>
      </c>
      <c r="K31" s="67">
        <f t="shared" si="15"/>
        <v>0.61332288401253898</v>
      </c>
      <c r="L31" s="67">
        <f t="shared" si="15"/>
        <v>0.54676071055381392</v>
      </c>
      <c r="M31" s="67">
        <f t="shared" si="15"/>
        <v>0.48019853709508875</v>
      </c>
    </row>
    <row r="33" spans="2:13" ht="12" x14ac:dyDescent="0.25">
      <c r="B33" s="24" t="s">
        <v>116</v>
      </c>
      <c r="C33" s="68">
        <f>$C$4+$C$6*C31</f>
        <v>9.2758620689655166E-2</v>
      </c>
      <c r="D33" s="68">
        <f t="shared" ref="D33:M33" si="16">$C$4+$C$6*D31</f>
        <v>9.2758620689655166E-2</v>
      </c>
      <c r="E33" s="68">
        <f t="shared" si="16"/>
        <v>9.0761755485893408E-2</v>
      </c>
      <c r="F33" s="68">
        <f t="shared" si="16"/>
        <v>8.6768025078369893E-2</v>
      </c>
      <c r="G33" s="68">
        <f t="shared" si="16"/>
        <v>8.2774294670846377E-2</v>
      </c>
      <c r="H33" s="68">
        <f t="shared" si="16"/>
        <v>7.8780564263322889E-2</v>
      </c>
      <c r="I33" s="68">
        <f t="shared" si="16"/>
        <v>7.4786833855799373E-2</v>
      </c>
      <c r="J33" s="68">
        <f t="shared" si="16"/>
        <v>7.0793103448275857E-2</v>
      </c>
      <c r="K33" s="68">
        <f t="shared" si="16"/>
        <v>6.6799373040752341E-2</v>
      </c>
      <c r="L33" s="68">
        <f t="shared" si="16"/>
        <v>6.2805642633228825E-2</v>
      </c>
      <c r="M33" s="68">
        <f t="shared" si="16"/>
        <v>5.8811912225705323E-2</v>
      </c>
    </row>
    <row r="35" spans="2:13" ht="12.6" thickBot="1" x14ac:dyDescent="0.3">
      <c r="B35" s="22" t="s">
        <v>82</v>
      </c>
      <c r="C35" s="69">
        <f>C19*(1-$C$5)*$C$3+C20*C33</f>
        <v>5.1502463054187195E-2</v>
      </c>
      <c r="D35" s="69">
        <f t="shared" ref="D35:M35" si="17">D19*(1-$C$5)*$C$3+D20*D33</f>
        <v>5.1502463054187195E-2</v>
      </c>
      <c r="E35" s="69">
        <f t="shared" si="17"/>
        <v>5.1522001625449898E-2</v>
      </c>
      <c r="F35" s="69">
        <f t="shared" si="17"/>
        <v>5.1565768025078368E-2</v>
      </c>
      <c r="G35" s="69">
        <f t="shared" si="17"/>
        <v>5.1617145972468303E-2</v>
      </c>
      <c r="H35" s="69">
        <f t="shared" si="17"/>
        <v>5.167831019555158E-2</v>
      </c>
      <c r="I35" s="69">
        <f t="shared" si="17"/>
        <v>5.1752351097178684E-2</v>
      </c>
      <c r="J35" s="69">
        <f t="shared" si="17"/>
        <v>5.1843813387423929E-2</v>
      </c>
      <c r="K35" s="69">
        <f t="shared" si="17"/>
        <v>5.1959665621734583E-2</v>
      </c>
      <c r="L35" s="69">
        <f t="shared" si="17"/>
        <v>5.2111164697371586E-2</v>
      </c>
      <c r="M35" s="69">
        <f t="shared" si="17"/>
        <v>5.2317754345967506E-2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2060"/>
  </sheetPr>
  <dimension ref="B17"/>
  <sheetViews>
    <sheetView workbookViewId="0">
      <selection activeCell="G17" sqref="G17"/>
    </sheetView>
  </sheetViews>
  <sheetFormatPr defaultColWidth="9.109375" defaultRowHeight="11.4" x14ac:dyDescent="0.2"/>
  <cols>
    <col min="1" max="1" width="2" style="3" customWidth="1"/>
    <col min="2" max="16384" width="9.109375" style="3"/>
  </cols>
  <sheetData>
    <row r="17" spans="2:2" ht="50.4" x14ac:dyDescent="0.85">
      <c r="B17" s="41" t="s">
        <v>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O14"/>
  <sheetViews>
    <sheetView tabSelected="1" workbookViewId="0"/>
  </sheetViews>
  <sheetFormatPr defaultColWidth="9.109375" defaultRowHeight="11.4" x14ac:dyDescent="0.2"/>
  <cols>
    <col min="1" max="1" width="2" style="3" customWidth="1"/>
    <col min="2" max="2" width="27.88671875" style="3" bestFit="1" customWidth="1"/>
    <col min="3" max="3" width="12" style="3" bestFit="1" customWidth="1"/>
    <col min="4" max="5" width="12.5546875" style="3" bestFit="1" customWidth="1"/>
    <col min="6" max="9" width="12" style="3" bestFit="1" customWidth="1"/>
    <col min="10" max="11" width="11" style="3" bestFit="1" customWidth="1"/>
    <col min="12" max="12" width="11.5546875" style="3" bestFit="1" customWidth="1"/>
    <col min="13" max="13" width="13.109375" style="3" bestFit="1" customWidth="1"/>
    <col min="14" max="14" width="11" style="3" bestFit="1" customWidth="1"/>
    <col min="15" max="15" width="13.109375" style="3" bestFit="1" customWidth="1"/>
    <col min="16" max="16384" width="9.109375" style="3"/>
  </cols>
  <sheetData>
    <row r="1" spans="2:15" s="1" customFormat="1" ht="15.6" x14ac:dyDescent="0.3">
      <c r="B1" s="4" t="s">
        <v>84</v>
      </c>
      <c r="M1" s="28"/>
    </row>
    <row r="2" spans="2:15" s="1" customFormat="1" ht="14.4" x14ac:dyDescent="0.3">
      <c r="M2" s="28"/>
    </row>
    <row r="3" spans="2:15" ht="12" x14ac:dyDescent="0.25">
      <c r="B3" s="3" t="s">
        <v>21</v>
      </c>
      <c r="C3" s="13">
        <v>2</v>
      </c>
    </row>
    <row r="5" spans="2:15" x14ac:dyDescent="0.2">
      <c r="B5" s="3" t="s">
        <v>81</v>
      </c>
      <c r="C5" s="20">
        <f>Drivers!C39-Financing!M14</f>
        <v>70000000</v>
      </c>
    </row>
    <row r="7" spans="2:15" ht="12.6" thickBot="1" x14ac:dyDescent="0.3">
      <c r="B7" s="7" t="s">
        <v>24</v>
      </c>
      <c r="C7" s="7"/>
      <c r="D7" s="7">
        <v>0</v>
      </c>
      <c r="E7" s="7">
        <v>1</v>
      </c>
      <c r="F7" s="7">
        <v>2</v>
      </c>
      <c r="G7" s="7">
        <v>3</v>
      </c>
      <c r="H7" s="7">
        <v>4</v>
      </c>
      <c r="I7" s="7">
        <v>5</v>
      </c>
      <c r="J7" s="7">
        <v>6</v>
      </c>
      <c r="K7" s="7">
        <v>7</v>
      </c>
      <c r="L7" s="7">
        <v>8</v>
      </c>
      <c r="M7" s="7">
        <v>9</v>
      </c>
      <c r="N7" s="7">
        <v>10</v>
      </c>
      <c r="O7" s="62" t="s">
        <v>81</v>
      </c>
    </row>
    <row r="8" spans="2:15" x14ac:dyDescent="0.2">
      <c r="B8" s="74" t="s">
        <v>68</v>
      </c>
      <c r="C8" s="74"/>
      <c r="D8" s="74">
        <f>-Financing!C23</f>
        <v>-80000000</v>
      </c>
      <c r="E8" s="20">
        <f>'Cash Flow'!D12</f>
        <v>4577777.7777777761</v>
      </c>
      <c r="F8" s="20">
        <f>'Cash Flow'!E12</f>
        <v>7764027.7777777761</v>
      </c>
      <c r="G8" s="20">
        <f>'Cash Flow'!F12</f>
        <v>23069862.277777776</v>
      </c>
      <c r="H8" s="20">
        <f>'Cash Flow'!G12</f>
        <v>23206956.016666666</v>
      </c>
      <c r="I8" s="20">
        <f>'Cash Flow'!H12</f>
        <v>21457943.400622204</v>
      </c>
      <c r="J8" s="20">
        <f>'Cash Flow'!I12</f>
        <v>19218802.980538592</v>
      </c>
      <c r="K8" s="20">
        <f>'Cash Flow'!J12</f>
        <v>16808534.938409507</v>
      </c>
      <c r="L8" s="20">
        <f>'Cash Flow'!K12</f>
        <v>14235432.707743742</v>
      </c>
      <c r="M8" s="20">
        <f>'Cash Flow'!L12</f>
        <v>11881466.123516805</v>
      </c>
      <c r="N8" s="20">
        <f>'Cash Flow'!M12</f>
        <v>8837036.537946254</v>
      </c>
      <c r="O8" s="20">
        <f>C5</f>
        <v>70000000</v>
      </c>
    </row>
    <row r="9" spans="2:15" x14ac:dyDescent="0.2">
      <c r="B9" s="74"/>
      <c r="C9" s="74"/>
      <c r="D9" s="74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</row>
    <row r="10" spans="2:15" x14ac:dyDescent="0.2">
      <c r="B10" s="20" t="s">
        <v>116</v>
      </c>
      <c r="C10" s="20"/>
      <c r="D10" s="20"/>
      <c r="E10" s="75">
        <f>WACC!D33</f>
        <v>9.2758620689655166E-2</v>
      </c>
      <c r="F10" s="75">
        <f>WACC!E33</f>
        <v>9.0761755485893408E-2</v>
      </c>
      <c r="G10" s="75">
        <f>WACC!F33</f>
        <v>8.6768025078369893E-2</v>
      </c>
      <c r="H10" s="75">
        <f>WACC!G33</f>
        <v>8.2774294670846377E-2</v>
      </c>
      <c r="I10" s="75">
        <f>WACC!H33</f>
        <v>7.8780564263322889E-2</v>
      </c>
      <c r="J10" s="75">
        <f>WACC!I33</f>
        <v>7.4786833855799373E-2</v>
      </c>
      <c r="K10" s="75">
        <f>WACC!J33</f>
        <v>7.0793103448275857E-2</v>
      </c>
      <c r="L10" s="75">
        <f>WACC!K33</f>
        <v>6.6799373040752341E-2</v>
      </c>
      <c r="M10" s="75">
        <f>WACC!L33</f>
        <v>6.2805642633228825E-2</v>
      </c>
      <c r="N10" s="75">
        <f>WACC!M33</f>
        <v>5.8811912225705323E-2</v>
      </c>
      <c r="O10" s="19"/>
    </row>
    <row r="11" spans="2:15" ht="12" x14ac:dyDescent="0.25">
      <c r="B11" s="14" t="s">
        <v>83</v>
      </c>
      <c r="C11" s="14"/>
      <c r="D11" s="60">
        <f t="shared" ref="D11:N11" si="0">D8/(1+D10)^D7</f>
        <v>-80000000</v>
      </c>
      <c r="E11" s="60">
        <f t="shared" si="0"/>
        <v>4189193.9272816507</v>
      </c>
      <c r="F11" s="60">
        <f t="shared" si="0"/>
        <v>6525702.5784607762</v>
      </c>
      <c r="G11" s="60">
        <f t="shared" si="0"/>
        <v>17973574.061862413</v>
      </c>
      <c r="H11" s="60">
        <f t="shared" si="0"/>
        <v>16883653.526074134</v>
      </c>
      <c r="I11" s="60">
        <f t="shared" si="0"/>
        <v>14686642.662343718</v>
      </c>
      <c r="J11" s="60">
        <f t="shared" si="0"/>
        <v>12467871.241560394</v>
      </c>
      <c r="K11" s="60">
        <f t="shared" si="0"/>
        <v>10413360.497243233</v>
      </c>
      <c r="L11" s="60">
        <f t="shared" si="0"/>
        <v>8486110.0297069382</v>
      </c>
      <c r="M11" s="60">
        <f t="shared" si="0"/>
        <v>6867289.7304456653</v>
      </c>
      <c r="N11" s="60">
        <f t="shared" si="0"/>
        <v>4990205.8791203592</v>
      </c>
      <c r="O11" s="14"/>
    </row>
    <row r="12" spans="2:15" ht="12" x14ac:dyDescent="0.25">
      <c r="B12" s="70" t="s">
        <v>123</v>
      </c>
      <c r="C12" s="7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>
        <f>O8/(1+N10)^N7</f>
        <v>39528456.178546764</v>
      </c>
      <c r="O12" s="70"/>
    </row>
    <row r="13" spans="2:15" ht="12" x14ac:dyDescent="0.25">
      <c r="B13" s="14" t="s">
        <v>122</v>
      </c>
      <c r="C13" s="14"/>
      <c r="D13" s="14">
        <f>SUM(D11:D12)</f>
        <v>-80000000</v>
      </c>
      <c r="E13" s="14">
        <f t="shared" ref="E13:N13" si="1">SUM(E11:E12)</f>
        <v>4189193.9272816507</v>
      </c>
      <c r="F13" s="14">
        <f t="shared" si="1"/>
        <v>6525702.5784607762</v>
      </c>
      <c r="G13" s="14">
        <f t="shared" si="1"/>
        <v>17973574.061862413</v>
      </c>
      <c r="H13" s="14">
        <f t="shared" si="1"/>
        <v>16883653.526074134</v>
      </c>
      <c r="I13" s="14">
        <f t="shared" si="1"/>
        <v>14686642.662343718</v>
      </c>
      <c r="J13" s="14">
        <f t="shared" si="1"/>
        <v>12467871.241560394</v>
      </c>
      <c r="K13" s="14">
        <f t="shared" si="1"/>
        <v>10413360.497243233</v>
      </c>
      <c r="L13" s="14">
        <f t="shared" si="1"/>
        <v>8486110.0297069382</v>
      </c>
      <c r="M13" s="14">
        <f t="shared" si="1"/>
        <v>6867289.7304456653</v>
      </c>
      <c r="N13" s="14">
        <f t="shared" si="1"/>
        <v>44518662.057667121</v>
      </c>
      <c r="O13" s="70"/>
    </row>
    <row r="14" spans="2:15" x14ac:dyDescent="0.2"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</sheetData>
  <dataValidations count="1">
    <dataValidation type="list" allowBlank="1" showInputMessage="1" showErrorMessage="1" sqref="C3" xr:uid="{35F14251-38E6-4320-8134-FA369C14E8BF}">
      <formula1>"1,2,3"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Input --&gt;</vt:lpstr>
      <vt:lpstr>Drivers</vt:lpstr>
      <vt:lpstr>Workings --&gt;</vt:lpstr>
      <vt:lpstr>Savings forecast</vt:lpstr>
      <vt:lpstr>Fixed asset roll-forward</vt:lpstr>
      <vt:lpstr>Working capital</vt:lpstr>
      <vt:lpstr>Financing</vt:lpstr>
      <vt:lpstr>P&amp;L</vt:lpstr>
      <vt:lpstr>Cash Flow</vt:lpstr>
      <vt:lpstr>WACC</vt:lpstr>
      <vt:lpstr>Output --&gt;</vt:lpstr>
      <vt:lpstr>Discounted Cash 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Ned</cp:lastModifiedBy>
  <dcterms:created xsi:type="dcterms:W3CDTF">2017-10-13T13:35:42Z</dcterms:created>
  <dcterms:modified xsi:type="dcterms:W3CDTF">2019-07-24T16:17:34Z</dcterms:modified>
</cp:coreProperties>
</file>