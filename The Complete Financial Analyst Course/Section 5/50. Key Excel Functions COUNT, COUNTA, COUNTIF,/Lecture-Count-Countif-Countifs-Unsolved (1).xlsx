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economics\udemy_economics\The Complete Financial Analyst Course\Section 5\50. Key Excel Functions COUNT, COUNTA, COUNTIF,\"/>
    </mc:Choice>
  </mc:AlternateContent>
  <xr:revisionPtr revIDLastSave="0" documentId="13_ncr:1_{35D3BD96-0042-43EF-8F03-C3A87D0B6386}" xr6:coauthVersionLast="47" xr6:coauthVersionMax="47" xr10:uidLastSave="{00000000-0000-0000-0000-000000000000}"/>
  <bookViews>
    <workbookView xWindow="28680" yWindow="270" windowWidth="29040" windowHeight="17640" xr2:uid="{00000000-000D-0000-FFFF-FFFF00000000}"/>
  </bookViews>
  <sheets>
    <sheet name="Count" sheetId="1" r:id="rId1"/>
    <sheet name="Countif" sheetId="2" r:id="rId2"/>
    <sheet name="Count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B14" i="1"/>
  <c r="E14" i="1"/>
</calcChain>
</file>

<file path=xl/sharedStrings.xml><?xml version="1.0" encoding="utf-8"?>
<sst xmlns="http://schemas.openxmlformats.org/spreadsheetml/2006/main" count="99" uniqueCount="22">
  <si>
    <t>Count</t>
  </si>
  <si>
    <t xml:space="preserve">Team </t>
  </si>
  <si>
    <t>Country</t>
  </si>
  <si>
    <t>Champions league</t>
  </si>
  <si>
    <t>Games played</t>
  </si>
  <si>
    <t>Points earned</t>
  </si>
  <si>
    <t>Borussia</t>
  </si>
  <si>
    <t>Germany</t>
  </si>
  <si>
    <t>Yes</t>
  </si>
  <si>
    <t>Milan</t>
  </si>
  <si>
    <t>Italy</t>
  </si>
  <si>
    <t>Manchester United</t>
  </si>
  <si>
    <t>England</t>
  </si>
  <si>
    <t>Hamburger</t>
  </si>
  <si>
    <t>No</t>
  </si>
  <si>
    <t>Lazio</t>
  </si>
  <si>
    <t>Fiorentina</t>
  </si>
  <si>
    <t>Bayern</t>
  </si>
  <si>
    <t>Liverpool</t>
  </si>
  <si>
    <t>Arsenal</t>
  </si>
  <si>
    <t>Countif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</si>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</sst>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activeCell="F16" sqref="F16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16384" width="9.140625" style="2"/>
  </cols>
  <sheetData>
    <row r="1" spans="2:6" ht="15.75" x14ac:dyDescent="0.25">
      <c r="B1" s="1" t="s">
        <v>0</v>
      </c>
    </row>
    <row r="3" spans="2:6" ht="12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4" spans="2:6" x14ac:dyDescent="0.2">
      <c r="B14" s="2">
        <f>COUNTA(B4:B13)</f>
        <v>9</v>
      </c>
      <c r="E14" s="4">
        <f>COUNT(E4:E12)</f>
        <v>9</v>
      </c>
      <c r="F14" s="2">
        <f>COUNTIF(F4:F12, "&gt;60")</f>
        <v>6</v>
      </c>
    </row>
    <row r="15" spans="2:6" x14ac:dyDescent="0.2">
      <c r="F15" s="2">
        <f>COUNTIFS(F4:F12,"&gt;60",D4:D12,"YES")</f>
        <v>4</v>
      </c>
    </row>
    <row r="16" spans="2:6" x14ac:dyDescent="0.2">
      <c r="B16" s="4"/>
      <c r="C16" s="4"/>
      <c r="D16" s="4"/>
      <c r="E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4"/>
  <sheetViews>
    <sheetView workbookViewId="0">
      <selection activeCell="F14" sqref="F14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16384" width="9.140625" style="2"/>
  </cols>
  <sheetData>
    <row r="1" spans="2:6" ht="15.75" x14ac:dyDescent="0.25">
      <c r="B1" s="1" t="s">
        <v>20</v>
      </c>
    </row>
    <row r="3" spans="2:6" ht="12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4" spans="2:6" x14ac:dyDescent="0.2">
      <c r="F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4"/>
  <sheetViews>
    <sheetView workbookViewId="0">
      <selection activeCell="C18" sqref="C18"/>
    </sheetView>
  </sheetViews>
  <sheetFormatPr defaultRowHeight="12" x14ac:dyDescent="0.2"/>
  <cols>
    <col min="1" max="1" width="2" style="2" customWidth="1"/>
    <col min="2" max="2" width="15.85546875" style="2" bestFit="1" customWidth="1"/>
    <col min="3" max="3" width="8.140625" style="2" bestFit="1" customWidth="1"/>
    <col min="4" max="4" width="16.140625" style="2" bestFit="1" customWidth="1"/>
    <col min="5" max="5" width="12.42578125" style="2" bestFit="1" customWidth="1"/>
    <col min="6" max="6" width="12.28515625" style="2" bestFit="1" customWidth="1"/>
    <col min="7" max="16384" width="9.140625" style="2"/>
  </cols>
  <sheetData>
    <row r="1" spans="2:6" ht="15.75" x14ac:dyDescent="0.25">
      <c r="B1" s="1" t="s">
        <v>21</v>
      </c>
    </row>
    <row r="3" spans="2:6" ht="12.75" thickBo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2:6" x14ac:dyDescent="0.2">
      <c r="B4" s="2" t="s">
        <v>6</v>
      </c>
      <c r="C4" s="2" t="s">
        <v>7</v>
      </c>
      <c r="D4" s="2" t="s">
        <v>8</v>
      </c>
      <c r="E4" s="4">
        <v>34</v>
      </c>
      <c r="F4" s="4">
        <v>71</v>
      </c>
    </row>
    <row r="5" spans="2:6" x14ac:dyDescent="0.2">
      <c r="B5" s="2" t="s">
        <v>9</v>
      </c>
      <c r="C5" s="2" t="s">
        <v>10</v>
      </c>
      <c r="D5" s="2" t="s">
        <v>8</v>
      </c>
      <c r="E5" s="4">
        <v>38</v>
      </c>
      <c r="F5" s="4">
        <v>57</v>
      </c>
    </row>
    <row r="6" spans="2:6" x14ac:dyDescent="0.2">
      <c r="B6" s="2" t="s">
        <v>11</v>
      </c>
      <c r="C6" s="2" t="s">
        <v>12</v>
      </c>
      <c r="D6" s="2" t="s">
        <v>8</v>
      </c>
      <c r="E6" s="4">
        <v>38</v>
      </c>
      <c r="F6" s="4">
        <v>64</v>
      </c>
    </row>
    <row r="7" spans="2:6" x14ac:dyDescent="0.2">
      <c r="B7" s="2" t="s">
        <v>13</v>
      </c>
      <c r="C7" s="2" t="s">
        <v>7</v>
      </c>
      <c r="D7" s="2" t="s">
        <v>14</v>
      </c>
      <c r="E7" s="4">
        <v>34</v>
      </c>
      <c r="F7" s="4">
        <v>27</v>
      </c>
    </row>
    <row r="8" spans="2:6" x14ac:dyDescent="0.2">
      <c r="B8" s="2" t="s">
        <v>15</v>
      </c>
      <c r="C8" s="2" t="s">
        <v>10</v>
      </c>
      <c r="D8" s="2" t="s">
        <v>14</v>
      </c>
      <c r="E8" s="4">
        <v>38</v>
      </c>
      <c r="F8" s="4">
        <v>56</v>
      </c>
    </row>
    <row r="9" spans="2:6" x14ac:dyDescent="0.2">
      <c r="B9" s="2" t="s">
        <v>16</v>
      </c>
      <c r="C9" s="2" t="s">
        <v>10</v>
      </c>
      <c r="D9" s="2" t="s">
        <v>14</v>
      </c>
      <c r="E9" s="4">
        <v>38</v>
      </c>
      <c r="F9" s="4">
        <v>65</v>
      </c>
    </row>
    <row r="10" spans="2:6" x14ac:dyDescent="0.2">
      <c r="B10" s="2" t="s">
        <v>17</v>
      </c>
      <c r="C10" s="2" t="s">
        <v>7</v>
      </c>
      <c r="D10" s="2" t="s">
        <v>8</v>
      </c>
      <c r="E10" s="4">
        <v>34</v>
      </c>
      <c r="F10" s="4">
        <v>90</v>
      </c>
    </row>
    <row r="11" spans="2:6" x14ac:dyDescent="0.2">
      <c r="B11" s="2" t="s">
        <v>18</v>
      </c>
      <c r="C11" s="2" t="s">
        <v>12</v>
      </c>
      <c r="D11" s="2" t="s">
        <v>14</v>
      </c>
      <c r="E11" s="4">
        <v>38</v>
      </c>
      <c r="F11" s="4">
        <v>84</v>
      </c>
    </row>
    <row r="12" spans="2:6" x14ac:dyDescent="0.2">
      <c r="B12" s="2" t="s">
        <v>19</v>
      </c>
      <c r="C12" s="2" t="s">
        <v>12</v>
      </c>
      <c r="D12" s="2" t="s">
        <v>8</v>
      </c>
      <c r="E12" s="4">
        <v>38</v>
      </c>
      <c r="F12" s="4">
        <v>79</v>
      </c>
    </row>
    <row r="14" spans="2:6" x14ac:dyDescent="0.2">
      <c r="F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</vt:lpstr>
      <vt:lpstr>Countif</vt:lpstr>
      <vt:lpstr>Countifs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Roman Ostapchuk</cp:lastModifiedBy>
  <dcterms:created xsi:type="dcterms:W3CDTF">2016-02-25T19:53:45Z</dcterms:created>
  <dcterms:modified xsi:type="dcterms:W3CDTF">2024-10-08T19:22:30Z</dcterms:modified>
</cp:coreProperties>
</file>