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codeName="ThisWorkbook" defaultThemeVersion="124226"/>
  <xr:revisionPtr revIDLastSave="0" documentId="13_ncr:1_{466194C4-E90C-4C5D-BAA4-1F833887F75B}" xr6:coauthVersionLast="43" xr6:coauthVersionMax="43" xr10:uidLastSave="{00000000-0000-0000-0000-000000000000}"/>
  <bookViews>
    <workbookView xWindow="-108" yWindow="-108" windowWidth="23256" windowHeight="13176" firstSheet="15" activeTab="18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Pivot table example" sheetId="30" r:id="rId24"/>
    <sheet name="Round" sheetId="28" r:id="rId25"/>
  </sheets>
  <calcPr calcId="191029"/>
  <pivotCaches>
    <pivotCache cacheId="0" r:id="rId2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2" l="1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8" i="21" l="1"/>
  <c r="C6" i="20" l="1"/>
  <c r="F13" i="13" l="1"/>
  <c r="E13" i="13"/>
  <c r="H12" i="13" l="1"/>
  <c r="H8" i="13"/>
  <c r="H11" i="13"/>
  <c r="H7" i="13"/>
  <c r="H10" i="13"/>
  <c r="H6" i="13"/>
  <c r="H9" i="13"/>
  <c r="H5" i="13"/>
  <c r="H4" i="13"/>
</calcChain>
</file>

<file path=xl/sharedStrings.xml><?xml version="1.0" encoding="utf-8"?>
<sst xmlns="http://schemas.openxmlformats.org/spreadsheetml/2006/main" count="65111" uniqueCount="4264">
  <si>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</si>
  <si>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</si>
  <si>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</si>
  <si>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</si>
  <si>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</si>
  <si>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</si>
  <si>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</si>
  <si>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</si>
  <si>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</si>
  <si>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</si>
  <si>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</si>
  <si>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</si>
  <si>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</si>
  <si>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</si>
  <si>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</si>
  <si>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</si>
  <si>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</si>
  <si>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</si>
  <si>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</si>
  <si>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</si>
  <si>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</si>
  <si>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</si>
  <si>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</si>
  <si>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</si>
  <si>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</si>
  <si>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</si>
  <si>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</si>
  <si>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</si>
  <si>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</si>
  <si>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</si>
  <si>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</si>
  <si>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</si>
  <si>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</si>
  <si>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</si>
  <si>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</si>
  <si>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</si>
  <si>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</si>
  <si>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</si>
  <si>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</si>
  <si>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</si>
  <si>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</si>
  <si>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</si>
  <si>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</si>
  <si>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</si>
  <si>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</si>
  <si>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</si>
  <si>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</si>
  <si>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</si>
  <si>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</si>
  <si>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</si>
  <si>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</si>
  <si>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</si>
  <si>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</si>
  <si>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</si>
  <si>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</si>
  <si>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</si>
  <si>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</si>
  <si>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</si>
  <si>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</si>
  <si>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</si>
  <si>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</si>
  <si>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</si>
  <si>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</si>
  <si>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</si>
  <si>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</si>
  <si>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</si>
  <si>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</si>
  <si>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</si>
  <si>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</si>
  <si>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</si>
  <si>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</si>
  <si>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</si>
  <si>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</si>
  <si>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</si>
  <si>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</si>
  <si>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</si>
  <si>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</si>
  <si>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</si>
  <si>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</si>
  <si>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</si>
  <si>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</si>
  <si>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</si>
  <si>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</si>
  <si>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</si>
  <si>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</si>
  <si>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</si>
  <si>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</si>
  <si>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</si>
  <si>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</si>
  <si>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</si>
  <si>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</si>
  <si>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</si>
  <si>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</si>
  <si>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</si>
  <si>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</si>
  <si>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</si>
  <si>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</si>
  <si>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</si>
  <si>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</si>
  <si>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</si>
  <si>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</si>
  <si>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</si>
  <si>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</si>
  <si>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</si>
  <si>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</si>
  <si>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</si>
  <si>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</si>
  <si>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</si>
  <si>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</si>
  <si>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</si>
  <si>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</si>
  <si>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</si>
  <si>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</si>
  <si>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</si>
  <si>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</si>
  <si>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</si>
  <si>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</si>
  <si>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</si>
  <si>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</si>
  <si>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</si>
  <si>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</si>
  <si>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</si>
  <si>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</si>
  <si>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</si>
  <si>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</si>
  <si>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</si>
  <si>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</si>
  <si>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</si>
  <si>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</si>
  <si>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</si>
  <si>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</si>
  <si>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</si>
  <si>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</si>
  <si>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</si>
  <si>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</si>
  <si>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</si>
  <si>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</si>
  <si>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</si>
  <si>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</si>
  <si>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</si>
  <si>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</si>
  <si>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</si>
  <si>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</si>
  <si>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</si>
  <si>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</si>
  <si>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</si>
  <si>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</si>
  <si>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</si>
  <si>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</si>
  <si>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</si>
  <si>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</si>
  <si>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</si>
  <si>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</si>
  <si>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</si>
  <si>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</si>
  <si>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</si>
  <si>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</si>
  <si>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</si>
  <si>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</si>
  <si>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</si>
  <si>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</si>
  <si>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</si>
  <si>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</si>
  <si>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</si>
  <si>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</si>
  <si>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</si>
  <si>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</si>
  <si>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</si>
  <si>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</si>
  <si>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</si>
  <si>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</si>
  <si>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</si>
  <si>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</si>
  <si>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</si>
  <si>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</si>
  <si>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</si>
  <si>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</si>
  <si>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</si>
  <si>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</si>
  <si>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</si>
  <si>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</si>
  <si>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</si>
  <si>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</si>
  <si>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</si>
  <si>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</si>
  <si>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</si>
  <si>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</si>
  <si>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</si>
  <si>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</si>
  <si>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</si>
  <si>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</si>
  <si>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</si>
  <si>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</si>
  <si>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</si>
  <si>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</si>
  <si>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</si>
  <si>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</si>
  <si>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</si>
  <si>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</si>
  <si>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</si>
  <si>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</si>
  <si>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</si>
  <si>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</si>
  <si>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</si>
  <si>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</si>
  <si>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</si>
  <si>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</si>
  <si>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</si>
  <si>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</si>
  <si>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</si>
  <si>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</si>
  <si>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</si>
  <si>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</si>
  <si>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</si>
  <si>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</si>
  <si>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</si>
  <si>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</si>
  <si>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</si>
  <si>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</si>
  <si>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</si>
  <si>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</si>
  <si>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</si>
  <si>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</si>
  <si>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</si>
  <si>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</si>
  <si>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</si>
  <si>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</si>
  <si>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</si>
  <si>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</si>
  <si>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</si>
  <si>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</si>
  <si>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</si>
  <si>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</si>
  <si>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</si>
  <si>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</si>
  <si>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</si>
  <si>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</si>
  <si>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</si>
  <si>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</si>
  <si>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</si>
  <si>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</si>
  <si>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</si>
  <si>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</si>
  <si>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</si>
  <si>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</si>
  <si>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</si>
  <si>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</si>
  <si>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</si>
  <si>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</si>
  <si>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</si>
  <si>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</si>
  <si>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</si>
  <si>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</si>
  <si>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</si>
  <si>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</si>
  <si>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</si>
  <si>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</si>
  <si>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</si>
  <si>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</si>
  <si>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</si>
  <si>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</si>
  <si>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</si>
  <si>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</si>
  <si>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</si>
  <si>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</si>
  <si>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</si>
  <si>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</si>
  <si>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</si>
  <si>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</si>
  <si>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</si>
  <si>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</si>
  <si>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</si>
  <si>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</si>
  <si>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</si>
  <si>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</si>
  <si>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</si>
  <si>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</si>
  <si>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</si>
  <si>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</si>
  <si>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</si>
  <si>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</si>
  <si>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</si>
  <si>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</si>
  <si>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</si>
  <si>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</si>
  <si>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</si>
  <si>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</si>
  <si>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</si>
  <si>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</si>
  <si>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</si>
  <si>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</si>
  <si>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</si>
  <si>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</si>
  <si>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</si>
  <si>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</si>
  <si>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</si>
  <si>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</si>
  <si>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</si>
  <si>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</si>
  <si>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</si>
  <si>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</si>
  <si>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</si>
  <si>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</si>
  <si>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</si>
  <si>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</si>
  <si>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</si>
  <si>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</si>
  <si>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</si>
  <si>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</si>
  <si>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</si>
  <si>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</si>
  <si>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</si>
  <si>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</si>
  <si>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</si>
  <si>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</si>
  <si>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</si>
  <si>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</si>
  <si>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</si>
  <si>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</si>
  <si>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</si>
  <si>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</si>
  <si>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</si>
  <si>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</si>
  <si>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</si>
  <si>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</si>
  <si>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</si>
  <si>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</si>
  <si>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</si>
  <si>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</si>
  <si>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</si>
  <si>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</si>
  <si>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</si>
  <si>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</si>
  <si>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</si>
  <si>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</si>
  <si>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</si>
  <si>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</si>
  <si>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</si>
  <si>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</si>
  <si>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</si>
  <si>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</si>
  <si>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</si>
  <si>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</si>
  <si>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</si>
  <si>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</si>
  <si>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</si>
  <si>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</si>
  <si>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</si>
  <si>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</si>
  <si>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</si>
  <si>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</si>
  <si>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</si>
  <si>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</si>
  <si>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</si>
  <si>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</si>
  <si>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</si>
  <si>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</si>
  <si>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</si>
  <si>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</si>
  <si>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</si>
  <si>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</si>
  <si>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</si>
  <si>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</si>
  <si>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</si>
  <si>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</si>
  <si>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</si>
  <si>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</si>
  <si>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</si>
  <si>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</si>
  <si>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</si>
  <si>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</si>
  <si>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</si>
  <si>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</si>
  <si>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</si>
  <si>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</si>
  <si>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</si>
  <si>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</si>
  <si>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</si>
  <si>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</si>
  <si>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</si>
  <si>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</si>
  <si>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</si>
  <si>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</si>
  <si>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</si>
  <si>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</si>
  <si>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</si>
  <si>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</si>
  <si>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</si>
  <si>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</si>
  <si>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</si>
  <si>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</si>
  <si>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</si>
  <si>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</si>
  <si>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</si>
  <si>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</si>
  <si>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</si>
  <si>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</si>
  <si>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</si>
  <si>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</si>
  <si>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</si>
  <si>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</si>
  <si>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</si>
  <si>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</si>
  <si>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</si>
  <si>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</si>
  <si>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</si>
  <si>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</si>
  <si>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</si>
  <si>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</si>
  <si>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</si>
  <si>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</si>
  <si>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</si>
  <si>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</si>
  <si>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</si>
  <si>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</si>
  <si>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</si>
  <si>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</si>
  <si>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</si>
  <si>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</si>
  <si>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</si>
  <si>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</si>
  <si>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</si>
  <si>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</si>
  <si>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</si>
  <si>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</si>
  <si>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</si>
  <si>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</si>
  <si>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</si>
  <si>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</si>
  <si>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</si>
  <si>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</si>
  <si>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</si>
  <si>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</si>
  <si>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</si>
  <si>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</si>
  <si>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</si>
  <si>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</si>
  <si>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</si>
  <si>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</si>
  <si>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</si>
  <si>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</si>
  <si>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</si>
  <si>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</si>
  <si>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</si>
  <si>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</si>
  <si>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</si>
  <si>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</si>
  <si>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</si>
  <si>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</si>
  <si>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</si>
  <si>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</si>
  <si>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</si>
  <si>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</si>
  <si>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</si>
  <si>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</si>
  <si>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</si>
  <si>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</si>
  <si>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</si>
  <si>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</si>
  <si>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</si>
  <si>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</si>
  <si>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</si>
  <si>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</si>
  <si>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</si>
  <si>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</si>
  <si>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</si>
  <si>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</si>
  <si>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</si>
  <si>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</si>
  <si>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</si>
  <si>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</si>
  <si>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</si>
  <si>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</si>
  <si>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</si>
  <si>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</si>
  <si>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</si>
  <si>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</si>
  <si>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</si>
  <si>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</si>
  <si>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</si>
  <si>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</si>
  <si>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</si>
  <si>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</si>
  <si>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</si>
  <si>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</si>
  <si>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</si>
  <si>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</si>
  <si>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</si>
  <si>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</si>
  <si>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</si>
  <si>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</si>
  <si>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</si>
  <si>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</si>
  <si>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</si>
  <si>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</si>
  <si>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</si>
  <si>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</si>
  <si>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</si>
  <si>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</si>
  <si>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</si>
  <si>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</si>
  <si>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</si>
  <si>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</si>
  <si>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</si>
  <si>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</si>
  <si>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</si>
  <si>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</si>
  <si>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</si>
  <si>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</si>
  <si>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</si>
  <si>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</si>
  <si>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</si>
  <si>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</si>
  <si>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</si>
  <si>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</si>
  <si>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</si>
  <si>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</si>
  <si>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</si>
  <si>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</si>
  <si>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</si>
  <si>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</si>
  <si>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</si>
  <si>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</si>
  <si>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</si>
  <si>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</si>
  <si>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</si>
  <si>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</si>
  <si>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</si>
  <si>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</si>
  <si>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</si>
  <si>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</si>
  <si>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</si>
  <si>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</si>
  <si>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</si>
  <si>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</si>
  <si>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</si>
  <si>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</si>
  <si>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</si>
  <si>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</si>
  <si>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</si>
  <si>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</si>
  <si>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</si>
  <si>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</si>
  <si>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</si>
  <si>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</si>
  <si>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</si>
  <si>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</si>
  <si>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</si>
  <si>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</si>
  <si>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</si>
  <si>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</si>
  <si>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</si>
  <si>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</si>
  <si>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</si>
  <si>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</si>
  <si>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</si>
  <si>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</si>
  <si>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</si>
  <si>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</si>
  <si>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</si>
  <si>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</si>
  <si>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</si>
  <si>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</si>
  <si>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</si>
  <si>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</si>
  <si>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</si>
  <si>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</si>
  <si>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</si>
  <si>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</si>
  <si>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</si>
  <si>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</si>
  <si>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</si>
  <si>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</si>
  <si>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</si>
  <si>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</si>
  <si>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</si>
  <si>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</si>
  <si>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</si>
  <si>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</si>
  <si>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</si>
  <si>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</si>
  <si>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</si>
  <si>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</si>
  <si>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</si>
  <si>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</si>
  <si>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</si>
  <si>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</si>
  <si>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</si>
  <si>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</si>
  <si>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</si>
  <si>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</si>
  <si>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</si>
  <si>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</si>
  <si>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</si>
  <si>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</si>
  <si>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</si>
  <si>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</si>
  <si>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</si>
  <si>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</si>
  <si>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</si>
  <si>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</si>
  <si>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</si>
  <si>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</si>
  <si>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</si>
  <si>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</si>
  <si>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</si>
  <si>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</si>
  <si>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</si>
  <si>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</si>
  <si>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</si>
  <si>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</si>
  <si>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</si>
  <si>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</si>
  <si>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</si>
  <si>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</si>
  <si>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</si>
  <si>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</si>
  <si>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</si>
  <si>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</si>
  <si>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</si>
  <si>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</si>
  <si>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</si>
  <si>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</si>
  <si>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</si>
  <si>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</si>
  <si>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</si>
  <si>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</si>
  <si>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</si>
  <si>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</si>
  <si>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</si>
  <si>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</si>
  <si>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</si>
  <si>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</si>
  <si>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</si>
  <si>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</si>
  <si>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</si>
  <si>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</si>
  <si>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</si>
  <si>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</si>
  <si>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</si>
  <si>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</si>
  <si>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</si>
  <si>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</si>
  <si>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</si>
  <si>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</si>
  <si>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</si>
  <si>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</si>
  <si>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</si>
  <si>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</si>
  <si>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</si>
  <si>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</si>
  <si>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</si>
  <si>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</si>
  <si>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</si>
  <si>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</si>
  <si>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</si>
  <si>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</si>
  <si>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</si>
  <si>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</si>
  <si>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</si>
  <si>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</si>
  <si>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</si>
  <si>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</si>
  <si>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</si>
  <si>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</si>
  <si>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</si>
  <si>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</si>
  <si>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</si>
  <si>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</si>
  <si>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</si>
  <si>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</si>
  <si>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</si>
  <si>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</si>
  <si>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</si>
  <si>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</si>
  <si>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</si>
  <si>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</si>
  <si>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</si>
  <si>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</si>
  <si>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</si>
  <si>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</si>
  <si>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</si>
  <si>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</si>
  <si>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</si>
  <si>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</si>
  <si>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</si>
  <si>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</si>
  <si>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</si>
  <si>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</si>
  <si>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</si>
  <si>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</si>
  <si>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</si>
  <si>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</si>
  <si>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</si>
  <si>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</si>
  <si>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</si>
  <si>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</si>
  <si>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</si>
  <si>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</si>
  <si>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</si>
  <si>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</si>
  <si>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</si>
  <si>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</si>
  <si>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</si>
  <si>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</si>
  <si>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</si>
  <si>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</si>
  <si>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</si>
  <si>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</si>
  <si>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</si>
  <si>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</si>
  <si>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</si>
  <si>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</si>
  <si>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</si>
  <si>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</si>
  <si>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</si>
  <si>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</si>
  <si>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</si>
  <si>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</si>
  <si>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</si>
  <si>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</si>
  <si>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</si>
  <si>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</si>
  <si>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</si>
  <si>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</si>
  <si>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</si>
  <si>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</si>
  <si>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</si>
  <si>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</si>
  <si>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</si>
  <si>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</si>
  <si>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</si>
  <si>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</si>
  <si>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</si>
  <si>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</si>
  <si>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</si>
  <si>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</si>
  <si>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</si>
  <si>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</si>
  <si>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</si>
  <si>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</si>
  <si>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</si>
  <si>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</si>
  <si>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</si>
  <si>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</si>
  <si>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</si>
  <si>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</si>
  <si>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</si>
  <si>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</si>
  <si>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</si>
  <si>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</si>
  <si>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</si>
  <si>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</si>
  <si>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</si>
  <si>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</si>
  <si>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</si>
  <si>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</si>
  <si>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</si>
  <si>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</si>
  <si>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</si>
  <si>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</si>
  <si>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</si>
  <si>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</si>
  <si>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</si>
  <si>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</si>
  <si>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</si>
  <si>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</si>
  <si>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</si>
  <si>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</si>
  <si>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</si>
  <si>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</si>
  <si>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</si>
  <si>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</si>
  <si>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</si>
  <si>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</si>
  <si>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</si>
  <si>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</si>
  <si>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</si>
  <si>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</si>
  <si>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</si>
  <si>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</si>
  <si>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</si>
  <si>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</si>
  <si>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</si>
  <si>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</si>
  <si>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</si>
  <si>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</si>
  <si>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</si>
  <si>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</si>
  <si>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</si>
  <si>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</si>
  <si>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</si>
  <si>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</si>
  <si>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</si>
  <si>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</si>
  <si>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</si>
  <si>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</si>
  <si>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</si>
  <si>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</si>
  <si>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</si>
  <si>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</si>
  <si>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</si>
  <si>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</si>
  <si>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</si>
  <si>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</si>
  <si>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</si>
  <si>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</si>
  <si>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</si>
  <si>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</si>
  <si>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</si>
  <si>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</si>
  <si>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</si>
  <si>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</si>
  <si>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</si>
  <si>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</si>
  <si>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</si>
  <si>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</si>
  <si>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</si>
  <si>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</si>
  <si>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</si>
  <si>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</si>
  <si>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</si>
  <si>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</si>
  <si>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</si>
  <si>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</si>
  <si>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</si>
  <si>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</si>
  <si>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</si>
  <si>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</si>
  <si>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</si>
  <si>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</si>
  <si>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</si>
  <si>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</si>
  <si>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</si>
  <si>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</si>
  <si>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</si>
  <si>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</si>
  <si>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</si>
  <si>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</si>
  <si>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</si>
  <si>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</si>
  <si>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</si>
  <si>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</si>
  <si>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</si>
  <si>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</si>
  <si>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</si>
  <si>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</si>
  <si>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</si>
  <si>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</si>
  <si>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</si>
  <si>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</si>
  <si>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</si>
  <si>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</si>
  <si>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</si>
  <si>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</si>
  <si>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</si>
  <si>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</si>
  <si>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</si>
  <si>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</si>
  <si>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</si>
  <si>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</si>
  <si>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</si>
  <si>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</si>
  <si>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</si>
  <si>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</si>
  <si>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</si>
  <si>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</si>
  <si>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</si>
  <si>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</si>
  <si>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</si>
  <si>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</si>
  <si>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</si>
  <si>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</si>
  <si>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</si>
  <si>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</si>
  <si>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</si>
  <si>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</si>
  <si>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</si>
  <si>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</si>
  <si>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</si>
  <si>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</si>
  <si>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</si>
  <si>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</si>
  <si>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</si>
  <si>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</si>
  <si>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</si>
  <si>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</si>
  <si>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</si>
  <si>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</si>
  <si>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</si>
  <si>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</si>
  <si>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</si>
  <si>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</si>
  <si>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</si>
  <si>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</si>
  <si>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</si>
  <si>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</si>
  <si>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</si>
  <si>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</si>
  <si>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</si>
  <si>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</si>
  <si>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</si>
  <si>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</si>
  <si>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</si>
  <si>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</si>
  <si>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</si>
  <si>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</si>
  <si>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</si>
  <si>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</si>
  <si>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</si>
  <si>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</si>
  <si>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</si>
  <si>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</si>
  <si>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</si>
  <si>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</si>
  <si>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</si>
  <si>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</si>
  <si>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</si>
  <si>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</si>
  <si>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</si>
  <si>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</si>
  <si>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</si>
  <si>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</si>
  <si>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</si>
  <si>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</si>
  <si>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</si>
  <si>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</si>
  <si>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</si>
  <si>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</si>
  <si>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</si>
  <si>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</si>
  <si>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</si>
  <si>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</si>
  <si>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</si>
  <si>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</si>
  <si>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</si>
  <si>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</si>
  <si>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</si>
  <si>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</si>
  <si>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</si>
  <si>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</si>
  <si>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</si>
  <si>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</si>
  <si>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</si>
  <si>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</si>
  <si>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</si>
  <si>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</si>
  <si>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</si>
  <si>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</si>
  <si>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</si>
  <si>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</si>
  <si>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</si>
  <si>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</si>
  <si>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</si>
  <si>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</si>
  <si>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</si>
  <si>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</si>
  <si>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</si>
  <si>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</si>
  <si>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</si>
  <si>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</si>
  <si>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</si>
  <si>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</si>
  <si>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</si>
  <si>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</si>
  <si>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</si>
  <si>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</si>
  <si>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</si>
  <si>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</si>
  <si>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</si>
  <si>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</si>
  <si>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</si>
  <si>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</si>
  <si>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</si>
  <si>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</si>
  <si>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</si>
  <si>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</si>
  <si>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</si>
  <si>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</si>
  <si>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</si>
  <si>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</si>
  <si>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</si>
  <si>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</si>
  <si>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</si>
  <si>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</si>
  <si>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</si>
  <si>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</si>
  <si>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</si>
  <si>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</si>
  <si>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</si>
  <si>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</si>
  <si>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</si>
  <si>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</si>
  <si>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</si>
  <si>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</si>
  <si>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</si>
  <si>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</si>
  <si>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</si>
  <si>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</si>
  <si>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</si>
  <si>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</si>
  <si>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</si>
  <si>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</si>
  <si>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</si>
  <si>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</si>
  <si>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</si>
  <si>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</si>
  <si>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</si>
  <si>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</si>
  <si>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</si>
  <si>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</si>
  <si>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</si>
  <si>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</si>
  <si>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</si>
  <si>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</si>
  <si>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</si>
  <si>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</si>
  <si>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</si>
  <si>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</si>
  <si>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</si>
  <si>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</si>
  <si>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</si>
  <si>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</si>
  <si>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</si>
  <si>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</si>
  <si>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</si>
  <si>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</si>
  <si>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</si>
  <si>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</si>
  <si>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</si>
  <si>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</si>
  <si>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</si>
  <si>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</si>
  <si>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</si>
  <si>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</si>
  <si>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</si>
  <si>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</si>
  <si>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</si>
  <si>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</si>
  <si>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</si>
  <si>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</si>
  <si>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</si>
  <si>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</si>
  <si>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</si>
  <si>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</si>
  <si>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</si>
  <si>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</si>
  <si>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</si>
  <si>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</si>
  <si>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</si>
  <si>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</si>
  <si>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</si>
  <si>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</si>
  <si>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</si>
  <si>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</si>
  <si>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</si>
  <si>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</si>
  <si>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</si>
  <si>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</si>
  <si>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</si>
  <si>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</si>
  <si>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</si>
  <si>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</si>
  <si>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</si>
  <si>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</si>
  <si>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</si>
  <si>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</si>
  <si>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</si>
  <si>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</si>
  <si>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</si>
  <si>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</si>
  <si>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</si>
  <si>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</si>
  <si>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</si>
  <si>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</si>
  <si>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</si>
  <si>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</si>
  <si>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</si>
  <si>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</si>
  <si>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</si>
  <si>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</si>
  <si>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</si>
  <si>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</si>
  <si>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</si>
  <si>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</si>
  <si>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</si>
  <si>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</si>
  <si>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</si>
  <si>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</si>
  <si>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</si>
  <si>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</si>
  <si>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</si>
  <si>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</si>
  <si>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</si>
  <si>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</si>
  <si>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</si>
  <si>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</si>
  <si>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</si>
  <si>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</si>
  <si>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</si>
  <si>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</si>
  <si>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</si>
  <si>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</si>
  <si>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</si>
  <si>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</si>
  <si>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</si>
  <si>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</si>
  <si>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</si>
  <si>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</si>
  <si>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</si>
  <si>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</si>
  <si>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</si>
  <si>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</si>
  <si>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</si>
  <si>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</si>
  <si>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</si>
  <si>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</si>
  <si>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</si>
  <si>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</si>
  <si>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</si>
  <si>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</si>
  <si>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</si>
  <si>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</si>
  <si>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</si>
  <si>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</si>
  <si>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</si>
  <si>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</si>
  <si>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</si>
  <si>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</si>
  <si>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</si>
  <si>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</si>
  <si>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</si>
  <si>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</si>
  <si>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</si>
  <si>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</si>
  <si>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</si>
  <si>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</si>
  <si>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</si>
  <si>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</si>
  <si>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</si>
  <si>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</si>
  <si>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</si>
  <si>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</si>
  <si>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</si>
  <si>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</si>
  <si>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</si>
  <si>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</si>
  <si>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</si>
  <si>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</si>
  <si>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</si>
  <si>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</si>
  <si>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</si>
  <si>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</si>
  <si>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</si>
  <si>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</si>
  <si>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</si>
  <si>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</si>
  <si>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</si>
  <si>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</si>
  <si>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</si>
  <si>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</si>
  <si>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</si>
  <si>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</si>
  <si>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</si>
  <si>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</si>
  <si>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</si>
  <si>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</si>
  <si>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</si>
  <si>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</si>
  <si>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</si>
  <si>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</si>
  <si>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</si>
  <si>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</si>
  <si>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</si>
  <si>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</si>
  <si>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</si>
  <si>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</si>
  <si>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</si>
  <si>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</si>
  <si>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</si>
  <si>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</si>
  <si>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</si>
  <si>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</si>
  <si>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</si>
  <si>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</si>
  <si>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</si>
  <si>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</si>
  <si>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</si>
  <si>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</si>
  <si>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</si>
  <si>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</si>
  <si>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</si>
  <si>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</si>
  <si>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</si>
  <si>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</si>
  <si>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</si>
  <si>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</si>
  <si>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</si>
  <si>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</si>
  <si>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</si>
  <si>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</si>
  <si>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</si>
  <si>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</si>
  <si>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</si>
  <si>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</si>
  <si>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</si>
  <si>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</si>
  <si>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</si>
  <si>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</si>
  <si>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</si>
  <si>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</si>
  <si>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</si>
  <si>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</si>
  <si>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</si>
  <si>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</si>
  <si>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</si>
  <si>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</si>
  <si>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</si>
  <si>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</si>
  <si>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</si>
  <si>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</si>
  <si>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</si>
  <si>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</si>
  <si>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</si>
  <si>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</si>
  <si>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</si>
  <si>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</si>
  <si>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</si>
  <si>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</si>
  <si>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</si>
  <si>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</si>
  <si>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</si>
  <si>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</si>
  <si>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</si>
  <si>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</si>
  <si>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</si>
  <si>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</si>
  <si>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</si>
  <si>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</si>
  <si>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</si>
  <si>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</si>
  <si>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</si>
  <si>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</si>
  <si>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</si>
  <si>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</si>
  <si>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</si>
  <si>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</si>
  <si>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</si>
  <si>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</si>
  <si>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</si>
  <si>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</si>
  <si>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</si>
  <si>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</si>
  <si>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</si>
  <si>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</si>
  <si>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</si>
  <si>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</si>
  <si>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</si>
  <si>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</si>
  <si>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</si>
  <si>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</si>
  <si>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</si>
  <si>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</si>
  <si>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</si>
  <si>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</si>
  <si>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</si>
  <si>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</si>
  <si>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</si>
  <si>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</si>
  <si>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</si>
  <si>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</si>
  <si>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</si>
  <si>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</si>
  <si>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</si>
  <si>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</si>
  <si>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</si>
  <si>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</si>
  <si>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</si>
  <si>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</si>
  <si>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</si>
  <si>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</si>
  <si>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</si>
  <si>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</si>
  <si>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</si>
  <si>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</si>
  <si>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</si>
  <si>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</si>
  <si>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</si>
  <si>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</si>
  <si>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</si>
  <si>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</si>
  <si>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</si>
  <si>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</si>
  <si>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</si>
  <si>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</si>
  <si>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</si>
  <si>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</si>
  <si>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</si>
  <si>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</si>
  <si>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</si>
  <si>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</si>
  <si>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</si>
  <si>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</si>
  <si>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</si>
  <si>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</si>
  <si>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</si>
  <si>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</si>
  <si>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</si>
  <si>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</si>
  <si>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</si>
  <si>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</si>
  <si>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</si>
  <si>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</si>
  <si>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</si>
  <si>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</si>
  <si>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</si>
  <si>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</si>
  <si>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</si>
  <si>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</si>
  <si>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</si>
  <si>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</si>
  <si>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</si>
  <si>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</si>
  <si>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</si>
  <si>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</si>
  <si>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</si>
  <si>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</si>
  <si>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</si>
  <si>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</si>
  <si>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</si>
  <si>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</si>
  <si>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</si>
  <si>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</si>
  <si>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</si>
  <si>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</si>
  <si>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</si>
  <si>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</si>
  <si>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</si>
  <si>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</si>
  <si>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</si>
  <si>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</si>
  <si>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</si>
  <si>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</si>
  <si>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</si>
  <si>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</si>
  <si>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</si>
  <si>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</si>
  <si>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</si>
  <si>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</si>
  <si>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</si>
  <si>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</si>
  <si>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</si>
  <si>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</si>
  <si>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</si>
  <si>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</si>
  <si>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</si>
  <si>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</si>
  <si>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</si>
  <si>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</si>
  <si>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</si>
  <si>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</si>
  <si>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</si>
  <si>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</si>
  <si>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</si>
  <si>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</si>
  <si>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</si>
  <si>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</si>
  <si>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</si>
  <si>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</si>
  <si>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</si>
  <si>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</si>
  <si>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</si>
  <si>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</si>
  <si>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</si>
  <si>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</si>
  <si>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</si>
  <si>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</si>
  <si>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</si>
  <si>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</si>
  <si>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</si>
  <si>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</si>
  <si>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</si>
  <si>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</si>
  <si>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</si>
  <si>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</si>
  <si>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</si>
  <si>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</si>
  <si>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</si>
  <si>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</si>
  <si>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</si>
  <si>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</si>
  <si>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</si>
  <si>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</si>
  <si>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</si>
  <si>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</si>
  <si>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</si>
  <si>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</si>
  <si>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</si>
  <si>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</si>
  <si>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</si>
  <si>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</si>
  <si>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</si>
  <si>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</si>
  <si>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</si>
  <si>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</si>
  <si>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</si>
  <si>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</si>
  <si>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</si>
  <si>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</si>
  <si>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</si>
  <si>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</si>
  <si>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</si>
  <si>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</si>
  <si>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</si>
  <si>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</si>
  <si>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</si>
  <si>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</si>
  <si>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</si>
  <si>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</si>
  <si>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</si>
  <si>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</si>
  <si>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</si>
  <si>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</si>
  <si>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</si>
  <si>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</si>
  <si>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</si>
  <si>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</si>
  <si>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</si>
  <si>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</si>
  <si>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</si>
  <si>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</si>
  <si>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</si>
  <si>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</si>
  <si>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</si>
  <si>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</si>
  <si>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</si>
  <si>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</si>
  <si>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</si>
  <si>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</si>
  <si>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</si>
  <si>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</si>
  <si>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</si>
  <si>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</si>
  <si>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</si>
  <si>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</si>
  <si>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</si>
  <si>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</si>
  <si>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</si>
  <si>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</si>
  <si>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</si>
  <si>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</si>
  <si>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</si>
  <si>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</si>
  <si>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</si>
  <si>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</si>
  <si>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</si>
  <si>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</si>
  <si>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</si>
  <si>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</si>
  <si>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</si>
  <si>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</si>
  <si>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</si>
  <si>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</si>
  <si>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</si>
  <si>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</si>
  <si>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</si>
  <si>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</si>
  <si>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</si>
  <si>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</si>
  <si>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</si>
  <si>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</si>
  <si>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</si>
  <si>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</si>
  <si>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</si>
  <si>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</si>
  <si>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</si>
  <si>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</si>
  <si>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</si>
  <si>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</si>
  <si>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</si>
  <si>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</si>
  <si>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</si>
  <si>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</si>
  <si>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</si>
  <si>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</si>
  <si>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</si>
  <si>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</si>
  <si>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</si>
  <si>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</si>
  <si>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</si>
  <si>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</si>
  <si>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</si>
  <si>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</si>
  <si>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</si>
  <si>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</si>
  <si>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</si>
  <si>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</si>
  <si>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</si>
  <si>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</si>
  <si>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</si>
  <si>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</si>
  <si>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</si>
  <si>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</si>
  <si>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</si>
  <si>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</si>
  <si>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</si>
  <si>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</si>
  <si>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</si>
  <si>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</si>
  <si>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</si>
  <si>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</si>
  <si>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</si>
  <si>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</si>
  <si>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</si>
  <si>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</si>
  <si>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</si>
  <si>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</si>
  <si>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</si>
  <si>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</si>
  <si>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</si>
  <si>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</si>
  <si>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</si>
  <si>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</si>
  <si>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</si>
  <si>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</si>
  <si>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</si>
  <si>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</si>
  <si>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</si>
  <si>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</si>
  <si>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</si>
  <si>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</si>
  <si>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</si>
  <si>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</si>
  <si>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</si>
  <si>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</si>
  <si>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</si>
  <si>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</si>
  <si>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</si>
  <si>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</si>
  <si>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</si>
  <si>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</si>
  <si>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</si>
  <si>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</si>
  <si>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</si>
  <si>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</si>
  <si>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</si>
  <si>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</si>
  <si>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</si>
  <si>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</si>
  <si>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</si>
  <si>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</si>
  <si>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</si>
  <si>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</si>
  <si>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</si>
  <si>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</si>
  <si>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</si>
  <si>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</si>
  <si>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</si>
  <si>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</si>
  <si>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</si>
  <si>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</si>
  <si>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</si>
  <si>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</si>
  <si>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</si>
  <si>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</si>
  <si>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</si>
  <si>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</si>
  <si>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</si>
  <si>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</si>
  <si>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</si>
  <si>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</si>
  <si>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</si>
  <si>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</si>
  <si>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</si>
  <si>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</si>
  <si>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</si>
  <si>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</si>
  <si>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</si>
  <si>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</si>
  <si>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</si>
  <si>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</si>
  <si>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</si>
  <si>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</si>
  <si>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</si>
  <si>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</si>
  <si>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</si>
  <si>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</si>
  <si>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</si>
  <si>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</si>
  <si>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</si>
  <si>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</si>
  <si>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</si>
  <si>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</si>
  <si>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</si>
  <si>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</si>
  <si>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</si>
  <si>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</si>
  <si>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</si>
  <si>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</si>
  <si>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</si>
  <si>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</si>
  <si>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</si>
  <si>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</si>
  <si>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</si>
  <si>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</si>
  <si>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</si>
  <si>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</si>
  <si>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</si>
  <si>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</si>
  <si>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</si>
  <si>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</si>
  <si>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</si>
  <si>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</si>
  <si>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</si>
  <si>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</si>
  <si>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</si>
  <si>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</si>
  <si>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</si>
  <si>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</si>
  <si>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</si>
  <si>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</si>
  <si>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</si>
  <si>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</si>
  <si>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</si>
  <si>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</si>
  <si>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</si>
  <si>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</si>
  <si>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</si>
  <si>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</si>
  <si>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</si>
  <si>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</si>
  <si>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</si>
  <si>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</si>
  <si>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</si>
  <si>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</si>
  <si>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</si>
  <si>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</si>
  <si>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</si>
  <si>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</si>
  <si>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</si>
  <si>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</si>
  <si>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</si>
  <si>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</si>
  <si>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</si>
  <si>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</si>
  <si>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</si>
  <si>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</si>
  <si>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</si>
  <si>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</si>
  <si>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</si>
  <si>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</si>
  <si>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</si>
  <si>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</si>
  <si>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</si>
  <si>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</si>
  <si>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</si>
  <si>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</si>
  <si>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</si>
  <si>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</si>
  <si>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</si>
  <si>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</si>
  <si>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</si>
  <si>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</si>
  <si>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</si>
  <si>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</si>
  <si>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</si>
  <si>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</si>
  <si>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</si>
  <si>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</si>
  <si>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</si>
  <si>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</si>
  <si>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</si>
  <si>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</si>
  <si>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</si>
  <si>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</si>
  <si>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</si>
  <si>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</si>
  <si>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</si>
  <si>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</si>
  <si>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</si>
  <si>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</si>
  <si>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</si>
  <si>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</si>
  <si>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</si>
  <si>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</si>
  <si>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</si>
  <si>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</si>
  <si>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</si>
  <si>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</si>
  <si>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</si>
  <si>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</si>
  <si>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</si>
  <si>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</si>
  <si>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</si>
  <si>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</si>
  <si>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</si>
  <si>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</si>
  <si>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</si>
  <si>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</si>
  <si>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</si>
  <si>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</si>
  <si>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</si>
  <si>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</si>
  <si>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</si>
  <si>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</si>
  <si>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</si>
  <si>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</si>
  <si>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</si>
  <si>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</si>
  <si>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</si>
  <si>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</si>
  <si>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</si>
  <si>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</si>
  <si>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</si>
  <si>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</si>
  <si>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</si>
  <si>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</si>
  <si>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</si>
  <si>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</si>
  <si>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</si>
  <si>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</si>
  <si>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</si>
  <si>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</si>
  <si>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</si>
  <si>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</si>
  <si>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</si>
  <si>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</si>
  <si>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</si>
  <si>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</si>
  <si>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</si>
  <si>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</si>
  <si>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</si>
  <si>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</si>
  <si>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</si>
  <si>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</si>
  <si>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</si>
  <si>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</si>
  <si>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</si>
  <si>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</si>
  <si>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</si>
  <si>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</si>
  <si>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</si>
  <si>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</si>
  <si>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</si>
  <si>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</si>
  <si>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</si>
  <si>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</si>
  <si>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</si>
  <si>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</si>
  <si>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</si>
  <si>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</si>
  <si>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</si>
  <si>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</si>
  <si>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</si>
  <si>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</si>
  <si>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</si>
  <si>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</si>
  <si>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</si>
  <si>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</si>
  <si>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</si>
  <si>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</si>
  <si>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</si>
  <si>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</si>
  <si>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</si>
  <si>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</si>
  <si>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</si>
  <si>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</si>
  <si>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</si>
  <si>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</si>
  <si>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</si>
  <si>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</si>
  <si>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</si>
  <si>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</si>
  <si>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</si>
  <si>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</si>
  <si>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</si>
  <si>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</si>
  <si>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</si>
  <si>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</si>
  <si>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</si>
  <si>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</si>
  <si>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</si>
  <si>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</si>
  <si>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</si>
  <si>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</si>
  <si>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</si>
  <si>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</si>
  <si>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</si>
  <si>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</si>
  <si>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</si>
  <si>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</si>
  <si>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</si>
  <si>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</si>
  <si>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</si>
  <si>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</si>
  <si>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</si>
  <si>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</si>
  <si>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</si>
  <si>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</si>
  <si>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</si>
  <si>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</si>
  <si>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</si>
  <si>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</si>
  <si>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</si>
  <si>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</si>
  <si>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</si>
  <si>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</si>
  <si>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</si>
  <si>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</si>
  <si>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</si>
  <si>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</si>
  <si>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</si>
  <si>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</si>
  <si>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</si>
  <si>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</si>
  <si>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</si>
  <si>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</si>
  <si>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</si>
  <si>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</si>
  <si>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</si>
  <si>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</si>
  <si>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</si>
  <si>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</si>
  <si>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</si>
  <si>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</si>
  <si>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</si>
  <si>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</si>
  <si>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</si>
  <si>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</si>
  <si>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</si>
  <si>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</si>
  <si>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</si>
  <si>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</si>
  <si>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</si>
  <si>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</si>
  <si>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</si>
  <si>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</si>
  <si>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</si>
  <si>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</si>
  <si>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</si>
  <si>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</si>
  <si>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</si>
  <si>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</si>
  <si>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</si>
  <si>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</si>
  <si>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</si>
  <si>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</si>
  <si>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</si>
  <si>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</si>
  <si>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</si>
  <si>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</si>
  <si>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</si>
  <si>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</si>
  <si>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</si>
  <si>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</si>
  <si>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</si>
  <si>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</si>
  <si>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</si>
  <si>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</si>
  <si>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</si>
  <si>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</si>
  <si>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</si>
  <si>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</si>
  <si>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</si>
  <si>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</si>
  <si>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</si>
  <si>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</si>
  <si>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</si>
  <si>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</si>
  <si>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</si>
  <si>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</si>
  <si>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</si>
  <si>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</si>
  <si>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</si>
  <si>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</si>
  <si>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</si>
  <si>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</si>
  <si>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</si>
  <si>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</si>
  <si>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</si>
  <si>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</si>
  <si>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</si>
  <si>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</si>
  <si>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</si>
  <si>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</si>
  <si>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</si>
  <si>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</si>
  <si>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</si>
  <si>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</si>
  <si>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</si>
  <si>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</si>
  <si>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</si>
  <si>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</si>
  <si>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</si>
  <si>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</si>
  <si>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</si>
  <si>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</si>
  <si>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</si>
  <si>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</si>
  <si>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</si>
  <si>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</si>
  <si>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</si>
  <si>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</si>
  <si>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</si>
  <si>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</si>
  <si>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</si>
  <si>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</si>
  <si>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</si>
  <si>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</si>
  <si>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</si>
  <si>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</si>
  <si>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</si>
  <si>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</si>
  <si>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</si>
  <si>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</si>
  <si>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</si>
  <si>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</si>
  <si>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</si>
  <si>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</si>
  <si>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</si>
  <si>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</si>
  <si>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</si>
  <si>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</si>
  <si>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</si>
  <si>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</si>
  <si>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</si>
  <si>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</si>
  <si>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</si>
  <si>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</si>
  <si>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</si>
  <si>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</si>
  <si>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</si>
  <si>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</si>
  <si>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</si>
  <si>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</si>
  <si>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</si>
  <si>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</si>
  <si>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</si>
  <si>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</si>
  <si>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</si>
  <si>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</si>
  <si>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</si>
  <si>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</si>
  <si>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</si>
  <si>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</si>
  <si>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</si>
  <si>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</si>
  <si>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</si>
  <si>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</si>
  <si>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</si>
  <si>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</si>
  <si>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</si>
  <si>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</si>
  <si>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</si>
  <si>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</si>
  <si>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</si>
  <si>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</si>
  <si>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</si>
  <si>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</si>
  <si>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</si>
  <si>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</si>
  <si>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</si>
  <si>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</si>
  <si>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</si>
  <si>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</si>
  <si>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</si>
  <si>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</si>
  <si>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</si>
  <si>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</si>
  <si>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</si>
  <si>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</si>
  <si>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</si>
  <si>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</si>
  <si>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</si>
  <si>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</si>
  <si>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</si>
  <si>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</si>
  <si>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</si>
  <si>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</si>
  <si>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</si>
  <si>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</si>
  <si>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</si>
  <si>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</si>
  <si>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</si>
  <si>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</si>
  <si>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</si>
  <si>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</si>
  <si>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</si>
  <si>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</si>
  <si>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</si>
  <si>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</si>
  <si>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</si>
  <si>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</si>
  <si>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</si>
  <si>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</si>
  <si>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</si>
  <si>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</si>
  <si>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</si>
  <si>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</si>
  <si>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</si>
  <si>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</si>
  <si>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</si>
  <si>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</si>
  <si>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</si>
  <si>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</si>
  <si>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</si>
  <si>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</si>
  <si>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</si>
  <si>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</si>
  <si>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</si>
  <si>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</si>
  <si>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</si>
  <si>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</si>
  <si>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</si>
  <si>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</si>
  <si>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</si>
  <si>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</si>
  <si>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</si>
  <si>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</si>
  <si>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</si>
  <si>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</si>
  <si>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</si>
  <si>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</si>
  <si>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</si>
  <si>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</si>
  <si>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</si>
  <si>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</si>
  <si>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</si>
  <si>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</si>
  <si>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</si>
  <si>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</si>
  <si>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</si>
  <si>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</si>
  <si>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</si>
  <si>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</si>
  <si>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</si>
  <si>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</si>
  <si>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</si>
  <si>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</si>
  <si>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</si>
  <si>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</si>
  <si>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</si>
  <si>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</si>
  <si>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</si>
  <si>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</si>
  <si>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</si>
  <si>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</si>
  <si>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</si>
  <si>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</si>
  <si>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</si>
  <si>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</si>
  <si>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</si>
  <si>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</si>
  <si>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</si>
  <si>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</si>
  <si>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</si>
  <si>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</si>
  <si>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</si>
  <si>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</si>
  <si>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</si>
  <si>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</si>
  <si>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</si>
  <si>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</si>
  <si>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</si>
  <si>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</si>
  <si>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</si>
  <si>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</si>
  <si>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</si>
  <si>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</si>
  <si>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</si>
  <si>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</si>
  <si>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</si>
  <si>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</si>
  <si>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</si>
  <si>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</si>
  <si>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</si>
  <si>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</si>
  <si>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</si>
  <si>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</si>
  <si>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</si>
  <si>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</si>
  <si>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</si>
  <si>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</si>
  <si>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</si>
  <si>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</si>
  <si>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</si>
  <si>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</si>
  <si>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</si>
  <si>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</si>
  <si>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</si>
  <si>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</si>
  <si>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</si>
  <si>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</si>
  <si>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</si>
  <si>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</si>
  <si>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</si>
  <si>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</si>
  <si>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</si>
  <si>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</si>
  <si>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</si>
  <si>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</si>
  <si>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</si>
  <si>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</si>
  <si>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</si>
  <si>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</si>
  <si>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</si>
  <si>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</si>
  <si>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</si>
  <si>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</si>
  <si>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</si>
  <si>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</si>
  <si>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</si>
  <si>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</si>
  <si>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</si>
  <si>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</si>
  <si>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</si>
  <si>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</si>
  <si>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</si>
  <si>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</si>
  <si>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</si>
  <si>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</si>
  <si>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</si>
  <si>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</si>
  <si>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</si>
  <si>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</si>
  <si>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</si>
  <si>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</si>
  <si>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</si>
  <si>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</si>
  <si>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</si>
  <si>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</si>
  <si>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</si>
  <si>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</si>
  <si>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</si>
  <si>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</si>
  <si>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</si>
  <si>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</si>
  <si>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</si>
  <si>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</si>
  <si>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</si>
  <si>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</si>
  <si>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</si>
  <si>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</si>
  <si>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</si>
  <si>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</si>
  <si>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</si>
  <si>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</si>
  <si>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</si>
  <si>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</si>
  <si>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</si>
  <si>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</si>
  <si>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</si>
  <si>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</si>
  <si>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</si>
  <si>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</si>
  <si>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</si>
  <si>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</si>
  <si>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</si>
  <si>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</si>
  <si>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</si>
  <si>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</si>
  <si>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</si>
  <si>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</si>
  <si>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</si>
  <si>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</si>
  <si>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</si>
  <si>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</si>
  <si>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</si>
  <si>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</si>
  <si>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</si>
  <si>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</si>
  <si>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</si>
  <si>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</si>
  <si>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</si>
  <si>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</si>
  <si>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</si>
  <si>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</si>
  <si>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</si>
  <si>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</si>
  <si>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</si>
  <si>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</si>
  <si>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</si>
  <si>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</si>
  <si>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</si>
  <si>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</si>
  <si>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</si>
  <si>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</si>
  <si>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</si>
  <si>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</si>
  <si>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</si>
  <si>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</si>
  <si>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</si>
  <si>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</si>
  <si>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</si>
  <si>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</si>
  <si>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</si>
  <si>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</si>
  <si>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</si>
  <si>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</si>
  <si>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</si>
  <si>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</si>
  <si>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</si>
  <si>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</si>
  <si>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</si>
  <si>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</si>
  <si>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</si>
  <si>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</si>
  <si>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</si>
  <si>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</si>
  <si>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</si>
  <si>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</si>
  <si>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</si>
  <si>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</si>
  <si>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</si>
  <si>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</si>
  <si>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</si>
  <si>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</si>
  <si>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</si>
  <si>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</si>
  <si>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</si>
  <si>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</si>
  <si>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</si>
  <si>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</si>
  <si>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</si>
  <si>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</si>
  <si>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</si>
  <si>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</si>
  <si>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</si>
  <si>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</si>
  <si>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</si>
  <si>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</si>
  <si>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</si>
  <si>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</si>
  <si>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</si>
  <si>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</si>
  <si>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</si>
  <si>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</si>
  <si>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</si>
  <si>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</si>
  <si>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</si>
  <si>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</si>
  <si>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</si>
  <si>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</si>
  <si>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</si>
  <si>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</si>
  <si>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</si>
  <si>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</si>
  <si>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</si>
  <si>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</si>
  <si>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</si>
  <si>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</si>
  <si>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</si>
  <si>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</si>
  <si>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</si>
  <si>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</si>
  <si>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</si>
  <si>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</si>
  <si>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</si>
  <si>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</si>
  <si>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</si>
  <si>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</si>
  <si>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</si>
  <si>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</si>
  <si>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</si>
  <si>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</si>
  <si>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</si>
  <si>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</si>
  <si>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</si>
  <si>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</si>
  <si>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</si>
  <si>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</si>
  <si>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</si>
  <si>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</si>
  <si>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</si>
  <si>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</si>
  <si>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</si>
  <si>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</si>
  <si>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</si>
  <si>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</si>
  <si>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</si>
  <si>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</si>
  <si>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</si>
  <si>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</si>
  <si>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</si>
  <si>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</si>
  <si>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</si>
  <si>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</si>
  <si>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</si>
  <si>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</si>
  <si>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</si>
  <si>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</si>
  <si>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</si>
  <si>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</si>
  <si>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</si>
  <si>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</si>
  <si>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</si>
  <si>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</si>
  <si>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</si>
  <si>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</si>
  <si>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</si>
  <si>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</si>
  <si>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</si>
  <si>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</si>
  <si>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</si>
  <si>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</si>
  <si>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</si>
  <si>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</si>
  <si>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</si>
  <si>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</si>
  <si>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</si>
  <si>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</si>
  <si>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</si>
  <si>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</si>
  <si>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</si>
  <si>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</si>
  <si>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</si>
  <si>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</si>
  <si>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</si>
  <si>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</si>
  <si>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</si>
  <si>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</si>
  <si>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</si>
  <si>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</si>
  <si>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</si>
  <si>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</si>
  <si>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</si>
  <si>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</si>
  <si>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</si>
  <si>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</si>
  <si>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</si>
  <si>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</si>
  <si>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</si>
  <si>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</si>
  <si>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</si>
  <si>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</si>
  <si>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</si>
  <si>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</si>
  <si>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</si>
  <si>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</si>
  <si>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</si>
  <si>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</si>
  <si>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</si>
  <si>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</si>
  <si>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</si>
  <si>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</si>
  <si>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</si>
  <si>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</si>
  <si>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</si>
  <si>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</si>
  <si>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</si>
  <si>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</si>
  <si>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</si>
  <si>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</si>
  <si>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</si>
  <si>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</si>
  <si>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</si>
  <si>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</si>
  <si>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</si>
  <si>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</si>
  <si>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</si>
  <si>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</si>
  <si>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</si>
  <si>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</si>
  <si>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</si>
  <si>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</si>
  <si>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</si>
  <si>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</si>
  <si>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</si>
  <si>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</si>
  <si>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</si>
  <si>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</si>
  <si>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</si>
  <si>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</si>
  <si>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</si>
  <si>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</si>
  <si>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</si>
  <si>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</si>
  <si>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</si>
  <si>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</si>
  <si>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</si>
  <si>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</si>
  <si>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</si>
  <si>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</si>
  <si>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</si>
  <si>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</si>
  <si>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</si>
  <si>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</si>
  <si>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</si>
  <si>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</si>
  <si>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</si>
  <si>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</si>
  <si>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</si>
  <si>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</si>
  <si>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</si>
  <si>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</si>
  <si>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</si>
  <si>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</si>
  <si>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</si>
  <si>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</si>
  <si>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</si>
  <si>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</si>
  <si>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</si>
  <si>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</si>
  <si>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</si>
  <si>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</si>
  <si>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</si>
  <si>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</si>
  <si>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</si>
  <si>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</si>
  <si>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</si>
  <si>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</si>
  <si>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</si>
  <si>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</si>
  <si>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</si>
  <si>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</si>
  <si>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</si>
  <si>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</si>
  <si>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</si>
  <si>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</si>
  <si>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</si>
  <si>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</si>
  <si>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</si>
  <si>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</si>
  <si>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</si>
  <si>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</si>
  <si>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</si>
  <si>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</si>
  <si>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</si>
  <si>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</si>
  <si>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</si>
  <si>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</si>
  <si>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</si>
  <si>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</si>
  <si>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</si>
  <si>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</si>
  <si>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</si>
  <si>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</si>
  <si>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</si>
  <si>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</si>
  <si>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</si>
  <si>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</si>
  <si>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</si>
  <si>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</si>
  <si>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</si>
  <si>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</si>
  <si>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</si>
  <si>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</si>
  <si>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</si>
  <si>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</si>
  <si>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</si>
  <si>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</si>
  <si>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</si>
  <si>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</si>
  <si>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</si>
  <si>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</si>
  <si>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</si>
  <si>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</si>
  <si>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</si>
  <si>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</si>
  <si>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</si>
  <si>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</si>
  <si>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</si>
  <si>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</si>
  <si>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</si>
  <si>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</si>
  <si>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</si>
  <si>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</si>
  <si>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</si>
  <si>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</si>
  <si>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</si>
  <si>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</si>
  <si>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</si>
  <si>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</si>
  <si>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</si>
  <si>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</si>
  <si>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</si>
  <si>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</si>
  <si>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</si>
  <si>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</si>
  <si>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</si>
  <si>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</si>
  <si>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</si>
  <si>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</si>
  <si>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</si>
  <si>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</si>
  <si>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</si>
  <si>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</si>
  <si>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</si>
  <si>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</si>
  <si>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</si>
  <si>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</si>
  <si>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</si>
  <si>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</si>
  <si>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</si>
  <si>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</si>
  <si>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</si>
  <si>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</si>
  <si>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</si>
  <si>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</si>
  <si>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</si>
  <si>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</si>
  <si>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</si>
  <si>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</si>
  <si>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</si>
  <si>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</si>
  <si>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</si>
  <si>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</si>
  <si>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</si>
  <si>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</si>
  <si>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</si>
  <si>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</si>
  <si>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</si>
  <si>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</si>
  <si>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</si>
  <si>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</si>
  <si>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</si>
  <si>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</si>
  <si>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</si>
  <si>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</si>
  <si>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</si>
  <si>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</si>
  <si>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</si>
  <si>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</si>
  <si>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</si>
  <si>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</si>
  <si>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</si>
  <si>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</si>
  <si>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</si>
  <si>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</si>
  <si>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</si>
  <si>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</si>
  <si>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</si>
  <si>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</si>
  <si>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</si>
  <si>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</si>
  <si>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</si>
  <si>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</si>
  <si>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</si>
  <si>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</si>
  <si>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</si>
  <si>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</si>
  <si>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</si>
  <si>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</si>
  <si>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</si>
  <si>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</si>
  <si>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</si>
  <si>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</si>
  <si>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</si>
  <si>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</si>
  <si>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</si>
  <si>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</si>
  <si>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</si>
  <si>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</si>
  <si>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</si>
  <si>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</si>
  <si>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</si>
  <si>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</si>
  <si>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</si>
  <si>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</si>
  <si>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</si>
  <si>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</si>
  <si>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</si>
  <si>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</si>
  <si>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</si>
  <si>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</si>
  <si>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</si>
  <si>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</si>
  <si>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</si>
  <si>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</si>
  <si>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</si>
  <si>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</si>
  <si>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</si>
  <si>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</si>
  <si>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</si>
  <si>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</si>
  <si>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</si>
  <si>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</si>
  <si>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</si>
  <si>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</si>
  <si>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</si>
  <si>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</si>
  <si>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</si>
  <si>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</si>
  <si>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</si>
  <si>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</si>
  <si>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</si>
  <si>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</si>
  <si>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</si>
  <si>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</si>
  <si>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</si>
  <si>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</si>
  <si>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</si>
  <si>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</si>
  <si>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</si>
  <si>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</si>
  <si>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</si>
  <si>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</si>
  <si>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</si>
  <si>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</si>
  <si>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</si>
  <si>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</si>
  <si>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</si>
  <si>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</si>
  <si>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</si>
  <si>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</si>
  <si>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</si>
  <si>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</si>
  <si>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</si>
  <si>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</si>
  <si>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</si>
  <si>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</si>
  <si>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</si>
  <si>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</si>
  <si>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</si>
  <si>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</si>
  <si>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</si>
  <si>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</si>
  <si>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</si>
  <si>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</si>
  <si>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</si>
  <si>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</si>
  <si>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</si>
  <si>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</si>
  <si>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</si>
  <si>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</si>
  <si>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</si>
  <si>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</si>
  <si>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</si>
  <si>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</si>
  <si>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</si>
  <si>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</si>
  <si>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</si>
  <si>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</si>
  <si>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</si>
  <si>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</si>
  <si>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</si>
  <si>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</si>
  <si>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</si>
  <si>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</si>
  <si>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</si>
  <si>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</si>
  <si>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</si>
  <si>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</si>
  <si>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</si>
  <si>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</si>
  <si>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</si>
  <si>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</si>
  <si>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</si>
  <si>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</si>
  <si>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</si>
  <si>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</si>
  <si>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</si>
  <si>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</si>
  <si>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</si>
  <si>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</si>
  <si>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</si>
  <si>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</si>
  <si>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</si>
  <si>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</si>
  <si>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</si>
  <si>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</si>
  <si>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</si>
  <si>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</si>
  <si>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</si>
  <si>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</si>
  <si>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</si>
  <si>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</si>
  <si>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</si>
  <si>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</si>
  <si>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</si>
  <si>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</si>
  <si>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</si>
  <si>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</si>
  <si>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</si>
  <si>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</si>
  <si>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</si>
  <si>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</si>
  <si>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</si>
  <si>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</si>
  <si>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</si>
  <si>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</si>
  <si>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</si>
  <si>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</si>
  <si>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</si>
  <si>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</si>
  <si>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</si>
  <si>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</si>
  <si>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</si>
  <si>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</si>
  <si>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</si>
  <si>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</si>
  <si>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</si>
  <si>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</si>
  <si>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</si>
  <si>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</si>
  <si>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</si>
  <si>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</si>
  <si>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</si>
  <si>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</si>
  <si>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</si>
  <si>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</si>
  <si>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</si>
  <si>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</si>
  <si>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</si>
  <si>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</si>
  <si>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</si>
  <si>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</si>
  <si>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</si>
  <si>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</si>
  <si>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</si>
  <si>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</si>
  <si>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</si>
  <si>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</si>
  <si>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</si>
  <si>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</si>
  <si>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</si>
  <si>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</si>
  <si>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</si>
  <si>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</si>
  <si>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</si>
  <si>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</si>
  <si>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</si>
  <si>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</si>
  <si>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</si>
  <si>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</si>
  <si>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</si>
  <si>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</si>
  <si>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</si>
  <si>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</si>
  <si>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</si>
  <si>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</si>
  <si>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</si>
  <si>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</si>
  <si>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</si>
  <si>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</si>
  <si>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</si>
  <si>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</si>
  <si>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</si>
  <si>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</si>
  <si>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</si>
  <si>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</si>
  <si>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</si>
  <si>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</si>
  <si>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</si>
  <si>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</si>
  <si>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</si>
  <si>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</si>
  <si>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</si>
  <si>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</si>
  <si>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</si>
  <si>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</si>
  <si>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</si>
  <si>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</si>
  <si>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</si>
  <si>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</si>
  <si>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</si>
  <si>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</si>
  <si>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</si>
  <si>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</si>
  <si>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</si>
  <si>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</si>
  <si>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</si>
  <si>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</si>
  <si>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</si>
  <si>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</si>
  <si>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</si>
  <si>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</si>
  <si>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</si>
  <si>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</si>
  <si>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</si>
  <si>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</si>
  <si>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</si>
  <si>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</si>
  <si>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</si>
  <si>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</si>
  <si>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</si>
  <si>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</si>
  <si>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</si>
  <si>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</si>
  <si>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</si>
  <si>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</si>
  <si>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</si>
  <si>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</si>
  <si>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</si>
  <si>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</si>
  <si>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</si>
  <si>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</si>
  <si>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</si>
  <si>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</si>
  <si>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</si>
  <si>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</si>
  <si>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</si>
  <si>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</si>
  <si>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</si>
  <si>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</si>
  <si>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</si>
  <si>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</si>
  <si>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</si>
  <si>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</si>
  <si>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</si>
  <si>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</si>
  <si>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</si>
  <si>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</si>
  <si>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</si>
  <si>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</si>
  <si>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</si>
  <si>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</si>
  <si>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</si>
  <si>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</si>
  <si>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</si>
  <si>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</si>
  <si>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</si>
  <si>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</si>
  <si>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</si>
  <si>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</si>
  <si>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</si>
  <si>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</si>
  <si>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</si>
  <si>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</si>
  <si>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</si>
  <si>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</si>
  <si>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</si>
  <si>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</si>
  <si>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</si>
  <si>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</si>
  <si>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</si>
  <si>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</si>
  <si>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</si>
  <si>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</si>
  <si>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</si>
  <si>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</si>
  <si>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</si>
  <si>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</si>
  <si>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</si>
  <si>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</si>
  <si>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</si>
  <si>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</si>
  <si>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</si>
  <si>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</si>
  <si>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</si>
  <si>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</si>
  <si>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</si>
  <si>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</si>
  <si>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</si>
  <si>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</si>
  <si>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</si>
  <si>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</si>
  <si>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</si>
  <si>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</si>
  <si>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</si>
  <si>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</si>
  <si>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</si>
  <si>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</si>
  <si>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</si>
  <si>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</si>
  <si>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</si>
  <si>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</si>
  <si>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</si>
  <si>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</si>
  <si>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</si>
  <si>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</si>
  <si>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</si>
  <si>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</si>
  <si>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</si>
  <si>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</si>
  <si>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</si>
  <si>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</si>
  <si>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</si>
  <si>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</si>
  <si>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</si>
  <si>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</si>
  <si>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</si>
  <si>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</si>
  <si>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</si>
  <si>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</si>
  <si>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</si>
  <si>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</si>
  <si>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</si>
  <si>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</si>
  <si>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</si>
  <si>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</si>
  <si>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</si>
  <si>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</si>
  <si>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</si>
  <si>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</si>
  <si>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</si>
  <si>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</si>
  <si>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</si>
  <si>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</si>
  <si>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</si>
  <si>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</si>
  <si>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</si>
  <si>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</si>
  <si>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</si>
  <si>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</si>
  <si>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</si>
  <si>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</si>
  <si>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</si>
  <si>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</si>
  <si>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</si>
  <si>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</si>
  <si>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</si>
  <si>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</si>
  <si>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</si>
  <si>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</si>
  <si>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</si>
  <si>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</si>
  <si>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</si>
  <si>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</si>
  <si>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</si>
  <si>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</si>
  <si>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</si>
  <si>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</si>
  <si>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</si>
  <si>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</si>
  <si>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</si>
  <si>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</si>
  <si>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</si>
  <si>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</si>
  <si>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</si>
  <si>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</si>
  <si>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</si>
  <si>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</si>
  <si>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</si>
  <si>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</si>
  <si>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</si>
  <si>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</si>
  <si>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</si>
  <si>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</si>
  <si>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</si>
  <si>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</si>
  <si>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</si>
  <si>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</si>
  <si>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</si>
  <si>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</si>
  <si>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</si>
  <si>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</si>
  <si>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</si>
  <si>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</si>
  <si>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</si>
  <si>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</si>
  <si>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</si>
  <si>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</si>
  <si>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</si>
  <si>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</si>
  <si>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</si>
  <si>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</si>
  <si>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</si>
  <si>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</si>
  <si>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</si>
  <si>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</si>
  <si>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</si>
  <si>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</si>
  <si>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</si>
  <si>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</si>
  <si>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</si>
  <si>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</si>
  <si>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</si>
  <si>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</si>
  <si>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</si>
  <si>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</si>
  <si>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</si>
  <si>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</si>
  <si>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</si>
  <si>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</si>
  <si>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</si>
  <si>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</si>
  <si>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</si>
  <si>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</si>
  <si>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</si>
  <si>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</si>
  <si>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</si>
  <si>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</si>
  <si>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</si>
  <si>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</si>
  <si>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</si>
  <si>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</si>
  <si>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</si>
  <si>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</si>
  <si>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</si>
  <si>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</si>
  <si>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</si>
  <si>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</si>
  <si>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</si>
  <si>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</si>
  <si>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</si>
  <si>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</si>
  <si>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</si>
  <si>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</si>
  <si>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</si>
  <si>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</si>
  <si>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</si>
  <si>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</si>
  <si>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</si>
  <si>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</si>
  <si>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</si>
  <si>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</si>
  <si>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</si>
  <si>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</si>
  <si>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</si>
  <si>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</si>
  <si>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</si>
  <si>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</si>
  <si>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</si>
  <si>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</si>
  <si>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</si>
  <si>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</si>
  <si>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</si>
  <si>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</si>
  <si>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</si>
  <si>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</si>
  <si>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</si>
  <si>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</si>
  <si>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</si>
  <si>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</si>
  <si>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</si>
  <si>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</si>
  <si>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</si>
  <si>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</si>
  <si>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</si>
  <si>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</si>
  <si>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</si>
  <si>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</si>
  <si>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</si>
  <si>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</si>
  <si>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</si>
  <si>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</si>
  <si>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</si>
  <si>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</si>
  <si>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</si>
  <si>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</si>
  <si>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</si>
  <si>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</si>
  <si>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</si>
  <si>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</si>
  <si>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</si>
  <si>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</si>
  <si>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</si>
  <si>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</si>
  <si>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</si>
  <si>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</si>
  <si>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</si>
  <si>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</si>
  <si>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</si>
  <si>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</si>
  <si>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</si>
  <si>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</si>
  <si>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</si>
  <si>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</si>
  <si>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</si>
  <si>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</si>
  <si>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</si>
  <si>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</si>
  <si>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</si>
  <si>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</si>
  <si>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</si>
  <si>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</si>
  <si>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</si>
  <si>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</si>
  <si>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</si>
  <si>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</si>
  <si>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</si>
  <si>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</si>
  <si>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</si>
  <si>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</si>
  <si>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</si>
  <si>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</si>
  <si>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</si>
  <si>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</si>
  <si>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</si>
  <si>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</si>
  <si>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</si>
  <si>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</si>
  <si>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</si>
  <si>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</si>
  <si>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</si>
  <si>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</si>
  <si>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</si>
  <si>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</si>
  <si>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</si>
  <si>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</si>
  <si>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</si>
  <si>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</si>
  <si>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</si>
  <si>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</si>
  <si>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</si>
  <si>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</si>
  <si>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</si>
  <si>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</si>
  <si>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</si>
  <si>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</si>
  <si>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</si>
  <si>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</si>
  <si>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</si>
  <si>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</si>
  <si>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</si>
  <si>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</si>
  <si>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</si>
  <si>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</si>
  <si>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</si>
  <si>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</si>
  <si>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</si>
  <si>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</si>
  <si>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</si>
  <si>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</si>
  <si>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</si>
  <si>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</si>
  <si>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</si>
  <si>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</si>
  <si>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</si>
  <si>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</si>
  <si>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</si>
  <si>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</si>
  <si>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</si>
  <si>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</si>
  <si>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</si>
  <si>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</si>
  <si>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</si>
  <si>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</si>
  <si>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</si>
  <si>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</si>
  <si>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</si>
  <si>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</si>
  <si>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</si>
  <si>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</si>
  <si>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</si>
  <si>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</si>
  <si>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</si>
  <si>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</si>
  <si>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</si>
  <si>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</si>
  <si>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</si>
  <si>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</si>
  <si>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</si>
  <si>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</si>
  <si>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</si>
  <si>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</si>
  <si>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</si>
  <si>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</si>
  <si>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</si>
  <si>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</si>
  <si>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</si>
  <si>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</si>
  <si>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</si>
  <si>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</si>
  <si>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</si>
  <si>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</si>
  <si>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</si>
  <si>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</si>
  <si>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</si>
  <si>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</si>
  <si>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</si>
  <si>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</si>
  <si>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</si>
  <si>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</si>
  <si>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</si>
  <si>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</si>
  <si>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</si>
  <si>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</si>
  <si>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</si>
  <si>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</si>
  <si>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</si>
  <si>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</si>
  <si>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</si>
  <si>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</si>
  <si>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</si>
  <si>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</si>
  <si>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</si>
  <si>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</si>
  <si>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</si>
  <si>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</si>
  <si>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</si>
  <si>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</si>
  <si>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</si>
  <si>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</si>
  <si>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</si>
  <si>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</si>
  <si>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</si>
  <si>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</si>
  <si>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</si>
  <si>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</si>
  <si>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</si>
  <si>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</si>
  <si>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</si>
  <si>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</si>
  <si>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</si>
  <si>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</si>
  <si>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</si>
  <si>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</si>
  <si>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</si>
  <si>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</si>
  <si>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</si>
  <si>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</si>
  <si>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</si>
  <si>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</si>
  <si>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</si>
  <si>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</si>
  <si>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</si>
  <si>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</si>
  <si>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</si>
  <si>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</si>
  <si>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</si>
  <si>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</si>
  <si>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</si>
  <si>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</si>
  <si>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</si>
  <si>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</si>
  <si>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</si>
  <si>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</si>
  <si>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</si>
  <si>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</si>
  <si>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</si>
  <si>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</si>
  <si>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</si>
  <si>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</si>
  <si>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</si>
  <si>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</si>
  <si>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</si>
  <si>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</si>
  <si>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</si>
  <si>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</si>
  <si>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</si>
  <si>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</si>
  <si>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</si>
  <si>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</si>
  <si>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</si>
  <si>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</si>
  <si>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</si>
  <si>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</si>
  <si>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</si>
  <si>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</si>
  <si>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</si>
  <si>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</si>
  <si>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</si>
  <si>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</si>
  <si>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</si>
  <si>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</si>
  <si>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</si>
  <si>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</si>
  <si>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</si>
  <si>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</si>
  <si>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</si>
  <si>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</si>
  <si>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</si>
  <si>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</si>
  <si>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</si>
  <si>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</si>
  <si>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</si>
  <si>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</si>
  <si>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</si>
  <si>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</si>
  <si>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</si>
  <si>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</si>
  <si>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</si>
  <si>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</si>
  <si>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</si>
  <si>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</si>
  <si>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</si>
  <si>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</si>
  <si>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</si>
  <si>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</si>
  <si>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</si>
  <si>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</si>
  <si>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</si>
  <si>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</si>
  <si>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</si>
  <si>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</si>
  <si>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</si>
  <si>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</si>
  <si>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</si>
  <si>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</si>
  <si>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</si>
  <si>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</si>
  <si>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</si>
  <si>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</si>
  <si>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</si>
  <si>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</si>
  <si>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</si>
  <si>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</si>
  <si>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</si>
  <si>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</si>
  <si>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</si>
  <si>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</si>
  <si>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</si>
  <si>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</si>
  <si>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</si>
  <si>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</si>
  <si>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</si>
  <si>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</si>
  <si>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</si>
  <si>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</si>
  <si>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</si>
  <si>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</si>
  <si>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</si>
  <si>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</si>
  <si>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</si>
  <si>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</si>
  <si>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</si>
  <si>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</si>
  <si>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</si>
  <si>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</si>
  <si>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</si>
  <si>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</si>
  <si>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</si>
  <si>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</si>
  <si>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</si>
  <si>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</si>
  <si>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</si>
  <si>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</si>
  <si>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</si>
  <si>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</si>
  <si>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</si>
  <si>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</si>
  <si>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</si>
  <si>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</si>
  <si>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</si>
  <si>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</si>
  <si>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</si>
  <si>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</si>
  <si>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</si>
  <si>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</si>
  <si>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</si>
  <si>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</si>
  <si>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</si>
  <si>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</si>
  <si>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</si>
  <si>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</si>
  <si>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</si>
  <si>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</si>
  <si>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</si>
  <si>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</si>
  <si>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</si>
  <si>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</si>
  <si>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</si>
  <si>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</si>
  <si>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</si>
  <si>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</si>
  <si>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</si>
  <si>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</si>
  <si>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</si>
  <si>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</si>
  <si>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</si>
  <si>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</si>
  <si>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</si>
  <si>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</si>
  <si>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</si>
  <si>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</si>
  <si>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</si>
  <si>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</si>
  <si>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</si>
  <si>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</si>
  <si>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</si>
  <si>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</si>
  <si>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</si>
  <si>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</si>
  <si>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</si>
  <si>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</si>
  <si>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</si>
  <si>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</si>
  <si>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</si>
  <si>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</si>
  <si>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</si>
  <si>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</si>
  <si>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</si>
  <si>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</si>
  <si>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</si>
  <si>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</si>
  <si>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</si>
  <si>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</si>
  <si>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</si>
  <si>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</si>
  <si>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</si>
  <si>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</si>
  <si>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</si>
  <si>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</si>
  <si>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</si>
  <si>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</si>
  <si>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</si>
  <si>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</si>
  <si>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</si>
  <si>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</si>
  <si>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</si>
  <si>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</si>
  <si>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</si>
  <si>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</si>
  <si>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</si>
  <si>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</si>
  <si>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</si>
  <si>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</si>
  <si>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</si>
  <si>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</si>
  <si>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</si>
  <si>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</si>
  <si>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</si>
  <si>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</si>
  <si>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</si>
  <si>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</si>
  <si>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</si>
  <si>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</si>
  <si>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</si>
  <si>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</si>
  <si>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</si>
  <si>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</si>
  <si>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</si>
  <si>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</si>
  <si>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</si>
  <si>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</si>
  <si>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</si>
  <si>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</si>
  <si>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</si>
  <si>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</si>
  <si>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</si>
  <si>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</si>
  <si>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</si>
  <si>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</si>
  <si>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</si>
  <si>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</si>
  <si>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</si>
  <si>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</si>
  <si>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</si>
  <si>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</si>
  <si>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</si>
  <si>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</si>
  <si>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</si>
  <si>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</si>
  <si>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</si>
  <si>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</si>
  <si>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</si>
  <si>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</si>
  <si>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</si>
  <si>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</si>
  <si>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</si>
  <si>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</si>
  <si>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</si>
  <si>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</si>
  <si>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</si>
  <si>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</si>
  <si>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</si>
  <si>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</si>
  <si>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</si>
  <si>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</si>
  <si>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</si>
  <si>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</si>
  <si>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</si>
  <si>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</si>
  <si>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</si>
  <si>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</si>
  <si>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</si>
  <si>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</si>
  <si>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</si>
  <si>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</si>
  <si>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</si>
  <si>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</si>
  <si>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</si>
  <si>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</si>
  <si>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</si>
  <si>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</si>
  <si>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</si>
  <si>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</si>
  <si>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</si>
  <si>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</si>
  <si>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</si>
  <si>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</si>
  <si>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</si>
  <si>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</si>
  <si>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</si>
  <si>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</si>
  <si>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</si>
  <si>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</si>
  <si>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</si>
  <si>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</si>
  <si>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</si>
  <si>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</si>
  <si>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</si>
  <si>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</si>
  <si>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</si>
  <si>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</si>
  <si>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</si>
  <si>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</si>
  <si>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</si>
  <si>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</si>
  <si>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</si>
  <si>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</si>
  <si>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</si>
  <si>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</si>
  <si>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</si>
  <si>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</si>
  <si>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</si>
  <si>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</si>
  <si>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</si>
  <si>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</si>
  <si>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</si>
  <si>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</si>
  <si>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</si>
  <si>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</si>
  <si>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</si>
  <si>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</si>
  <si>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</si>
  <si>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</si>
  <si>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</si>
  <si>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</si>
  <si>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</si>
  <si>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</si>
  <si>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</si>
  <si>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</si>
  <si>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</si>
  <si>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</si>
  <si>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</si>
  <si>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</si>
  <si>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</si>
  <si>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</si>
  <si>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</si>
  <si>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</si>
  <si>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</si>
  <si>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</si>
  <si>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</si>
  <si>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</si>
  <si>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</si>
  <si>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</si>
  <si>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</si>
  <si>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</si>
  <si>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</si>
  <si>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</si>
  <si>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</si>
  <si>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</si>
  <si>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</si>
  <si>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</si>
  <si>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</si>
  <si>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</si>
  <si>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</si>
  <si>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</si>
  <si>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</si>
  <si>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</si>
  <si>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</si>
  <si>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</si>
  <si>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</si>
  <si>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</si>
  <si>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</si>
  <si>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</si>
  <si>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</si>
  <si>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</si>
  <si>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</si>
  <si>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</si>
  <si>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</si>
  <si>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</si>
  <si>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</si>
  <si>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</si>
  <si>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</si>
  <si>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</si>
  <si>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</si>
  <si>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</si>
  <si>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</si>
  <si>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</si>
  <si>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</si>
  <si>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</si>
  <si>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</si>
  <si>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</si>
  <si>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</si>
  <si>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</si>
  <si>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</si>
  <si>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</si>
  <si>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</si>
  <si>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</si>
  <si>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</si>
  <si>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</si>
  <si>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</si>
  <si>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</si>
  <si>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</si>
  <si>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</si>
  <si>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</si>
  <si>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</si>
  <si>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</si>
  <si>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</si>
  <si>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</si>
  <si>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</si>
  <si>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</si>
  <si>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</si>
  <si>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</si>
  <si>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</si>
  <si>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</si>
  <si>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</si>
  <si>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</si>
  <si>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</si>
  <si>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</si>
  <si>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</si>
  <si>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</si>
  <si>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</si>
  <si>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</si>
  <si>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</si>
  <si>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</si>
  <si>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</si>
  <si>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</si>
  <si>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</si>
  <si>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</si>
  <si>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</si>
  <si>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</si>
  <si>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</si>
  <si>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</si>
  <si>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</si>
  <si>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</si>
  <si>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</si>
  <si>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</si>
  <si>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</si>
  <si>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</si>
  <si>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</si>
  <si>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</si>
  <si>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</si>
  <si>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</si>
  <si>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</si>
  <si>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</si>
  <si>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</si>
  <si>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</si>
  <si>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</si>
  <si>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</si>
  <si>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</si>
  <si>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</si>
  <si>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</si>
  <si>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</si>
  <si>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</si>
  <si>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</si>
  <si>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</si>
  <si>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</si>
  <si>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</si>
  <si>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</si>
  <si>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</si>
  <si>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</si>
  <si>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</si>
  <si>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</si>
  <si>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</si>
  <si>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</si>
  <si>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</si>
  <si>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</si>
  <si>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</si>
  <si>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</si>
  <si>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</si>
  <si>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</si>
  <si>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</si>
  <si>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</si>
  <si>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</si>
  <si>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</si>
  <si>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</si>
  <si>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</si>
  <si>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</si>
  <si>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</si>
  <si>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</si>
  <si>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</si>
  <si>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</si>
  <si>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</si>
  <si>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</si>
  <si>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</si>
  <si>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</si>
  <si>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</si>
  <si>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</si>
  <si>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</si>
  <si>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</si>
  <si>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</si>
  <si>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</si>
  <si>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</si>
  <si>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</si>
  <si>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</si>
  <si>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</si>
  <si>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</si>
  <si>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</si>
  <si>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</si>
  <si>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</si>
  <si>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</si>
  <si>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</si>
  <si>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</si>
  <si>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</si>
  <si>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</si>
  <si>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</si>
  <si>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</si>
  <si>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</si>
  <si>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</si>
  <si>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</si>
  <si>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</si>
  <si>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</si>
  <si>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</si>
  <si>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</si>
  <si>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</si>
  <si>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</si>
  <si>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</si>
  <si>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</si>
  <si>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</si>
  <si>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</si>
  <si>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</si>
  <si>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</si>
  <si>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</si>
  <si>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</si>
  <si>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</si>
  <si>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</si>
  <si>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</si>
  <si>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</si>
  <si>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</si>
  <si>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</si>
  <si>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</si>
  <si>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</si>
  <si>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</si>
  <si>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</si>
  <si>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</si>
  <si>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</si>
  <si>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</si>
  <si>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</si>
  <si>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</si>
  <si>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</si>
  <si>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</si>
  <si>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</si>
  <si>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</si>
  <si>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</si>
  <si>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</si>
  <si>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</si>
  <si>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</si>
  <si>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</si>
  <si>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</si>
  <si>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</si>
  <si>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</si>
  <si>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</si>
  <si>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</si>
  <si>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</si>
  <si>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</si>
  <si>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</si>
  <si>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</si>
  <si>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</si>
  <si>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</si>
  <si>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</si>
  <si>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</si>
  <si>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</si>
  <si>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</si>
  <si>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</si>
  <si>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</si>
  <si>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</si>
  <si>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</si>
  <si>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</si>
  <si>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</si>
  <si>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</si>
  <si>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</si>
  <si>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</si>
  <si>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</si>
  <si>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</si>
  <si>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</si>
  <si>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</si>
  <si>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</si>
  <si>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</si>
  <si>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</si>
  <si>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</si>
  <si>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</si>
  <si>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</si>
  <si>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</si>
  <si>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</si>
  <si>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</si>
  <si>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</si>
  <si>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</si>
  <si>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</si>
  <si>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</si>
  <si>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</si>
  <si>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</si>
  <si>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</si>
  <si>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</si>
  <si>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</si>
  <si>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</si>
  <si>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</si>
  <si>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</si>
  <si>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</si>
  <si>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</si>
  <si>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</si>
  <si>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</si>
  <si>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</si>
  <si>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</si>
  <si>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</si>
  <si>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</si>
  <si>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</si>
  <si>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</si>
  <si>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</si>
  <si>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</si>
  <si>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</si>
  <si>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</si>
  <si>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</si>
  <si>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</si>
  <si>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</si>
  <si>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</si>
  <si>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</si>
  <si>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</si>
  <si>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</si>
  <si>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</si>
  <si>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</si>
  <si>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</si>
  <si>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</si>
  <si>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</si>
  <si>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</si>
  <si>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</si>
  <si>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</si>
  <si>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</si>
  <si>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</si>
  <si>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</si>
  <si>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</si>
  <si>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</si>
  <si>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</si>
  <si>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</si>
  <si>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</si>
  <si>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</si>
  <si>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</si>
  <si>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</si>
  <si>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</si>
  <si>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</si>
  <si>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</si>
  <si>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</si>
  <si>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</si>
  <si>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</si>
  <si>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</si>
  <si>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</si>
  <si>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</si>
  <si>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</si>
  <si>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</si>
  <si>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</si>
  <si>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</si>
  <si>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</si>
  <si>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</si>
  <si>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</si>
  <si>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</si>
  <si>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</si>
  <si>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</si>
  <si>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</si>
  <si>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</si>
  <si>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</si>
  <si>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</si>
  <si>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</si>
  <si>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</si>
  <si>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</si>
  <si>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</si>
  <si>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</si>
  <si>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</si>
  <si>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</si>
  <si>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</si>
  <si>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</si>
  <si>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</si>
  <si>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</si>
  <si>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</si>
  <si>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</si>
  <si>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</si>
  <si>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</si>
  <si>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</si>
  <si>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</si>
  <si>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</si>
  <si>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</si>
  <si>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</si>
  <si>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</si>
  <si>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</si>
  <si>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</si>
  <si>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</si>
  <si>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</si>
  <si>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</si>
  <si>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</si>
  <si>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</si>
  <si>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</si>
  <si>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</si>
  <si>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</si>
  <si>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</si>
  <si>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</si>
  <si>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</si>
  <si>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</si>
  <si>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</si>
  <si>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</si>
  <si>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</si>
  <si>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</si>
  <si>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</si>
  <si>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</si>
  <si>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</si>
  <si>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</si>
  <si>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</si>
  <si>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</si>
  <si>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</si>
  <si>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</si>
  <si>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</si>
  <si>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</si>
  <si>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</si>
  <si>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</si>
  <si>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</si>
  <si>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</si>
  <si>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</si>
  <si>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</si>
  <si>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</si>
  <si>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</si>
  <si>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</si>
  <si>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</si>
  <si>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</si>
  <si>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</si>
  <si>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</si>
  <si>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</si>
  <si>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</si>
  <si>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</si>
  <si>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</si>
  <si>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</si>
  <si>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</si>
  <si>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</si>
  <si>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</si>
  <si>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</si>
  <si>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</si>
  <si>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</si>
  <si>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</si>
  <si>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</si>
  <si>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</si>
  <si>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</si>
  <si>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</si>
  <si>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</si>
  <si>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</si>
  <si>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</si>
  <si>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</si>
  <si>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</si>
  <si>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</si>
  <si>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</si>
  <si>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</si>
  <si>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</si>
  <si>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</si>
  <si>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</si>
  <si>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</si>
  <si>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</si>
  <si>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</si>
  <si>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</si>
  <si>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</si>
  <si>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</si>
  <si>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</si>
  <si>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</si>
  <si>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</si>
  <si>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</si>
  <si>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</si>
  <si>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</si>
  <si>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</si>
  <si>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</si>
  <si>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</si>
  <si>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</si>
  <si>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</si>
  <si>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</si>
  <si>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</si>
  <si>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</si>
  <si>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</si>
  <si>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</si>
  <si>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</si>
  <si>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</si>
  <si>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</si>
  <si>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</si>
  <si>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</si>
  <si>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</si>
  <si>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</si>
  <si>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</si>
  <si>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</si>
  <si>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</si>
  <si>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</si>
  <si>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</si>
  <si>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</si>
  <si>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</si>
  <si>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</si>
  <si>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</si>
  <si>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</si>
  <si>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</si>
  <si>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</si>
  <si>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</si>
  <si>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</si>
  <si>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</si>
  <si>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</si>
  <si>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</si>
  <si>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</si>
  <si>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</si>
  <si>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</si>
  <si>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</si>
  <si>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</si>
  <si>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</si>
  <si>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</si>
  <si>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</si>
  <si>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</si>
  <si>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</si>
  <si>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</si>
  <si>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</si>
  <si>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</si>
  <si>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</si>
  <si>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</si>
  <si>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</si>
  <si>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</si>
  <si>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</si>
  <si>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</si>
  <si>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</si>
  <si>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</si>
  <si>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</si>
  <si>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</si>
  <si>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</si>
  <si>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</si>
  <si>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</si>
  <si>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</si>
  <si>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</si>
  <si>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</si>
  <si>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</si>
  <si>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</si>
  <si>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</si>
  <si>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</si>
  <si>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</si>
  <si>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</si>
  <si>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</si>
  <si>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</si>
  <si>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</si>
  <si>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</si>
  <si>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</si>
  <si>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</si>
  <si>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</si>
  <si>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</si>
  <si>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</si>
  <si>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</si>
  <si>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</si>
  <si>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</si>
  <si>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</si>
  <si>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</si>
  <si>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</si>
  <si>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</si>
  <si>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</si>
  <si>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</si>
  <si>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</si>
  <si>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</si>
  <si>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</si>
  <si>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</si>
  <si>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</si>
  <si>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</si>
  <si>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</si>
  <si>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</si>
  <si>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</si>
  <si>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</si>
  <si>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</si>
  <si>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</si>
  <si>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</si>
  <si>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</si>
  <si>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</si>
  <si>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</si>
  <si>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</si>
  <si>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</si>
  <si>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</si>
  <si>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</si>
  <si>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</si>
  <si>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</si>
  <si>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</si>
  <si>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</si>
  <si>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</si>
  <si>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</si>
  <si>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</si>
  <si>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</si>
  <si>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</si>
  <si>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</si>
  <si>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</si>
  <si>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</si>
  <si>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</si>
  <si>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</si>
  <si>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</si>
  <si>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</si>
  <si>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</si>
  <si>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</si>
  <si>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</si>
  <si>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</si>
  <si>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</si>
  <si>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</si>
  <si>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</si>
  <si>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</si>
  <si>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</si>
  <si>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</si>
  <si>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</si>
  <si>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</si>
  <si>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</si>
  <si>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</si>
  <si>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</si>
  <si>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</si>
  <si>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</si>
  <si>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</si>
  <si>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</si>
  <si>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</si>
  <si>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</si>
  <si>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</si>
  <si>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</si>
  <si>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</si>
  <si>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</si>
  <si>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</si>
  <si>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</si>
  <si>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</si>
  <si>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</si>
  <si>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</si>
  <si>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</si>
  <si>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</si>
  <si>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</si>
  <si>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</si>
  <si>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</si>
  <si>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</si>
  <si>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</si>
  <si>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</si>
  <si>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</si>
  <si>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</si>
  <si>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</si>
  <si>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</si>
  <si>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</si>
  <si>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</si>
  <si>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</si>
  <si>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</si>
  <si>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</si>
  <si>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</si>
  <si>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</si>
  <si>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</si>
  <si>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</si>
  <si>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</si>
  <si>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</si>
  <si>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</si>
  <si>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</si>
  <si>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</si>
  <si>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</si>
  <si>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</si>
  <si>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</si>
  <si>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</si>
  <si>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</si>
  <si>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</si>
  <si>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</si>
  <si>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</si>
  <si>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</si>
  <si>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</si>
  <si>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</si>
  <si>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</si>
  <si>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</si>
  <si>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</si>
  <si>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</si>
  <si>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</si>
  <si>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</si>
  <si>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</si>
  <si>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</si>
  <si>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</si>
  <si>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</si>
  <si>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</si>
  <si>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</si>
  <si>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</si>
  <si>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</si>
  <si>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</si>
  <si>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</si>
  <si>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</si>
  <si>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</si>
  <si>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</si>
  <si>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</si>
  <si>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</si>
  <si>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</si>
  <si>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</si>
  <si>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</si>
  <si>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</si>
  <si>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</si>
  <si>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</si>
  <si>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</si>
  <si>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</si>
  <si>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</si>
  <si>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</si>
  <si>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</si>
  <si>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</si>
  <si>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</si>
  <si>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</si>
  <si>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</si>
  <si>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</si>
  <si>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</si>
  <si>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</si>
  <si>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</si>
  <si>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</si>
  <si>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</si>
  <si>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</si>
  <si>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</si>
  <si>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</si>
  <si>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</si>
  <si>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</si>
  <si>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</si>
  <si>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</si>
  <si>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</si>
  <si>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</si>
  <si>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</si>
  <si>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</si>
  <si>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</si>
  <si>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</si>
  <si>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</si>
  <si>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</si>
  <si>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</si>
  <si>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</si>
  <si>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</si>
  <si>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</si>
  <si>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</si>
  <si>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</si>
  <si>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</si>
  <si>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</si>
  <si>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</si>
  <si>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</si>
  <si>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</si>
  <si>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</si>
  <si>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</si>
  <si>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</si>
  <si>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</si>
  <si>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</si>
  <si>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</si>
  <si>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</si>
  <si>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</si>
  <si>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</si>
  <si>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</si>
  <si>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</si>
  <si>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</si>
  <si>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</si>
  <si>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</si>
  <si>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</si>
  <si>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</si>
  <si>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</si>
  <si>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</si>
  <si>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</si>
  <si>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</si>
  <si>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</si>
  <si>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</si>
  <si>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</si>
  <si>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</si>
  <si>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</si>
  <si>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</si>
  <si>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</si>
  <si>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</si>
  <si>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</si>
  <si>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</si>
  <si>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</si>
  <si>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</si>
  <si>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</si>
  <si>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</si>
  <si>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</si>
  <si>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</si>
  <si>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</si>
  <si>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</si>
  <si>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</si>
  <si>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</si>
  <si>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</si>
  <si>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</si>
  <si>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</si>
  <si>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</si>
  <si>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</si>
  <si>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</si>
  <si>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</si>
  <si>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</si>
  <si>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</si>
  <si>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</si>
  <si>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</si>
  <si>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</si>
  <si>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</si>
  <si>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</si>
  <si>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</si>
  <si>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</si>
  <si>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</si>
  <si>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</si>
  <si>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</si>
  <si>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</si>
  <si>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</si>
  <si>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</si>
  <si>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</si>
  <si>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</si>
  <si>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</si>
  <si>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</si>
  <si>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</si>
  <si>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Sum of Volume</t>
  </si>
  <si>
    <t>Column Labels</t>
  </si>
  <si>
    <t>Grand Total</t>
  </si>
  <si>
    <t>Row Labels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</si>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</sst>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0" xfId="0" applyFont="1" applyFill="1" applyBorder="1"/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0" fillId="0" borderId="0" xfId="0" pivotButton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0" fillId="2" borderId="0" xfId="0" applyFill="1" applyBorder="1"/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2" borderId="0" xfId="0" applyFont="1" applyFill="1" applyBorder="1"/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9" fontId="1" fillId="3" borderId="0" xfId="1" applyFont="1" applyFill="1" applyAlignment="1">
      <alignment horizontal="right"/>
    </xf>
    <xf numFmtId="1" fontId="1" fillId="3" borderId="0" xfId="0" applyNumberFormat="1" applyFont="1" applyFill="1"/>
    <xf numFmtId="0" fontId="0" fillId="3" borderId="0" xfId="0" applyNumberFormat="1" applyFill="1"/>
    <xf numFmtId="0" fontId="0" fillId="3" borderId="0" xfId="0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950.508326504627" createdVersion="4" refreshedVersion="4" minRefreshableVersion="3" recordCount="15118" xr:uid="{00000000-000A-0000-FFFF-FFFF00000000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18">
  <r>
    <x v="0"/>
    <s v="Convenience stores"/>
    <x v="0"/>
    <s v="San Benedetto"/>
    <s v="|13/01/01|"/>
    <n v="4836"/>
    <n v="0.74"/>
    <n v="0.96"/>
  </r>
  <r>
    <x v="0"/>
    <s v="Convenience stores"/>
    <x v="0"/>
    <s v="San Benedetto"/>
    <s v="|13/01/01a|"/>
    <n v="5928"/>
    <n v="0.95"/>
    <n v="0.99"/>
  </r>
  <r>
    <x v="0"/>
    <s v="Convenience stores"/>
    <x v="0"/>
    <s v="San Benedetto"/>
    <s v="|13/01/02|"/>
    <n v="5712"/>
    <n v="0.89"/>
    <n v="0.97"/>
  </r>
  <r>
    <x v="0"/>
    <s v="Convenience stores"/>
    <x v="0"/>
    <s v="San Benedetto"/>
    <s v="|13/01/03|"/>
    <n v="4872"/>
    <n v="0.62"/>
    <n v="0.9"/>
  </r>
  <r>
    <x v="0"/>
    <s v="Convenience stores"/>
    <x v="0"/>
    <s v="San Benedetto"/>
    <s v="|13/01/04|"/>
    <n v="6228"/>
    <n v="0.65"/>
    <n v="1.07"/>
  </r>
  <r>
    <x v="0"/>
    <s v="Convenience stores"/>
    <x v="0"/>
    <s v="San Benedetto"/>
    <s v="|13/01/05|"/>
    <n v="9588"/>
    <n v="0.92"/>
    <n v="1.01"/>
  </r>
  <r>
    <x v="0"/>
    <s v="Convenience stores"/>
    <x v="0"/>
    <s v="San Benedetto"/>
    <s v="|13/01/06|"/>
    <n v="7836"/>
    <n v="1.19"/>
    <n v="0.96"/>
  </r>
  <r>
    <x v="0"/>
    <s v="Convenience stores"/>
    <x v="0"/>
    <s v="San Benedetto"/>
    <s v="|13/01/07|"/>
    <n v="7560"/>
    <n v="1.02"/>
    <n v="1.0900000000000001"/>
  </r>
  <r>
    <x v="0"/>
    <s v="Convenience stores"/>
    <x v="0"/>
    <s v="San Benedetto"/>
    <s v="|13/01/30|"/>
    <n v="8556"/>
    <n v="0.99"/>
    <n v="1.1000000000000001"/>
  </r>
  <r>
    <x v="0"/>
    <s v="Convenience stores"/>
    <x v="0"/>
    <s v="San Benedetto"/>
    <s v="|13/11/01|"/>
    <n v="9024"/>
    <n v="0.51"/>
    <n v="1.1499999999999999"/>
  </r>
  <r>
    <x v="0"/>
    <s v="Convenience stores"/>
    <x v="0"/>
    <s v="San Benedetto"/>
    <s v="|13/11/01a|"/>
    <n v="7260"/>
    <n v="1.04"/>
    <n v="0.98"/>
  </r>
  <r>
    <x v="0"/>
    <s v="Convenience stores"/>
    <x v="0"/>
    <s v="San Benedetto"/>
    <s v="|13/11/02|"/>
    <n v="9456"/>
    <n v="0.85"/>
    <n v="1.17"/>
  </r>
  <r>
    <x v="0"/>
    <s v="Convenience stores"/>
    <x v="0"/>
    <s v="San Benedetto"/>
    <s v="|13/11/03|"/>
    <n v="7488"/>
    <n v="1.19"/>
    <n v="0.91"/>
  </r>
  <r>
    <x v="0"/>
    <s v="Convenience stores"/>
    <x v="0"/>
    <s v="San Benedetto"/>
    <s v="|13/11/04|"/>
    <n v="7176"/>
    <n v="0.56000000000000005"/>
    <n v="1.1299999999999999"/>
  </r>
  <r>
    <x v="0"/>
    <s v="Convenience stores"/>
    <x v="0"/>
    <s v="San Benedetto"/>
    <s v="|13/12/01|"/>
    <n v="7140"/>
    <n v="0.72"/>
    <n v="0.91"/>
  </r>
  <r>
    <x v="0"/>
    <s v="Convenience stores"/>
    <x v="0"/>
    <s v="San Benedetto"/>
    <s v="|13/12/02|"/>
    <n v="6996"/>
    <n v="1.2"/>
    <n v="0.94"/>
  </r>
  <r>
    <x v="0"/>
    <s v="Convenience stores"/>
    <x v="0"/>
    <s v="San Benedetto"/>
    <s v="|13/12/03|"/>
    <n v="4836"/>
    <n v="1.18"/>
    <n v="0.96"/>
  </r>
  <r>
    <x v="0"/>
    <s v="Convenience stores"/>
    <x v="0"/>
    <s v="San Benedetto"/>
    <s v="|13/12/04|"/>
    <n v="8868"/>
    <n v="0.5"/>
    <n v="1.01"/>
  </r>
  <r>
    <x v="0"/>
    <s v="Convenience stores"/>
    <x v="0"/>
    <s v="San Benedetto"/>
    <s v="|13/12/05|"/>
    <n v="5424"/>
    <n v="0.82"/>
    <n v="1.1100000000000001"/>
  </r>
  <r>
    <x v="0"/>
    <s v="Convenience stores"/>
    <x v="0"/>
    <s v="San Benedetto"/>
    <s v="|13/12/06|"/>
    <n v="6864"/>
    <n v="0.86"/>
    <n v="0.95"/>
  </r>
  <r>
    <x v="0"/>
    <s v="Convenience stores"/>
    <x v="0"/>
    <s v="San Benedetto"/>
    <s v="|13/12/07|"/>
    <n v="8784"/>
    <n v="1.05"/>
    <n v="0.99"/>
  </r>
  <r>
    <x v="0"/>
    <s v="Convenience stores"/>
    <x v="0"/>
    <s v="San Benedetto"/>
    <s v="|13/12/08|"/>
    <n v="6780"/>
    <n v="0.55000000000000004"/>
    <n v="1.02"/>
  </r>
  <r>
    <x v="0"/>
    <s v="Convenience stores"/>
    <x v="0"/>
    <s v="San Benedetto"/>
    <s v="|13/12/09|"/>
    <n v="5292"/>
    <n v="0.51"/>
    <n v="1.1299999999999999"/>
  </r>
  <r>
    <x v="0"/>
    <s v="Convenience stores"/>
    <x v="0"/>
    <s v="San Benedetto"/>
    <s v="|13/12/10|"/>
    <n v="6768"/>
    <n v="1.1200000000000001"/>
    <n v="0.94"/>
  </r>
  <r>
    <x v="0"/>
    <s v="Convenience stores"/>
    <x v="0"/>
    <s v="San Benedetto"/>
    <s v="|13/12/11|"/>
    <n v="5940"/>
    <n v="0.84"/>
    <n v="1.18"/>
  </r>
  <r>
    <x v="0"/>
    <s v="Convenience stores"/>
    <x v="0"/>
    <s v="San Benedetto"/>
    <s v="|13/12/12|"/>
    <n v="4932"/>
    <n v="0.48"/>
    <n v="1.1499999999999999"/>
  </r>
  <r>
    <x v="0"/>
    <s v="Convenience stores"/>
    <x v="0"/>
    <s v="San Benedetto"/>
    <s v="|13/12/13|"/>
    <n v="9084"/>
    <n v="0.44"/>
    <n v="0.9"/>
  </r>
  <r>
    <x v="0"/>
    <s v="Convenience stores"/>
    <x v="0"/>
    <s v="San Benedetto"/>
    <s v="|13/12/14|"/>
    <n v="5580"/>
    <n v="0.63"/>
    <n v="1"/>
  </r>
  <r>
    <x v="0"/>
    <s v="Convenience stores"/>
    <x v="0"/>
    <s v="San Benedetto"/>
    <s v="|13/12/15|"/>
    <n v="5460"/>
    <n v="0.71"/>
    <n v="0.95"/>
  </r>
  <r>
    <x v="0"/>
    <s v="Convenience stores"/>
    <x v="0"/>
    <s v="San Benedetto"/>
    <s v="|13/12/16|"/>
    <n v="6480"/>
    <n v="0.53"/>
    <n v="1.1399999999999999"/>
  </r>
  <r>
    <x v="0"/>
    <s v="Convenience stores"/>
    <x v="0"/>
    <s v="San Benedetto"/>
    <s v="|13/12/17|"/>
    <n v="6660"/>
    <n v="0.74"/>
    <n v="1.08"/>
  </r>
  <r>
    <x v="0"/>
    <s v="Convenience stores"/>
    <x v="0"/>
    <s v="San Benedetto"/>
    <s v="|13/12/18|"/>
    <n v="7332"/>
    <n v="0.78"/>
    <n v="1.2"/>
  </r>
  <r>
    <x v="0"/>
    <s v="Convenience stores"/>
    <x v="0"/>
    <s v="San Benedetto"/>
    <s v="|13/12/19|"/>
    <n v="6480"/>
    <n v="0.68"/>
    <n v="1.07"/>
  </r>
  <r>
    <x v="0"/>
    <s v="Convenience stores"/>
    <x v="0"/>
    <s v="San Benedetto"/>
    <s v="|13/12/20|"/>
    <n v="7908"/>
    <n v="0.46"/>
    <n v="0.99"/>
  </r>
  <r>
    <x v="0"/>
    <s v="Convenience stores"/>
    <x v="0"/>
    <s v="San Benedetto"/>
    <s v="|13/12/21|"/>
    <n v="9348"/>
    <n v="0.5"/>
    <n v="0.98"/>
  </r>
  <r>
    <x v="0"/>
    <s v="Convenience stores"/>
    <x v="0"/>
    <s v="San Benedetto"/>
    <s v="|13/12/22|"/>
    <n v="4992"/>
    <n v="0.64"/>
    <n v="0.98"/>
  </r>
  <r>
    <x v="0"/>
    <s v="Convenience stores"/>
    <x v="0"/>
    <s v="San Benedetto"/>
    <s v="|13/12/23|"/>
    <n v="7956"/>
    <n v="0.88"/>
    <n v="0.94"/>
  </r>
  <r>
    <x v="0"/>
    <s v="Convenience stores"/>
    <x v="0"/>
    <s v="San Benedetto"/>
    <s v="|13/12/24|"/>
    <n v="6348"/>
    <n v="0.56000000000000005"/>
    <n v="1.1599999999999999"/>
  </r>
  <r>
    <x v="0"/>
    <s v="Convenience stores"/>
    <x v="0"/>
    <s v="San Benedetto"/>
    <s v="|13/12/25|"/>
    <n v="6456"/>
    <n v="0.67"/>
    <n v="1.19"/>
  </r>
  <r>
    <x v="0"/>
    <s v="Convenience stores"/>
    <x v="0"/>
    <s v="San Benedetto"/>
    <s v="|13/12/26|"/>
    <n v="9288"/>
    <n v="1.17"/>
    <n v="1.1200000000000001"/>
  </r>
  <r>
    <x v="0"/>
    <s v="Convenience stores"/>
    <x v="0"/>
    <s v="San Benedetto"/>
    <s v="|13/12/27|"/>
    <n v="5352"/>
    <n v="0.51"/>
    <n v="1.2"/>
  </r>
  <r>
    <x v="0"/>
    <s v="Convenience stores"/>
    <x v="0"/>
    <s v="San Benedetto"/>
    <s v="|13/12/28|"/>
    <n v="4836"/>
    <n v="0.77"/>
    <n v="1"/>
  </r>
  <r>
    <x v="0"/>
    <s v="Convenience stores"/>
    <x v="0"/>
    <s v="San Benedetto"/>
    <s v="|13/12/29|"/>
    <n v="9384"/>
    <n v="1.05"/>
    <n v="1.1299999999999999"/>
  </r>
  <r>
    <x v="0"/>
    <s v="Convenience stores"/>
    <x v="0"/>
    <s v="San Benedetto"/>
    <s v="|13/12/30|"/>
    <n v="9264"/>
    <n v="1.1299999999999999"/>
    <n v="0.99"/>
  </r>
  <r>
    <x v="0"/>
    <s v="Convenience stores"/>
    <x v="0"/>
    <s v="San Benedetto"/>
    <s v="|13/12/31|"/>
    <n v="9204"/>
    <n v="1.02"/>
    <n v="1.1100000000000001"/>
  </r>
  <r>
    <x v="0"/>
    <s v="Convenience stores"/>
    <x v="0"/>
    <s v="San Benedetto"/>
    <s v="|13/12/32|"/>
    <n v="6396"/>
    <n v="0.44"/>
    <n v="1.05"/>
  </r>
  <r>
    <x v="0"/>
    <s v="Convenience stores"/>
    <x v="0"/>
    <s v="San Benedetto"/>
    <s v="|13/12/33|"/>
    <n v="6396"/>
    <n v="0.59"/>
    <n v="1.0900000000000001"/>
  </r>
  <r>
    <x v="0"/>
    <s v="Convenience stores"/>
    <x v="0"/>
    <s v="San Benedetto"/>
    <s v="|13/12/34|"/>
    <n v="7116"/>
    <n v="0.42"/>
    <n v="1.1200000000000001"/>
  </r>
  <r>
    <x v="0"/>
    <s v="Convenience stores"/>
    <x v="0"/>
    <s v="San Benedetto"/>
    <s v="|13/12/35|"/>
    <n v="8616"/>
    <n v="0.78"/>
    <n v="0.95"/>
  </r>
  <r>
    <x v="0"/>
    <s v="Convenience stores"/>
    <x v="0"/>
    <s v="San Benedetto"/>
    <s v="|13/12/36|"/>
    <n v="6768"/>
    <n v="0.9"/>
    <n v="1.08"/>
  </r>
  <r>
    <x v="0"/>
    <s v="Convenience stores"/>
    <x v="0"/>
    <s v="San Benedetto"/>
    <s v="|13/12/37|"/>
    <n v="9552"/>
    <n v="1.03"/>
    <n v="1.18"/>
  </r>
  <r>
    <x v="0"/>
    <s v="Convenience stores"/>
    <x v="0"/>
    <s v="San Benedetto"/>
    <s v="|13/12/39|"/>
    <n v="6612"/>
    <n v="0.63"/>
    <n v="1.1200000000000001"/>
  </r>
  <r>
    <x v="0"/>
    <s v="Convenience stores"/>
    <x v="0"/>
    <s v="San Benedetto"/>
    <s v="|13/12/40|"/>
    <n v="7056"/>
    <n v="0.8"/>
    <n v="1.06"/>
  </r>
  <r>
    <x v="0"/>
    <s v="Convenience stores"/>
    <x v="0"/>
    <s v="San Benedetto"/>
    <s v="|13/12/41|"/>
    <n v="6108"/>
    <n v="1.17"/>
    <n v="0.99"/>
  </r>
  <r>
    <x v="0"/>
    <s v="Convenience stores"/>
    <x v="0"/>
    <s v="San Benedetto"/>
    <s v="|13/12/42|"/>
    <n v="7152"/>
    <n v="0.93"/>
    <n v="1.18"/>
  </r>
  <r>
    <x v="0"/>
    <s v="Convenience stores"/>
    <x v="0"/>
    <s v="San Benedetto"/>
    <s v="|13/12/43|"/>
    <n v="8988"/>
    <n v="1.1200000000000001"/>
    <n v="1.01"/>
  </r>
  <r>
    <x v="0"/>
    <s v="Convenience stores"/>
    <x v="0"/>
    <s v="San Benedetto"/>
    <s v="|13/12/44|"/>
    <n v="6588"/>
    <n v="1.1000000000000001"/>
    <n v="1.1299999999999999"/>
  </r>
  <r>
    <x v="0"/>
    <s v="Convenience stores"/>
    <x v="0"/>
    <s v="San Benedetto"/>
    <s v="|13/12/45|"/>
    <n v="8280"/>
    <n v="0.85"/>
    <n v="1.03"/>
  </r>
  <r>
    <x v="0"/>
    <s v="Convenience stores"/>
    <x v="0"/>
    <s v="San Benedetto"/>
    <s v="|13/12/46|"/>
    <n v="7104"/>
    <n v="0.77"/>
    <n v="1.05"/>
  </r>
  <r>
    <x v="0"/>
    <s v="Convenience stores"/>
    <x v="0"/>
    <s v="San Benedetto"/>
    <s v="|13/12/47|"/>
    <n v="7920"/>
    <n v="0.46"/>
    <n v="1.07"/>
  </r>
  <r>
    <x v="0"/>
    <s v="Convenience stores"/>
    <x v="0"/>
    <s v="San Benedetto"/>
    <s v="|13/12/48|"/>
    <n v="9492"/>
    <n v="1.06"/>
    <n v="0.92"/>
  </r>
  <r>
    <x v="0"/>
    <s v="Convenience stores"/>
    <x v="0"/>
    <s v="San Benedetto"/>
    <s v="|13/12/49|"/>
    <n v="9288"/>
    <n v="1.19"/>
    <n v="1.18"/>
  </r>
  <r>
    <x v="0"/>
    <s v="Convenience stores"/>
    <x v="0"/>
    <s v="San Benedetto"/>
    <s v="|13/12/51|"/>
    <n v="6660"/>
    <n v="1.1499999999999999"/>
    <n v="1"/>
  </r>
  <r>
    <x v="0"/>
    <s v="Convenience stores"/>
    <x v="0"/>
    <s v="San Benedetto"/>
    <s v="|13/12/52|"/>
    <n v="6372"/>
    <n v="0.51"/>
    <n v="1.1200000000000001"/>
  </r>
  <r>
    <x v="0"/>
    <s v="Convenience stores"/>
    <x v="0"/>
    <s v="San Benedetto"/>
    <s v="|13/12/53|"/>
    <n v="5508"/>
    <n v="1.17"/>
    <n v="1.19"/>
  </r>
  <r>
    <x v="0"/>
    <s v="Convenience stores"/>
    <x v="0"/>
    <s v="San Benedetto"/>
    <s v="|13/12/54|"/>
    <n v="5916"/>
    <n v="0.96"/>
    <n v="1.05"/>
  </r>
  <r>
    <x v="0"/>
    <s v="Convenience stores"/>
    <x v="0"/>
    <s v="San Benedetto"/>
    <s v="|13/12/55|"/>
    <n v="6228"/>
    <n v="0.85"/>
    <n v="1.03"/>
  </r>
  <r>
    <x v="0"/>
    <s v="Convenience stores"/>
    <x v="0"/>
    <s v="San Benedetto"/>
    <s v="|13/12/56|"/>
    <n v="9564"/>
    <n v="0.67"/>
    <n v="1.1000000000000001"/>
  </r>
  <r>
    <x v="0"/>
    <s v="Convenience stores"/>
    <x v="0"/>
    <s v="San Benedetto"/>
    <s v="|13/12/57|"/>
    <n v="9264"/>
    <n v="0.78"/>
    <n v="1.1299999999999999"/>
  </r>
  <r>
    <x v="0"/>
    <s v="Convenience stores"/>
    <x v="0"/>
    <s v="San Benedetto"/>
    <s v="|13/12/58|"/>
    <n v="8280"/>
    <n v="0.48"/>
    <n v="0.99"/>
  </r>
  <r>
    <x v="0"/>
    <s v="Convenience stores"/>
    <x v="0"/>
    <s v="San Benedetto"/>
    <s v="|13/12/59|"/>
    <n v="5172"/>
    <n v="0.61"/>
    <n v="1.05"/>
  </r>
  <r>
    <x v="0"/>
    <s v="Convenience stores"/>
    <x v="0"/>
    <s v="San Benedetto"/>
    <s v="|13/12/60|"/>
    <n v="6180"/>
    <n v="0.55000000000000004"/>
    <n v="1.04"/>
  </r>
  <r>
    <x v="0"/>
    <s v="Convenience stores"/>
    <x v="0"/>
    <s v="San Benedetto"/>
    <s v="|13/12/61|"/>
    <n v="6072"/>
    <n v="0.93"/>
    <n v="1.1599999999999999"/>
  </r>
  <r>
    <x v="0"/>
    <s v="Convenience stores"/>
    <x v="0"/>
    <s v="San Benedetto"/>
    <s v="|13/12/62|"/>
    <n v="6744"/>
    <n v="1.1299999999999999"/>
    <n v="1.03"/>
  </r>
  <r>
    <x v="0"/>
    <s v="Convenience stores"/>
    <x v="0"/>
    <s v="San Benedetto"/>
    <s v="|13/12/63|"/>
    <n v="6540"/>
    <n v="0.74"/>
    <n v="1.1299999999999999"/>
  </r>
  <r>
    <x v="0"/>
    <s v="Convenience stores"/>
    <x v="0"/>
    <s v="San Benedetto"/>
    <s v="|13/12/64|"/>
    <n v="6468"/>
    <n v="0.48"/>
    <n v="1.1299999999999999"/>
  </r>
  <r>
    <x v="0"/>
    <s v="Convenience stores"/>
    <x v="0"/>
    <s v="San Benedetto"/>
    <s v="|13/12/65|"/>
    <n v="4824"/>
    <n v="0.57999999999999996"/>
    <n v="0.99"/>
  </r>
  <r>
    <x v="0"/>
    <s v="Convenience stores"/>
    <x v="0"/>
    <s v="San Benedetto"/>
    <s v="|13/12/66|"/>
    <n v="5772"/>
    <n v="0.93"/>
    <n v="1.07"/>
  </r>
  <r>
    <x v="0"/>
    <s v="Convenience stores"/>
    <x v="0"/>
    <s v="San Benedetto"/>
    <s v="|13/12/67|"/>
    <n v="8340"/>
    <n v="0.82"/>
    <n v="1.01"/>
  </r>
  <r>
    <x v="0"/>
    <s v="Convenience stores"/>
    <x v="1"/>
    <s v="San Benedetto"/>
    <s v="|13/12/38|"/>
    <n v="420"/>
    <n v="6.02"/>
    <n v="8.4333333333333336"/>
  </r>
  <r>
    <x v="0"/>
    <s v="Convenience stores"/>
    <x v="1"/>
    <s v="San Benedetto"/>
    <s v="|13/13/98|"/>
    <n v="480"/>
    <n v="6.14"/>
    <n v="7.4133333333333331"/>
  </r>
  <r>
    <x v="0"/>
    <s v="Convenience stores"/>
    <x v="1"/>
    <s v="San Benedetto"/>
    <s v="|13/13/99|"/>
    <n v="528"/>
    <n v="5.3733333333333331"/>
    <n v="7.6133333333333333"/>
  </r>
  <r>
    <x v="0"/>
    <s v="Convenience stores"/>
    <x v="2"/>
    <s v="San Benedetto"/>
    <s v="|13/12/68|"/>
    <n v="7932"/>
    <n v="0.9"/>
    <n v="0.9"/>
  </r>
  <r>
    <x v="0"/>
    <s v="Convenience stores"/>
    <x v="2"/>
    <s v="San Benedetto"/>
    <s v="|13/12/69|"/>
    <n v="7992"/>
    <n v="0.75"/>
    <n v="1.19"/>
  </r>
  <r>
    <x v="0"/>
    <s v="Convenience stores"/>
    <x v="2"/>
    <s v="San Benedetto"/>
    <s v="|13/12/70|"/>
    <n v="8316"/>
    <n v="0.97"/>
    <n v="1.1499999999999999"/>
  </r>
  <r>
    <x v="0"/>
    <s v="Convenience stores"/>
    <x v="2"/>
    <s v="San Benedetto"/>
    <s v="|13/12/71|"/>
    <n v="7332"/>
    <n v="0.92"/>
    <n v="1.1399999999999999"/>
  </r>
  <r>
    <x v="0"/>
    <s v="Convenience stores"/>
    <x v="2"/>
    <s v="San Benedetto"/>
    <s v="|13/12/72|"/>
    <n v="9348"/>
    <n v="1.0900000000000001"/>
    <n v="0.95"/>
  </r>
  <r>
    <x v="0"/>
    <s v="Convenience stores"/>
    <x v="2"/>
    <s v="San Benedetto"/>
    <s v="|13/12/73|"/>
    <n v="6288"/>
    <n v="0.52"/>
    <n v="1.1399999999999999"/>
  </r>
  <r>
    <x v="0"/>
    <s v="Convenience stores"/>
    <x v="2"/>
    <s v="San Benedetto"/>
    <s v="|13/12/74|"/>
    <n v="6360"/>
    <n v="0.76"/>
    <n v="0.91"/>
  </r>
  <r>
    <x v="0"/>
    <s v="Convenience stores"/>
    <x v="2"/>
    <s v="San Benedetto"/>
    <s v="|13/12/75|"/>
    <n v="9492"/>
    <n v="0.49"/>
    <n v="1.18"/>
  </r>
  <r>
    <x v="0"/>
    <s v="Convenience stores"/>
    <x v="2"/>
    <s v="San Benedetto"/>
    <s v="|13/12/76|"/>
    <n v="7488"/>
    <n v="0.52"/>
    <n v="0.95"/>
  </r>
  <r>
    <x v="0"/>
    <s v="Convenience stores"/>
    <x v="2"/>
    <s v="San Benedetto"/>
    <s v="|13/12/77|"/>
    <n v="9264"/>
    <n v="0.95"/>
    <n v="1.1599999999999999"/>
  </r>
  <r>
    <x v="0"/>
    <s v="Convenience stores"/>
    <x v="2"/>
    <s v="San Benedetto"/>
    <s v="|13/12/78|"/>
    <n v="8220"/>
    <n v="0.74"/>
    <n v="1.01"/>
  </r>
  <r>
    <x v="0"/>
    <s v="Convenience stores"/>
    <x v="2"/>
    <s v="San Benedetto"/>
    <s v="|13/12/79|"/>
    <n v="9156"/>
    <n v="1.03"/>
    <n v="1.02"/>
  </r>
  <r>
    <x v="0"/>
    <s v="Convenience stores"/>
    <x v="2"/>
    <s v="San Benedetto"/>
    <s v="|13/12/80|"/>
    <n v="9144"/>
    <n v="0.59"/>
    <n v="1.02"/>
  </r>
  <r>
    <x v="0"/>
    <s v="Convenience stores"/>
    <x v="2"/>
    <s v="San Benedetto"/>
    <s v="|13/12/81|"/>
    <n v="5724"/>
    <n v="0.93"/>
    <n v="0.93"/>
  </r>
  <r>
    <x v="0"/>
    <s v="Convenience stores"/>
    <x v="2"/>
    <s v="San Benedetto"/>
    <s v="|13/12/82|"/>
    <n v="9120"/>
    <n v="1.0900000000000001"/>
    <n v="1.1000000000000001"/>
  </r>
  <r>
    <x v="0"/>
    <s v="Convenience stores"/>
    <x v="2"/>
    <s v="San Benedetto"/>
    <s v="|13/12/83|"/>
    <n v="6096"/>
    <n v="0.42"/>
    <n v="1.2"/>
  </r>
  <r>
    <x v="0"/>
    <s v="Convenience stores"/>
    <x v="2"/>
    <s v="San Benedetto"/>
    <s v="|13/12/84|"/>
    <n v="5340"/>
    <n v="1.07"/>
    <n v="1.1399999999999999"/>
  </r>
  <r>
    <x v="0"/>
    <s v="Convenience stores"/>
    <x v="2"/>
    <s v="San Benedetto"/>
    <s v="|13/12/85|"/>
    <n v="7152"/>
    <n v="0.59"/>
    <n v="0.99"/>
  </r>
  <r>
    <x v="0"/>
    <s v="Convenience stores"/>
    <x v="2"/>
    <s v="San Benedetto"/>
    <s v="|13/12/86|"/>
    <n v="7224"/>
    <n v="0.76"/>
    <n v="0.98"/>
  </r>
  <r>
    <x v="0"/>
    <s v="Convenience stores"/>
    <x v="2"/>
    <s v="San Benedetto"/>
    <s v="|13/12/88|"/>
    <n v="5640"/>
    <n v="1.07"/>
    <n v="1.04"/>
  </r>
  <r>
    <x v="0"/>
    <s v="Convenience stores"/>
    <x v="2"/>
    <s v="San Benedetto"/>
    <s v="|13/12/89|"/>
    <n v="9144"/>
    <n v="0.86"/>
    <n v="1.02"/>
  </r>
  <r>
    <x v="0"/>
    <s v="Convenience stores"/>
    <x v="2"/>
    <s v="San Benedetto"/>
    <s v="|13/12/90|"/>
    <n v="7188"/>
    <n v="0.74"/>
    <n v="0.97"/>
  </r>
  <r>
    <x v="0"/>
    <s v="Convenience stores"/>
    <x v="2"/>
    <s v="San Benedetto"/>
    <s v="|13/12/91|"/>
    <n v="7200"/>
    <n v="0.62"/>
    <n v="1"/>
  </r>
  <r>
    <x v="0"/>
    <s v="Convenience stores"/>
    <x v="2"/>
    <s v="San Benedetto"/>
    <s v="|13/12/92|"/>
    <n v="8208"/>
    <n v="1.0900000000000001"/>
    <n v="1.18"/>
  </r>
  <r>
    <x v="0"/>
    <s v="Convenience stores"/>
    <x v="2"/>
    <s v="San Benedetto"/>
    <s v="|13/12/93|"/>
    <n v="7812"/>
    <n v="0.95"/>
    <n v="0.98"/>
  </r>
  <r>
    <x v="0"/>
    <s v="Convenience stores"/>
    <x v="2"/>
    <s v="San Benedetto"/>
    <s v="|13/12/94|"/>
    <n v="9516"/>
    <n v="0.51"/>
    <n v="0.94"/>
  </r>
  <r>
    <x v="0"/>
    <s v="Convenience stores"/>
    <x v="2"/>
    <s v="San Benedetto"/>
    <s v="|13/12/95|"/>
    <n v="6060"/>
    <n v="0.52"/>
    <n v="0.92"/>
  </r>
  <r>
    <x v="0"/>
    <s v="Convenience stores"/>
    <x v="2"/>
    <s v="San Benedetto"/>
    <s v="|13/12/96|"/>
    <n v="5472"/>
    <n v="0.43"/>
    <n v="0.98"/>
  </r>
  <r>
    <x v="0"/>
    <s v="Convenience stores"/>
    <x v="2"/>
    <s v="San Benedetto"/>
    <s v="|13/12/97|"/>
    <n v="8376"/>
    <n v="1.17"/>
    <n v="1.18"/>
  </r>
  <r>
    <x v="0"/>
    <s v="Convenience stores"/>
    <x v="2"/>
    <s v="San Benedetto"/>
    <s v="|13/12/98|"/>
    <n v="5796"/>
    <n v="0.44"/>
    <n v="1.05"/>
  </r>
  <r>
    <x v="0"/>
    <s v="Convenience stores"/>
    <x v="2"/>
    <s v="San Benedetto"/>
    <s v="|13/12/99|"/>
    <n v="7320"/>
    <n v="0.52"/>
    <n v="1.05"/>
  </r>
  <r>
    <x v="0"/>
    <s v="Convenience stores"/>
    <x v="2"/>
    <s v="San Benedetto"/>
    <s v="|13/13/23|"/>
    <n v="9576"/>
    <n v="0.46"/>
    <n v="0.96"/>
  </r>
  <r>
    <x v="0"/>
    <s v="Convenience stores"/>
    <x v="2"/>
    <s v="San Benedetto"/>
    <s v="|13/13/25|"/>
    <n v="8688"/>
    <n v="1.1599999999999999"/>
    <n v="0.99"/>
  </r>
  <r>
    <x v="0"/>
    <s v="Convenience stores"/>
    <x v="2"/>
    <s v="San Benedetto"/>
    <s v="|13/13/26|"/>
    <n v="4920"/>
    <n v="0.96"/>
    <n v="0.93"/>
  </r>
  <r>
    <x v="0"/>
    <s v="Convenience stores"/>
    <x v="2"/>
    <s v="San Benedetto"/>
    <s v="|13/13/27|"/>
    <n v="6072"/>
    <n v="1.08"/>
    <n v="0.95"/>
  </r>
  <r>
    <x v="0"/>
    <s v="Convenience stores"/>
    <x v="2"/>
    <s v="San Benedetto"/>
    <s v="|13/13/28|"/>
    <n v="5460"/>
    <n v="1.07"/>
    <n v="0.91"/>
  </r>
  <r>
    <x v="0"/>
    <s v="Convenience stores"/>
    <x v="2"/>
    <s v="San Benedetto"/>
    <s v="|13/13/29|"/>
    <n v="5268"/>
    <n v="0.4"/>
    <n v="1.06"/>
  </r>
  <r>
    <x v="0"/>
    <s v="Convenience stores"/>
    <x v="2"/>
    <s v="San Benedetto"/>
    <s v="|13/13/30|"/>
    <n v="7164"/>
    <n v="0.72"/>
    <n v="1.1599999999999999"/>
  </r>
  <r>
    <x v="0"/>
    <s v="Convenience stores"/>
    <x v="2"/>
    <s v="San Benedetto"/>
    <s v="|13/13/31|"/>
    <n v="7020"/>
    <n v="0.98"/>
    <n v="0.96"/>
  </r>
  <r>
    <x v="0"/>
    <s v="Convenience stores"/>
    <x v="2"/>
    <s v="San Benedetto"/>
    <s v="|13/13/32|"/>
    <n v="8028"/>
    <n v="1.17"/>
    <n v="1.1599999999999999"/>
  </r>
  <r>
    <x v="0"/>
    <s v="Convenience stores"/>
    <x v="2"/>
    <s v="San Benedetto"/>
    <s v="|13/13/33|"/>
    <n v="7680"/>
    <n v="0.44"/>
    <n v="1.07"/>
  </r>
  <r>
    <x v="0"/>
    <s v="Convenience stores"/>
    <x v="2"/>
    <s v="San Benedetto"/>
    <s v="|13/13/34|"/>
    <n v="8916"/>
    <n v="1.1299999999999999"/>
    <n v="0.94"/>
  </r>
  <r>
    <x v="0"/>
    <s v="Convenience stores"/>
    <x v="2"/>
    <s v="San Benedetto"/>
    <s v="|13/13/35|"/>
    <n v="7392"/>
    <n v="0.66"/>
    <n v="1.1399999999999999"/>
  </r>
  <r>
    <x v="0"/>
    <s v="Convenience stores"/>
    <x v="2"/>
    <s v="San Benedetto"/>
    <s v="|13/13/36|"/>
    <n v="8472"/>
    <n v="1.04"/>
    <n v="1"/>
  </r>
  <r>
    <x v="0"/>
    <s v="Convenience stores"/>
    <x v="2"/>
    <s v="San Benedetto"/>
    <s v="|13/13/37|"/>
    <n v="6852"/>
    <n v="1.02"/>
    <n v="1.1100000000000001"/>
  </r>
  <r>
    <x v="0"/>
    <s v="Convenience stores"/>
    <x v="2"/>
    <s v="San Benedetto"/>
    <s v="|13/13/38|"/>
    <n v="5724"/>
    <n v="1.01"/>
    <n v="1.1499999999999999"/>
  </r>
  <r>
    <x v="0"/>
    <s v="Convenience stores"/>
    <x v="2"/>
    <s v="San Benedetto"/>
    <s v="|13/13/39|"/>
    <n v="8100"/>
    <n v="0.43"/>
    <n v="0.95"/>
  </r>
  <r>
    <x v="0"/>
    <s v="Convenience stores"/>
    <x v="2"/>
    <s v="San Benedetto"/>
    <s v="|13/13/40|"/>
    <n v="6936"/>
    <n v="0.44"/>
    <n v="1.19"/>
  </r>
  <r>
    <x v="0"/>
    <s v="Convenience stores"/>
    <x v="2"/>
    <s v="San Benedetto"/>
    <s v="|13/13/41|"/>
    <n v="5964"/>
    <n v="0.99"/>
    <n v="0.95"/>
  </r>
  <r>
    <x v="0"/>
    <s v="Convenience stores"/>
    <x v="2"/>
    <s v="San Benedetto"/>
    <s v="|13/99/01|"/>
    <n v="5808"/>
    <n v="1.0900000000000001"/>
    <n v="1.17"/>
  </r>
  <r>
    <x v="0"/>
    <s v="Convenience stores"/>
    <x v="2"/>
    <s v="San Benedetto"/>
    <s v="|13/99/02|"/>
    <n v="5844"/>
    <n v="0.87"/>
    <n v="0.9"/>
  </r>
  <r>
    <x v="0"/>
    <s v="Convenience stores"/>
    <x v="2"/>
    <s v="San Benedetto"/>
    <s v="|13/99/03|"/>
    <n v="5292"/>
    <n v="0.74"/>
    <n v="0.94"/>
  </r>
  <r>
    <x v="0"/>
    <s v="Convenience stores"/>
    <x v="2"/>
    <s v="San Benedetto"/>
    <s v="|13/99/04|"/>
    <n v="6228"/>
    <n v="1.1599999999999999"/>
    <n v="0.92"/>
  </r>
  <r>
    <x v="0"/>
    <s v="Convenience stores"/>
    <x v="2"/>
    <s v="San Benedetto"/>
    <s v="|13/99/05|"/>
    <n v="7944"/>
    <n v="0.86"/>
    <n v="1.04"/>
  </r>
  <r>
    <x v="0"/>
    <s v="Convenience stores"/>
    <x v="2"/>
    <s v="San Benedetto"/>
    <s v="|13/99/06|"/>
    <n v="4944"/>
    <n v="1.07"/>
    <n v="0.99"/>
  </r>
  <r>
    <x v="0"/>
    <s v="Convenience stores"/>
    <x v="2"/>
    <s v="San Benedetto"/>
    <s v="|13/99/07|"/>
    <n v="5028"/>
    <n v="0.84"/>
    <n v="1.1299999999999999"/>
  </r>
  <r>
    <x v="0"/>
    <s v="Convenience stores"/>
    <x v="2"/>
    <s v="San Benedetto"/>
    <s v="|13/99/08|"/>
    <n v="8076"/>
    <n v="1.02"/>
    <n v="1.17"/>
  </r>
  <r>
    <x v="0"/>
    <s v="Convenience stores"/>
    <x v="2"/>
    <s v="San Benedetto"/>
    <s v="|13/99/09|"/>
    <n v="7248"/>
    <n v="1.04"/>
    <n v="1.07"/>
  </r>
  <r>
    <x v="0"/>
    <s v="Convenience stores"/>
    <x v="2"/>
    <s v="San Benedetto"/>
    <s v="|13/99/10|"/>
    <n v="6720"/>
    <n v="0.98"/>
    <n v="0.99"/>
  </r>
  <r>
    <x v="0"/>
    <s v="Convenience stores"/>
    <x v="2"/>
    <s v="San Benedetto"/>
    <s v="|13/99/11|"/>
    <n v="9156"/>
    <n v="0.56000000000000005"/>
    <n v="1.1100000000000001"/>
  </r>
  <r>
    <x v="0"/>
    <s v="Convenience stores"/>
    <x v="2"/>
    <s v="San Benedetto"/>
    <s v="|13/99/14|"/>
    <n v="7932"/>
    <n v="1.17"/>
    <n v="1.05"/>
  </r>
  <r>
    <x v="0"/>
    <s v="Convenience stores"/>
    <x v="2"/>
    <s v="San Benedetto"/>
    <s v="|13/99/15|"/>
    <n v="5448"/>
    <n v="0.71"/>
    <n v="0.9"/>
  </r>
  <r>
    <x v="0"/>
    <s v="Convenience stores"/>
    <x v="2"/>
    <s v="San Benedetto"/>
    <s v="|13/99/16|"/>
    <n v="5412"/>
    <n v="0.64"/>
    <n v="1.1100000000000001"/>
  </r>
  <r>
    <x v="0"/>
    <s v="Convenience stores"/>
    <x v="2"/>
    <s v="San Benedetto"/>
    <s v="|13/99/17|"/>
    <n v="7956"/>
    <n v="1.17"/>
    <n v="1.19"/>
  </r>
  <r>
    <x v="0"/>
    <s v="Convenience stores"/>
    <x v="2"/>
    <s v="San Benedetto"/>
    <s v="|13/99/51|"/>
    <n v="5772"/>
    <n v="0.55000000000000004"/>
    <n v="1.1299999999999999"/>
  </r>
  <r>
    <x v="0"/>
    <s v="Convenience stores"/>
    <x v="3"/>
    <s v="San Benedetto"/>
    <s v="|13/05/01|"/>
    <n v="96"/>
    <n v="1.1399999999999999"/>
    <n v="1.23"/>
  </r>
  <r>
    <x v="0"/>
    <s v="Convenience stores"/>
    <x v="3"/>
    <s v="San Benedetto"/>
    <s v="|13/05/02|"/>
    <n v="144"/>
    <n v="1.08"/>
    <n v="1.26"/>
  </r>
  <r>
    <x v="0"/>
    <s v="Convenience stores"/>
    <x v="3"/>
    <s v="San Benedetto"/>
    <s v="|13/05/04|"/>
    <n v="72"/>
    <n v="1.1599999999999999"/>
    <n v="1.23"/>
  </r>
  <r>
    <x v="0"/>
    <s v="Convenience stores"/>
    <x v="4"/>
    <s v="San Benedetto"/>
    <s v="|13/12/87|"/>
    <n v="336"/>
    <n v="4.17"/>
    <n v="5.0199999999999996"/>
  </r>
  <r>
    <x v="0"/>
    <s v="Convenience stores"/>
    <x v="4"/>
    <s v="San Benedetto"/>
    <s v="|13/13/01|"/>
    <n v="468"/>
    <n v="4.8600000000000003"/>
    <n v="5.4"/>
  </r>
  <r>
    <x v="0"/>
    <s v="Convenience stores"/>
    <x v="4"/>
    <s v="San Benedetto"/>
    <s v="|13/13/02|"/>
    <n v="396"/>
    <n v="4.42"/>
    <n v="5.2"/>
  </r>
  <r>
    <x v="0"/>
    <s v="Convenience stores"/>
    <x v="4"/>
    <s v="San Benedetto"/>
    <s v="|13/13/03|"/>
    <n v="264"/>
    <n v="4.0999999999999996"/>
    <n v="5.1100000000000003"/>
  </r>
  <r>
    <x v="0"/>
    <s v="Convenience stores"/>
    <x v="4"/>
    <s v="San Benedetto"/>
    <s v="|13/13/04|"/>
    <n v="648"/>
    <n v="4.46"/>
    <n v="5.22"/>
  </r>
  <r>
    <x v="0"/>
    <s v="Convenience stores"/>
    <x v="4"/>
    <s v="San Benedetto"/>
    <s v="|13/13/05|"/>
    <n v="444"/>
    <n v="4.03"/>
    <n v="5.35"/>
  </r>
  <r>
    <x v="0"/>
    <s v="Convenience stores"/>
    <x v="4"/>
    <s v="San Benedetto"/>
    <s v="|13/13/06|"/>
    <n v="336"/>
    <n v="4.09"/>
    <n v="5.25"/>
  </r>
  <r>
    <x v="0"/>
    <s v="Convenience stores"/>
    <x v="4"/>
    <s v="San Benedetto"/>
    <s v="|13/13/07|"/>
    <n v="696"/>
    <n v="4.21"/>
    <n v="5.01"/>
  </r>
  <r>
    <x v="0"/>
    <s v="Convenience stores"/>
    <x v="4"/>
    <s v="San Benedetto"/>
    <s v="|13/13/08|"/>
    <n v="456"/>
    <n v="4.07"/>
    <n v="5.09"/>
  </r>
  <r>
    <x v="0"/>
    <s v="Convenience stores"/>
    <x v="4"/>
    <s v="San Benedetto"/>
    <s v="|13/13/09|"/>
    <n v="696"/>
    <n v="4.1100000000000003"/>
    <n v="5.2"/>
  </r>
  <r>
    <x v="0"/>
    <s v="Convenience stores"/>
    <x v="4"/>
    <s v="San Benedetto"/>
    <s v="|13/13/10|"/>
    <n v="444"/>
    <n v="4.22"/>
    <n v="5.0999999999999996"/>
  </r>
  <r>
    <x v="0"/>
    <s v="Convenience stores"/>
    <x v="4"/>
    <s v="San Benedetto"/>
    <s v="|13/13/11|"/>
    <n v="252"/>
    <n v="4.78"/>
    <n v="5.0599999999999996"/>
  </r>
  <r>
    <x v="0"/>
    <s v="Convenience stores"/>
    <x v="4"/>
    <s v="San Benedetto"/>
    <s v="|13/13/12|"/>
    <n v="600"/>
    <n v="4.34"/>
    <n v="5.03"/>
  </r>
  <r>
    <x v="0"/>
    <s v="Convenience stores"/>
    <x v="4"/>
    <s v="San Benedetto"/>
    <s v="|13/13/13|"/>
    <n v="456"/>
    <n v="4.4800000000000004"/>
    <n v="5.34"/>
  </r>
  <r>
    <x v="0"/>
    <s v="Convenience stores"/>
    <x v="4"/>
    <s v="San Benedetto"/>
    <s v="|13/13/14|"/>
    <n v="336"/>
    <n v="4.26"/>
    <n v="5.21"/>
  </r>
  <r>
    <x v="0"/>
    <s v="Convenience stores"/>
    <x v="4"/>
    <s v="San Benedetto"/>
    <s v="|13/13/15|"/>
    <n v="612"/>
    <n v="4.63"/>
    <n v="5.2"/>
  </r>
  <r>
    <x v="0"/>
    <s v="Convenience stores"/>
    <x v="4"/>
    <s v="San Benedetto"/>
    <s v="|13/13/16|"/>
    <n v="660"/>
    <n v="4.4000000000000004"/>
    <n v="5.37"/>
  </r>
  <r>
    <x v="0"/>
    <s v="Convenience stores"/>
    <x v="4"/>
    <s v="San Benedetto"/>
    <s v="|13/13/17|"/>
    <n v="348"/>
    <n v="4.72"/>
    <n v="5.14"/>
  </r>
  <r>
    <x v="0"/>
    <s v="Convenience stores"/>
    <x v="4"/>
    <s v="San Benedetto"/>
    <s v="|13/13/18|"/>
    <n v="372"/>
    <n v="4.25"/>
    <n v="5.3"/>
  </r>
  <r>
    <x v="0"/>
    <s v="Convenience stores"/>
    <x v="4"/>
    <s v="San Benedetto"/>
    <s v="|13/13/20|"/>
    <n v="636"/>
    <n v="4.76"/>
    <n v="5.3"/>
  </r>
  <r>
    <x v="0"/>
    <s v="Convenience stores"/>
    <x v="4"/>
    <s v="San Benedetto"/>
    <s v="|13/13/21|"/>
    <n v="636"/>
    <n v="4.1399999999999997"/>
    <n v="5.37"/>
  </r>
  <r>
    <x v="0"/>
    <s v="Convenience stores"/>
    <x v="4"/>
    <s v="San Benedetto"/>
    <s v="|13/13/22|"/>
    <n v="300"/>
    <n v="4.7300000000000004"/>
    <n v="5.37"/>
  </r>
  <r>
    <x v="0"/>
    <s v="Convenience stores"/>
    <x v="4"/>
    <s v="San Benedetto"/>
    <s v="|13/13/24|"/>
    <n v="276"/>
    <n v="4.3499999999999996"/>
    <n v="5.03"/>
  </r>
  <r>
    <x v="0"/>
    <s v="Convenience stores"/>
    <x v="4"/>
    <s v="San Benedetto"/>
    <s v="|13/13/44|"/>
    <n v="420"/>
    <n v="4.09"/>
    <n v="5.1100000000000003"/>
  </r>
  <r>
    <x v="0"/>
    <s v="Convenience stores"/>
    <x v="4"/>
    <s v="San Benedetto"/>
    <s v="|13/99/13|"/>
    <n v="456"/>
    <n v="4"/>
    <n v="5.16"/>
  </r>
  <r>
    <x v="0"/>
    <s v="Convenience stores"/>
    <x v="4"/>
    <s v="Beiersdorf"/>
    <s v="|39/01/01|"/>
    <n v="456"/>
    <n v="4.5599999999999996"/>
    <n v="5.12"/>
  </r>
  <r>
    <x v="0"/>
    <s v="Convenience stores"/>
    <x v="4"/>
    <s v="Beiersdorf"/>
    <s v="|39/01/02|"/>
    <n v="492"/>
    <n v="4.79"/>
    <n v="5.4"/>
  </r>
  <r>
    <x v="0"/>
    <s v="Convenience stores"/>
    <x v="4"/>
    <s v="Beiersdorf"/>
    <s v="|39/01/03|"/>
    <n v="336"/>
    <n v="4.75"/>
    <n v="5.2"/>
  </r>
  <r>
    <x v="0"/>
    <s v="Convenience stores"/>
    <x v="4"/>
    <s v="Beiersdorf"/>
    <s v="|39/01/04|"/>
    <n v="612"/>
    <n v="4.8499999999999996"/>
    <n v="5.38"/>
  </r>
  <r>
    <x v="0"/>
    <s v="Convenience stores"/>
    <x v="4"/>
    <s v="Beiersdorf"/>
    <s v="|39/01/05|"/>
    <n v="552"/>
    <n v="4.6100000000000003"/>
    <n v="5.19"/>
  </r>
  <r>
    <x v="0"/>
    <s v="Convenience stores"/>
    <x v="4"/>
    <s v="Beiersdorf"/>
    <s v="|39/01/06|"/>
    <n v="516"/>
    <n v="4.5199999999999996"/>
    <n v="5.13"/>
  </r>
  <r>
    <x v="0"/>
    <s v="Convenience stores"/>
    <x v="4"/>
    <s v="Beiersdorf"/>
    <s v="|39/01/07|"/>
    <n v="408"/>
    <n v="4.22"/>
    <n v="5.17"/>
  </r>
  <r>
    <x v="0"/>
    <s v="Convenience stores"/>
    <x v="4"/>
    <s v="Beiersdorf"/>
    <s v="|39/01/30|"/>
    <n v="708"/>
    <n v="4.8899999999999997"/>
    <n v="5.4"/>
  </r>
  <r>
    <x v="0"/>
    <s v="Convenience stores"/>
    <x v="3"/>
    <s v="Famous Grousse"/>
    <s v="|26/01/01|"/>
    <n v="144"/>
    <n v="1.1399999999999999"/>
    <n v="1.38"/>
  </r>
  <r>
    <x v="0"/>
    <s v="Convenience stores"/>
    <x v="3"/>
    <s v="Famous Grousse"/>
    <s v="|26/01/02|"/>
    <n v="156"/>
    <n v="1.1299999999999999"/>
    <n v="1.35"/>
  </r>
  <r>
    <x v="0"/>
    <s v="Convenience stores"/>
    <x v="3"/>
    <s v="Famous Grousse"/>
    <s v="|26/01/03|"/>
    <n v="108"/>
    <n v="1.19"/>
    <n v="1.23"/>
  </r>
  <r>
    <x v="0"/>
    <s v="Convenience stores"/>
    <x v="1"/>
    <s v="Ferrero"/>
    <s v="|48/01/41|"/>
    <n v="480"/>
    <n v="5.3533333333333335"/>
    <n v="8.5466666666666669"/>
  </r>
  <r>
    <x v="0"/>
    <s v="Convenience stores"/>
    <x v="5"/>
    <s v="Ferrero"/>
    <s v="|48/01/01|"/>
    <n v="1224"/>
    <n v="1.2"/>
    <n v="1.79"/>
  </r>
  <r>
    <x v="0"/>
    <s v="Convenience stores"/>
    <x v="5"/>
    <s v="Ferrero"/>
    <s v="|48/01/02|"/>
    <n v="888"/>
    <n v="1.41"/>
    <n v="1.79"/>
  </r>
  <r>
    <x v="0"/>
    <s v="Convenience stores"/>
    <x v="5"/>
    <s v="Ferrero"/>
    <s v="|48/01/03|"/>
    <n v="912"/>
    <n v="1.1499999999999999"/>
    <n v="1.6"/>
  </r>
  <r>
    <x v="0"/>
    <s v="Convenience stores"/>
    <x v="5"/>
    <s v="Ferrero"/>
    <s v="|48/01/04|"/>
    <n v="888"/>
    <n v="1.1499999999999999"/>
    <n v="1.79"/>
  </r>
  <r>
    <x v="0"/>
    <s v="Convenience stores"/>
    <x v="5"/>
    <s v="Ferrero"/>
    <s v="|48/01/05|"/>
    <n v="852"/>
    <n v="1.1599999999999999"/>
    <n v="1.75"/>
  </r>
  <r>
    <x v="0"/>
    <s v="Convenience stores"/>
    <x v="5"/>
    <s v="Ferrero"/>
    <s v="|48/01/06|"/>
    <n v="792"/>
    <n v="1.41"/>
    <n v="1.72"/>
  </r>
  <r>
    <x v="0"/>
    <s v="Convenience stores"/>
    <x v="5"/>
    <s v="Ferrero"/>
    <s v="|48/01/07|"/>
    <n v="744"/>
    <n v="1.46"/>
    <n v="1.79"/>
  </r>
  <r>
    <x v="0"/>
    <s v="Convenience stores"/>
    <x v="5"/>
    <s v="Ferrero"/>
    <s v="|48/01/08|"/>
    <n v="1128"/>
    <n v="1.22"/>
    <n v="1.69"/>
  </r>
  <r>
    <x v="0"/>
    <s v="Convenience stores"/>
    <x v="5"/>
    <s v="Ferrero"/>
    <s v="|48/01/09|"/>
    <n v="624"/>
    <n v="1.44"/>
    <n v="1.67"/>
  </r>
  <r>
    <x v="0"/>
    <s v="Convenience stores"/>
    <x v="5"/>
    <s v="Ferrero"/>
    <s v="|48/01/10|"/>
    <n v="1140"/>
    <n v="1.18"/>
    <n v="1.66"/>
  </r>
  <r>
    <x v="0"/>
    <s v="Convenience stores"/>
    <x v="5"/>
    <s v="Ferrero"/>
    <s v="|48/01/11|"/>
    <n v="876"/>
    <n v="1.1499999999999999"/>
    <n v="1.69"/>
  </r>
  <r>
    <x v="0"/>
    <s v="Convenience stores"/>
    <x v="5"/>
    <s v="Ferrero"/>
    <s v="|48/01/12|"/>
    <n v="924"/>
    <n v="1.36"/>
    <n v="1.63"/>
  </r>
  <r>
    <x v="0"/>
    <s v="Convenience stores"/>
    <x v="5"/>
    <s v="Ferrero"/>
    <s v="|48/01/13|"/>
    <n v="792"/>
    <n v="1.37"/>
    <n v="1.87"/>
  </r>
  <r>
    <x v="0"/>
    <s v="Convenience stores"/>
    <x v="5"/>
    <s v="Ferrero"/>
    <s v="|48/01/14|"/>
    <n v="900"/>
    <n v="1.22"/>
    <n v="1.69"/>
  </r>
  <r>
    <x v="0"/>
    <s v="Convenience stores"/>
    <x v="5"/>
    <s v="Ferrero"/>
    <s v="|48/01/15|"/>
    <n v="816"/>
    <n v="1.39"/>
    <n v="1.65"/>
  </r>
  <r>
    <x v="0"/>
    <s v="Convenience stores"/>
    <x v="5"/>
    <s v="Ferrero"/>
    <s v="|48/01/16|"/>
    <n v="624"/>
    <n v="1.49"/>
    <n v="1.73"/>
  </r>
  <r>
    <x v="0"/>
    <s v="Convenience stores"/>
    <x v="5"/>
    <s v="Ferrero"/>
    <s v="|48/01/17|"/>
    <n v="1272"/>
    <n v="1.42"/>
    <n v="1.76"/>
  </r>
  <r>
    <x v="0"/>
    <s v="Convenience stores"/>
    <x v="5"/>
    <s v="Ferrero"/>
    <s v="|48/01/18|"/>
    <n v="624"/>
    <n v="1.46"/>
    <n v="1.82"/>
  </r>
  <r>
    <x v="0"/>
    <s v="Convenience stores"/>
    <x v="5"/>
    <s v="Ferrero"/>
    <s v="|48/01/19|"/>
    <n v="780"/>
    <n v="1.29"/>
    <n v="1.75"/>
  </r>
  <r>
    <x v="0"/>
    <s v="Convenience stores"/>
    <x v="5"/>
    <s v="Ferrero"/>
    <s v="|48/01/20|"/>
    <n v="1020"/>
    <n v="1.27"/>
    <n v="1.8"/>
  </r>
  <r>
    <x v="0"/>
    <s v="Convenience stores"/>
    <x v="5"/>
    <s v="Ferrero"/>
    <s v="|48/01/21|"/>
    <n v="912"/>
    <n v="1.48"/>
    <n v="1.9"/>
  </r>
  <r>
    <x v="0"/>
    <s v="Convenience stores"/>
    <x v="5"/>
    <s v="Ferrero"/>
    <s v="|48/01/22|"/>
    <n v="912"/>
    <n v="1.4"/>
    <n v="1.68"/>
  </r>
  <r>
    <x v="0"/>
    <s v="Convenience stores"/>
    <x v="5"/>
    <s v="Ferrero"/>
    <s v="|48/01/23|"/>
    <n v="1212"/>
    <n v="1.5"/>
    <n v="1.63"/>
  </r>
  <r>
    <x v="0"/>
    <s v="Convenience stores"/>
    <x v="5"/>
    <s v="Ferrero"/>
    <s v="|48/01/24|"/>
    <n v="1212"/>
    <n v="1.32"/>
    <n v="1.81"/>
  </r>
  <r>
    <x v="0"/>
    <s v="Convenience stores"/>
    <x v="5"/>
    <s v="Ferrero"/>
    <s v="|48/01/25|"/>
    <n v="1104"/>
    <n v="1.24"/>
    <n v="1.73"/>
  </r>
  <r>
    <x v="0"/>
    <s v="Convenience stores"/>
    <x v="5"/>
    <s v="Ferrero"/>
    <s v="|48/01/26|"/>
    <n v="684"/>
    <n v="1.1599999999999999"/>
    <n v="1.71"/>
  </r>
  <r>
    <x v="0"/>
    <s v="Convenience stores"/>
    <x v="5"/>
    <s v="Ferrero"/>
    <s v="|48/01/27|"/>
    <n v="864"/>
    <n v="1.23"/>
    <n v="1.6"/>
  </r>
  <r>
    <x v="0"/>
    <s v="Convenience stores"/>
    <x v="5"/>
    <s v="Ferrero"/>
    <s v="|48/01/28|"/>
    <n v="696"/>
    <n v="1.48"/>
    <n v="1.69"/>
  </r>
  <r>
    <x v="0"/>
    <s v="Convenience stores"/>
    <x v="5"/>
    <s v="Ferrero"/>
    <s v="|48/01/29|"/>
    <n v="1308"/>
    <n v="1.5"/>
    <n v="1.63"/>
  </r>
  <r>
    <x v="0"/>
    <s v="Convenience stores"/>
    <x v="5"/>
    <s v="Ferrero"/>
    <s v="|48/01/30|"/>
    <n v="672"/>
    <n v="1.1299999999999999"/>
    <n v="1.89"/>
  </r>
  <r>
    <x v="0"/>
    <s v="Convenience stores"/>
    <x v="5"/>
    <s v="Ferrero"/>
    <s v="|48/01/31|"/>
    <n v="684"/>
    <n v="1.24"/>
    <n v="1.82"/>
  </r>
  <r>
    <x v="0"/>
    <s v="Convenience stores"/>
    <x v="5"/>
    <s v="Ferrero"/>
    <s v="|48/01/32|"/>
    <n v="972"/>
    <n v="1.38"/>
    <n v="1.89"/>
  </r>
  <r>
    <x v="0"/>
    <s v="Convenience stores"/>
    <x v="5"/>
    <s v="Ferrero"/>
    <s v="|48/01/33|"/>
    <n v="1044"/>
    <n v="1.45"/>
    <n v="1.77"/>
  </r>
  <r>
    <x v="0"/>
    <s v="Convenience stores"/>
    <x v="5"/>
    <s v="Ferrero"/>
    <s v="|48/01/34|"/>
    <n v="780"/>
    <n v="1.46"/>
    <n v="1.74"/>
  </r>
  <r>
    <x v="0"/>
    <s v="Convenience stores"/>
    <x v="5"/>
    <s v="Ferrero"/>
    <s v="|48/01/35|"/>
    <n v="732"/>
    <n v="1.28"/>
    <n v="1.81"/>
  </r>
  <r>
    <x v="0"/>
    <s v="Convenience stores"/>
    <x v="5"/>
    <s v="Ferrero"/>
    <s v="|48/01/36|"/>
    <n v="804"/>
    <n v="1.48"/>
    <n v="1.81"/>
  </r>
  <r>
    <x v="0"/>
    <s v="Convenience stores"/>
    <x v="5"/>
    <s v="Ferrero"/>
    <s v="|48/01/37|"/>
    <n v="1128"/>
    <n v="1.29"/>
    <n v="1.88"/>
  </r>
  <r>
    <x v="0"/>
    <s v="Convenience stores"/>
    <x v="5"/>
    <s v="Ferrero"/>
    <s v="|48/01/38|"/>
    <n v="1116"/>
    <n v="1.2"/>
    <n v="1.84"/>
  </r>
  <r>
    <x v="0"/>
    <s v="Convenience stores"/>
    <x v="5"/>
    <s v="Ferrero"/>
    <s v="|48/01/39|"/>
    <n v="1200"/>
    <n v="1.19"/>
    <n v="1.74"/>
  </r>
  <r>
    <x v="0"/>
    <s v="Convenience stores"/>
    <x v="5"/>
    <s v="Ferrero"/>
    <s v="|48/01/40|"/>
    <n v="1032"/>
    <n v="1.47"/>
    <n v="1.89"/>
  </r>
  <r>
    <x v="0"/>
    <s v="Convenience stores"/>
    <x v="5"/>
    <s v="Ferrero"/>
    <s v="|48/01/42|"/>
    <n v="756"/>
    <n v="1.21"/>
    <n v="1.6"/>
  </r>
  <r>
    <x v="0"/>
    <s v="Convenience stores"/>
    <x v="5"/>
    <s v="Ferrero"/>
    <s v="|48/01/43|"/>
    <n v="912"/>
    <n v="1.1299999999999999"/>
    <n v="1.71"/>
  </r>
  <r>
    <x v="0"/>
    <s v="Convenience stores"/>
    <x v="5"/>
    <s v="Ferrero"/>
    <s v="|48/01/44|"/>
    <n v="1140"/>
    <n v="1.35"/>
    <n v="1.62"/>
  </r>
  <r>
    <x v="0"/>
    <s v="Convenience stores"/>
    <x v="5"/>
    <s v="Ferrero"/>
    <s v="|48/01/45|"/>
    <n v="876"/>
    <n v="1.31"/>
    <n v="1.67"/>
  </r>
  <r>
    <x v="0"/>
    <s v="Convenience stores"/>
    <x v="5"/>
    <s v="Ferrero"/>
    <s v="|48/01/46|"/>
    <n v="1140"/>
    <n v="1.41"/>
    <n v="1.79"/>
  </r>
  <r>
    <x v="0"/>
    <s v="Convenience stores"/>
    <x v="5"/>
    <s v="Ferrero"/>
    <s v="|48/01/47|"/>
    <n v="924"/>
    <n v="1.39"/>
    <n v="1.64"/>
  </r>
  <r>
    <x v="0"/>
    <s v="Convenience stores"/>
    <x v="5"/>
    <s v="Ferrero"/>
    <s v="|48/01/48|"/>
    <n v="996"/>
    <n v="1.41"/>
    <n v="1.84"/>
  </r>
  <r>
    <x v="0"/>
    <s v="Convenience stores"/>
    <x v="5"/>
    <s v="Ferrero"/>
    <s v="|48/01/49|"/>
    <n v="1224"/>
    <n v="1.1599999999999999"/>
    <n v="1.79"/>
  </r>
  <r>
    <x v="0"/>
    <s v="Convenience stores"/>
    <x v="5"/>
    <s v="Ferrero"/>
    <s v="|48/01/50|"/>
    <n v="1296"/>
    <n v="1.18"/>
    <n v="1.76"/>
  </r>
  <r>
    <x v="0"/>
    <s v="Convenience stores"/>
    <x v="5"/>
    <s v="Ferrero"/>
    <s v="|48/01/51|"/>
    <n v="624"/>
    <n v="1.1200000000000001"/>
    <n v="1.79"/>
  </r>
  <r>
    <x v="0"/>
    <s v="Convenience stores"/>
    <x v="5"/>
    <s v="Ferrero"/>
    <s v="|48/01/52|"/>
    <n v="576"/>
    <n v="1.26"/>
    <n v="1.73"/>
  </r>
  <r>
    <x v="0"/>
    <s v="Convenience stores"/>
    <x v="5"/>
    <s v="Ferrero"/>
    <s v="|48/01/53|"/>
    <n v="588"/>
    <n v="1.1599999999999999"/>
    <n v="1.6"/>
  </r>
  <r>
    <x v="0"/>
    <s v="Convenience stores"/>
    <x v="5"/>
    <s v="Ferrero"/>
    <s v="|48/01/54|"/>
    <n v="804"/>
    <n v="1.32"/>
    <n v="1.68"/>
  </r>
  <r>
    <x v="0"/>
    <s v="Convenience stores"/>
    <x v="5"/>
    <s v="Ferrero"/>
    <s v="|48/01/55|"/>
    <n v="1248"/>
    <n v="1.17"/>
    <n v="1.86"/>
  </r>
  <r>
    <x v="0"/>
    <s v="Convenience stores"/>
    <x v="5"/>
    <s v="Ferrero"/>
    <s v="|48/01/56|"/>
    <n v="1212"/>
    <n v="1.4"/>
    <n v="1.79"/>
  </r>
  <r>
    <x v="0"/>
    <s v="Convenience stores"/>
    <x v="5"/>
    <s v="Ferrero"/>
    <s v="|48/01/57|"/>
    <n v="696"/>
    <n v="1.38"/>
    <n v="1.69"/>
  </r>
  <r>
    <x v="0"/>
    <s v="Convenience stores"/>
    <x v="5"/>
    <s v="Ferrero"/>
    <s v="|48/01/58|"/>
    <n v="576"/>
    <n v="1.1299999999999999"/>
    <n v="1.8"/>
  </r>
  <r>
    <x v="0"/>
    <s v="Convenience stores"/>
    <x v="5"/>
    <s v="Ferrero"/>
    <s v="|48/01/59|"/>
    <n v="732"/>
    <n v="1.29"/>
    <n v="1.88"/>
  </r>
  <r>
    <x v="0"/>
    <s v="Convenience stores"/>
    <x v="5"/>
    <s v="Ferrero"/>
    <s v="|48/01/60|"/>
    <n v="1152"/>
    <n v="1.24"/>
    <n v="1.74"/>
  </r>
  <r>
    <x v="0"/>
    <s v="Convenience stores"/>
    <x v="5"/>
    <s v="Ferrero"/>
    <s v="|48/01/61|"/>
    <n v="1272"/>
    <n v="1.39"/>
    <n v="1.6"/>
  </r>
  <r>
    <x v="0"/>
    <s v="Convenience stores"/>
    <x v="6"/>
    <s v="Cioccolatti Italiani"/>
    <s v="|63/03/08|"/>
    <n v="1908"/>
    <n v="2.4300000000000002"/>
    <n v="3.43"/>
  </r>
  <r>
    <x v="0"/>
    <s v="Convenience stores"/>
    <x v="6"/>
    <s v="Cioccolatti Italiani"/>
    <s v="|63/03/09|"/>
    <n v="2220"/>
    <n v="2.5299999999999998"/>
    <n v="3.5"/>
  </r>
  <r>
    <x v="0"/>
    <s v="Convenience stores"/>
    <x v="6"/>
    <s v="Cioccolatti Italiani"/>
    <s v="|63/03/10|"/>
    <n v="2112"/>
    <n v="2.88"/>
    <n v="3.58"/>
  </r>
  <r>
    <x v="0"/>
    <s v="Convenience stores"/>
    <x v="6"/>
    <s v="Cioccolatti Italiani"/>
    <s v="|63/03/11|"/>
    <n v="2736"/>
    <n v="2.35"/>
    <n v="3.94"/>
  </r>
  <r>
    <x v="0"/>
    <s v="Convenience stores"/>
    <x v="6"/>
    <s v="Cioccolatti Italiani"/>
    <s v="|63/03/12|"/>
    <n v="1428"/>
    <n v="2.68"/>
    <n v="3.68"/>
  </r>
  <r>
    <x v="0"/>
    <s v="Convenience stores"/>
    <x v="1"/>
    <s v="Mindi"/>
    <s v="|79/01/48|"/>
    <n v="456"/>
    <n v="6.6466666666666665"/>
    <n v="7.5666666666666664"/>
  </r>
  <r>
    <x v="0"/>
    <s v="Convenience stores"/>
    <x v="1"/>
    <s v="Mindi"/>
    <s v="|79/01/49|"/>
    <n v="564"/>
    <n v="6.4266666666666667"/>
    <n v="7.4"/>
  </r>
  <r>
    <x v="0"/>
    <s v="Convenience stores"/>
    <x v="1"/>
    <s v="Mindi"/>
    <s v="|79/01/79|"/>
    <n v="468"/>
    <n v="5.8666666666666663"/>
    <n v="8.4066666666666663"/>
  </r>
  <r>
    <x v="0"/>
    <s v="Convenience stores"/>
    <x v="7"/>
    <s v="Spani"/>
    <s v="|99/01/05|"/>
    <n v="780"/>
    <n v="2.73"/>
    <n v="3.49"/>
  </r>
  <r>
    <x v="0"/>
    <s v="Convenience stores"/>
    <x v="7"/>
    <s v="Spani"/>
    <s v="|99/01/06|"/>
    <n v="912"/>
    <n v="2.06"/>
    <n v="3.35"/>
  </r>
  <r>
    <x v="0"/>
    <s v="Convenience stores"/>
    <x v="6"/>
    <s v="Grom"/>
    <s v="|09/04/11|"/>
    <n v="1656"/>
    <n v="2.63"/>
    <n v="3.48"/>
  </r>
  <r>
    <x v="0"/>
    <s v="Convenience stores"/>
    <x v="6"/>
    <s v="Grom"/>
    <s v="|09/04/12|"/>
    <n v="1344"/>
    <n v="2.36"/>
    <n v="4"/>
  </r>
  <r>
    <x v="0"/>
    <s v="Convenience stores"/>
    <x v="6"/>
    <s v="Grom"/>
    <s v="|09/04/13|"/>
    <n v="1752"/>
    <n v="2.89"/>
    <n v="3.77"/>
  </r>
  <r>
    <x v="0"/>
    <s v="Convenience stores"/>
    <x v="6"/>
    <s v="Grom"/>
    <s v="|09/04/14|"/>
    <n v="2388"/>
    <n v="2.5299999999999998"/>
    <n v="3.56"/>
  </r>
  <r>
    <x v="0"/>
    <s v="Convenience stores"/>
    <x v="6"/>
    <s v="Grom"/>
    <s v="|09/04/15|"/>
    <n v="2628"/>
    <n v="2.66"/>
    <n v="3.98"/>
  </r>
  <r>
    <x v="0"/>
    <s v="Convenience stores"/>
    <x v="6"/>
    <s v="Rivareno"/>
    <s v="|99/06/01|"/>
    <n v="2064"/>
    <n v="2.78"/>
    <n v="3.62"/>
  </r>
  <r>
    <x v="0"/>
    <s v="Convenience stores"/>
    <x v="6"/>
    <s v="L'angolo vicino"/>
    <s v="|06/04/01|"/>
    <n v="1752"/>
    <n v="2.96"/>
    <n v="3.97"/>
  </r>
  <r>
    <x v="0"/>
    <s v="Convenience stores"/>
    <x v="6"/>
    <s v="L'angolo vicino"/>
    <s v="|06/04/03|"/>
    <n v="1260"/>
    <n v="2.57"/>
    <n v="3.69"/>
  </r>
  <r>
    <x v="0"/>
    <s v="Convenience stores"/>
    <x v="6"/>
    <s v="L'angolo vicino"/>
    <s v="|06/04/11|"/>
    <n v="1524"/>
    <n v="2.57"/>
    <n v="3.99"/>
  </r>
  <r>
    <x v="0"/>
    <s v="Convenience stores"/>
    <x v="6"/>
    <s v="L'angolo vicino"/>
    <s v="|06/04/12|"/>
    <n v="1356"/>
    <n v="2.62"/>
    <n v="3.93"/>
  </r>
  <r>
    <x v="0"/>
    <s v="Convenience stores"/>
    <x v="6"/>
    <s v="L'angolo vicino"/>
    <s v="|06/04/13|"/>
    <n v="2220"/>
    <n v="2.2999999999999998"/>
    <n v="3.91"/>
  </r>
  <r>
    <x v="0"/>
    <s v="Convenience stores"/>
    <x v="6"/>
    <s v="L'angolo vicino"/>
    <s v="|06/04/20|"/>
    <n v="1224"/>
    <n v="2.63"/>
    <n v="3.77"/>
  </r>
  <r>
    <x v="0"/>
    <s v="Convenience stores"/>
    <x v="6"/>
    <s v="Sadand"/>
    <s v="|07/07/01|"/>
    <n v="1968"/>
    <n v="2.3199999999999998"/>
    <n v="3.62"/>
  </r>
  <r>
    <x v="0"/>
    <s v="Convenience stores"/>
    <x v="6"/>
    <s v="Sadand"/>
    <s v="|07/07/02|"/>
    <n v="1980"/>
    <n v="2.65"/>
    <n v="3.44"/>
  </r>
  <r>
    <x v="0"/>
    <s v="Convenience stores"/>
    <x v="6"/>
    <s v="Sadand"/>
    <s v="|07/07/03|"/>
    <n v="1596"/>
    <n v="2.52"/>
    <n v="4"/>
  </r>
  <r>
    <x v="0"/>
    <s v="Convenience stores"/>
    <x v="6"/>
    <s v="Sadand"/>
    <s v="|07/07/04|"/>
    <n v="1644"/>
    <n v="3"/>
    <n v="3.5"/>
  </r>
  <r>
    <x v="0"/>
    <s v="Convenience stores"/>
    <x v="6"/>
    <s v="Sadand"/>
    <s v="|07/07/05|"/>
    <n v="1524"/>
    <n v="2.33"/>
    <n v="3.94"/>
  </r>
  <r>
    <x v="0"/>
    <s v="Convenience stores"/>
    <x v="6"/>
    <s v="Sadand"/>
    <s v="|07/07/06|"/>
    <n v="2664"/>
    <n v="2.61"/>
    <n v="3.98"/>
  </r>
  <r>
    <x v="0"/>
    <s v="Convenience stores"/>
    <x v="6"/>
    <s v="Sadand"/>
    <s v="|07/07/07|"/>
    <n v="2412"/>
    <n v="2.56"/>
    <n v="3.89"/>
  </r>
  <r>
    <x v="0"/>
    <s v="Convenience stores"/>
    <x v="6"/>
    <s v="Sadand"/>
    <s v="|07/07/08|"/>
    <n v="1584"/>
    <n v="2.69"/>
    <n v="3.67"/>
  </r>
  <r>
    <x v="0"/>
    <s v="Convenience stores"/>
    <x v="6"/>
    <s v="Sadand"/>
    <s v="|07/07/09|"/>
    <n v="1692"/>
    <n v="3"/>
    <n v="3.79"/>
  </r>
  <r>
    <x v="0"/>
    <s v="Convenience stores"/>
    <x v="6"/>
    <s v="Sadand"/>
    <s v="|07/07/10|"/>
    <n v="1404"/>
    <n v="2.34"/>
    <n v="3.72"/>
  </r>
  <r>
    <x v="0"/>
    <s v="Convenience stores"/>
    <x v="3"/>
    <s v="Heineken"/>
    <s v="|33/01/01|"/>
    <n v="108"/>
    <n v="1.2"/>
    <n v="1.37"/>
  </r>
  <r>
    <x v="0"/>
    <s v="Convenience stores"/>
    <x v="3"/>
    <s v="Heineken"/>
    <s v="|33/01/02|"/>
    <n v="144"/>
    <n v="1.05"/>
    <n v="1.26"/>
  </r>
  <r>
    <x v="0"/>
    <s v="Convenience stores"/>
    <x v="3"/>
    <s v="Heineken"/>
    <s v="|33/01/03|"/>
    <n v="96"/>
    <n v="1.19"/>
    <n v="1.38"/>
  </r>
  <r>
    <x v="0"/>
    <s v="Convenience stores"/>
    <x v="3"/>
    <s v="Heineken"/>
    <s v="|33/01/04|"/>
    <n v="96"/>
    <n v="1.05"/>
    <n v="1.29"/>
  </r>
  <r>
    <x v="0"/>
    <s v="Convenience stores"/>
    <x v="3"/>
    <s v="Heineken"/>
    <s v="|33/01/05|"/>
    <n v="108"/>
    <n v="1.1299999999999999"/>
    <n v="1.29"/>
  </r>
  <r>
    <x v="0"/>
    <s v="Convenience stores"/>
    <x v="3"/>
    <s v="Heineken"/>
    <s v="|33/01/06|"/>
    <n v="108"/>
    <n v="1.18"/>
    <n v="1.32"/>
  </r>
  <r>
    <x v="0"/>
    <s v="Convenience stores"/>
    <x v="3"/>
    <s v="Heineken"/>
    <s v="|33/01/07|"/>
    <n v="120"/>
    <n v="1.08"/>
    <n v="1.23"/>
  </r>
  <r>
    <x v="0"/>
    <s v="Convenience stores"/>
    <x v="3"/>
    <s v="Heineken"/>
    <s v="|33/01/08|"/>
    <n v="120"/>
    <n v="1.04"/>
    <n v="1.35"/>
  </r>
  <r>
    <x v="0"/>
    <s v="Convenience stores"/>
    <x v="3"/>
    <s v="Heineken"/>
    <s v="|33/01/09|"/>
    <n v="72"/>
    <n v="1.0900000000000001"/>
    <n v="1.3"/>
  </r>
  <r>
    <x v="0"/>
    <s v="Convenience stores"/>
    <x v="3"/>
    <s v="Heineken"/>
    <s v="|33/01/10|"/>
    <n v="60"/>
    <n v="1.1499999999999999"/>
    <n v="1.36"/>
  </r>
  <r>
    <x v="0"/>
    <s v="Convenience stores"/>
    <x v="3"/>
    <s v="Heineken"/>
    <s v="|33/01/11|"/>
    <n v="48"/>
    <n v="1.1599999999999999"/>
    <n v="1.2"/>
  </r>
  <r>
    <x v="0"/>
    <s v="Convenience stores"/>
    <x v="3"/>
    <s v="Heineken"/>
    <s v="|33/01/12|"/>
    <n v="84"/>
    <n v="1.03"/>
    <n v="1.26"/>
  </r>
  <r>
    <x v="0"/>
    <s v="Convenience stores"/>
    <x v="3"/>
    <s v="Heineken"/>
    <s v="|33/01/13|"/>
    <n v="84"/>
    <n v="1.0900000000000001"/>
    <n v="1.3"/>
  </r>
  <r>
    <x v="0"/>
    <s v="Convenience stores"/>
    <x v="3"/>
    <s v="Heineken"/>
    <s v="|33/01/14|"/>
    <n v="120"/>
    <n v="1.19"/>
    <n v="1.21"/>
  </r>
  <r>
    <x v="0"/>
    <s v="Convenience stores"/>
    <x v="3"/>
    <s v="Heineken"/>
    <s v="|33/01/15|"/>
    <n v="48"/>
    <n v="1.01"/>
    <n v="1.22"/>
  </r>
  <r>
    <x v="0"/>
    <s v="Convenience stores"/>
    <x v="3"/>
    <s v="Heineken"/>
    <s v="|33/01/16|"/>
    <n v="168"/>
    <n v="1.1100000000000001"/>
    <n v="1.33"/>
  </r>
  <r>
    <x v="0"/>
    <s v="Convenience stores"/>
    <x v="3"/>
    <s v="Heineken"/>
    <s v="|33/01/17|"/>
    <n v="144"/>
    <n v="1"/>
    <n v="1.34"/>
  </r>
  <r>
    <x v="0"/>
    <s v="Convenience stores"/>
    <x v="3"/>
    <s v="Heineken"/>
    <s v="|33/01/18|"/>
    <n v="144"/>
    <n v="1.19"/>
    <n v="1.34"/>
  </r>
  <r>
    <x v="0"/>
    <s v="Convenience stores"/>
    <x v="3"/>
    <s v="Heineken"/>
    <s v="|33/01/19|"/>
    <n v="156"/>
    <n v="1.0900000000000001"/>
    <n v="1.31"/>
  </r>
  <r>
    <x v="0"/>
    <s v="Convenience stores"/>
    <x v="3"/>
    <s v="Heineken"/>
    <s v="|33/01/20|"/>
    <n v="120"/>
    <n v="1"/>
    <n v="1.27"/>
  </r>
  <r>
    <x v="0"/>
    <s v="Convenience stores"/>
    <x v="3"/>
    <s v="Heineken"/>
    <s v="|33/01/21|"/>
    <n v="108"/>
    <n v="1.1000000000000001"/>
    <n v="1.33"/>
  </r>
  <r>
    <x v="0"/>
    <s v="Convenience stores"/>
    <x v="3"/>
    <s v="Heineken"/>
    <s v="|33/01/22|"/>
    <n v="108"/>
    <n v="1.1499999999999999"/>
    <n v="1.37"/>
  </r>
  <r>
    <x v="0"/>
    <s v="Convenience stores"/>
    <x v="3"/>
    <s v="Heineken"/>
    <s v="|33/01/23|"/>
    <n v="108"/>
    <n v="1.0900000000000001"/>
    <n v="1.37"/>
  </r>
  <r>
    <x v="0"/>
    <s v="Convenience stores"/>
    <x v="3"/>
    <s v="Heineken"/>
    <s v="|33/01/24|"/>
    <n v="168"/>
    <n v="1.0900000000000001"/>
    <n v="1.23"/>
  </r>
  <r>
    <x v="0"/>
    <s v="Convenience stores"/>
    <x v="3"/>
    <s v="Heineken"/>
    <s v="|33/01/25|"/>
    <n v="144"/>
    <n v="1.05"/>
    <n v="1.3"/>
  </r>
  <r>
    <x v="0"/>
    <s v="Convenience stores"/>
    <x v="3"/>
    <s v="Heineken"/>
    <s v="|33/01/26|"/>
    <n v="108"/>
    <n v="1.1599999999999999"/>
    <n v="1.3"/>
  </r>
  <r>
    <x v="0"/>
    <s v="Convenience stores"/>
    <x v="3"/>
    <s v="Heineken"/>
    <s v="|33/01/30|"/>
    <n v="168"/>
    <n v="1.19"/>
    <n v="1.28"/>
  </r>
  <r>
    <x v="0"/>
    <s v="Convenience stores"/>
    <x v="3"/>
    <s v="Heineken"/>
    <s v="|33/01/31|"/>
    <n v="132"/>
    <n v="1.08"/>
    <n v="1.4"/>
  </r>
  <r>
    <x v="0"/>
    <s v="Convenience stores"/>
    <x v="3"/>
    <s v="Heineken"/>
    <s v="|33/01/32|"/>
    <n v="132"/>
    <n v="1.17"/>
    <n v="1.23"/>
  </r>
  <r>
    <x v="0"/>
    <s v="Convenience stores"/>
    <x v="3"/>
    <s v="Heineken"/>
    <s v="|33/01/33|"/>
    <n v="132"/>
    <n v="1.0900000000000001"/>
    <n v="1.21"/>
  </r>
  <r>
    <x v="0"/>
    <s v="Convenience stores"/>
    <x v="3"/>
    <s v="Heineken"/>
    <s v="|33/01/40|"/>
    <n v="48"/>
    <n v="1.1499999999999999"/>
    <n v="1.36"/>
  </r>
  <r>
    <x v="0"/>
    <s v="Convenience stores"/>
    <x v="3"/>
    <s v="Heineken"/>
    <s v="|33/01/41|"/>
    <n v="96"/>
    <n v="1.02"/>
    <n v="1.32"/>
  </r>
  <r>
    <x v="0"/>
    <s v="Convenience stores"/>
    <x v="3"/>
    <s v="Heineken"/>
    <s v="|33/01/42|"/>
    <n v="156"/>
    <n v="1.18"/>
    <n v="1.23"/>
  </r>
  <r>
    <x v="0"/>
    <s v="Convenience stores"/>
    <x v="3"/>
    <s v="Heineken"/>
    <s v="|33/01/43|"/>
    <n v="108"/>
    <n v="1.17"/>
    <n v="1.25"/>
  </r>
  <r>
    <x v="0"/>
    <s v="Convenience stores"/>
    <x v="3"/>
    <s v="Heineken"/>
    <s v="|33/01/44|"/>
    <n v="108"/>
    <n v="1.1399999999999999"/>
    <n v="1.3"/>
  </r>
  <r>
    <x v="0"/>
    <s v="Convenience stores"/>
    <x v="3"/>
    <s v="Heineken"/>
    <s v="|33/01/45|"/>
    <n v="132"/>
    <n v="1.01"/>
    <n v="1.27"/>
  </r>
  <r>
    <x v="0"/>
    <s v="Convenience stores"/>
    <x v="3"/>
    <s v="Heineken"/>
    <s v="|33/01/46|"/>
    <n v="48"/>
    <n v="1.05"/>
    <n v="1.25"/>
  </r>
  <r>
    <x v="0"/>
    <s v="Convenience stores"/>
    <x v="3"/>
    <s v="Heineken"/>
    <s v="|33/01/47|"/>
    <n v="60"/>
    <n v="1.06"/>
    <n v="1.27"/>
  </r>
  <r>
    <x v="0"/>
    <s v="Convenience stores"/>
    <x v="3"/>
    <s v="Heineken"/>
    <s v="|33/01/48|"/>
    <n v="48"/>
    <n v="1.1499999999999999"/>
    <n v="1.36"/>
  </r>
  <r>
    <x v="0"/>
    <s v="Convenience stores"/>
    <x v="3"/>
    <s v="Heineken"/>
    <s v="|33/01/49|"/>
    <n v="144"/>
    <n v="1"/>
    <n v="1.36"/>
  </r>
  <r>
    <x v="0"/>
    <s v="Convenience stores"/>
    <x v="3"/>
    <s v="Heineken"/>
    <s v="|33/01/50|"/>
    <n v="96"/>
    <n v="1.07"/>
    <n v="1.38"/>
  </r>
  <r>
    <x v="0"/>
    <s v="Convenience stores"/>
    <x v="3"/>
    <s v="Heineken"/>
    <s v="|33/01/51|"/>
    <n v="168"/>
    <n v="1.18"/>
    <n v="1.23"/>
  </r>
  <r>
    <x v="0"/>
    <s v="Convenience stores"/>
    <x v="3"/>
    <s v="Heineken"/>
    <s v="|33/01/52|"/>
    <n v="60"/>
    <n v="1.1100000000000001"/>
    <n v="1.2"/>
  </r>
  <r>
    <x v="0"/>
    <s v="Convenience stores"/>
    <x v="3"/>
    <s v="Heineken"/>
    <s v="|33/01/60|"/>
    <n v="48"/>
    <n v="1.08"/>
    <n v="1.27"/>
  </r>
  <r>
    <x v="0"/>
    <s v="Convenience stores"/>
    <x v="3"/>
    <s v="Heineken"/>
    <s v="|33/01/61|"/>
    <n v="120"/>
    <n v="1.08"/>
    <n v="1.25"/>
  </r>
  <r>
    <x v="0"/>
    <s v="Convenience stores"/>
    <x v="3"/>
    <s v="Heineken"/>
    <s v="|33/01/62|"/>
    <n v="48"/>
    <n v="1.1399999999999999"/>
    <n v="1.35"/>
  </r>
  <r>
    <x v="0"/>
    <s v="Convenience stores"/>
    <x v="3"/>
    <s v="Heineken"/>
    <s v="|33/01/63|"/>
    <n v="60"/>
    <n v="1.1299999999999999"/>
    <n v="1.37"/>
  </r>
  <r>
    <x v="0"/>
    <s v="Convenience stores"/>
    <x v="3"/>
    <s v="Heineken"/>
    <s v="|33/01/64|"/>
    <n v="156"/>
    <n v="1.06"/>
    <n v="1.21"/>
  </r>
  <r>
    <x v="0"/>
    <s v="Convenience stores"/>
    <x v="3"/>
    <s v="Heineken"/>
    <s v="|33/10/01|"/>
    <n v="168"/>
    <n v="1.18"/>
    <n v="1.39"/>
  </r>
  <r>
    <x v="0"/>
    <s v="Convenience stores"/>
    <x v="3"/>
    <s v="Heineken"/>
    <s v="|33/99/91|"/>
    <n v="132"/>
    <n v="1.1299999999999999"/>
    <n v="1.39"/>
  </r>
  <r>
    <x v="0"/>
    <s v="Convenience stores"/>
    <x v="3"/>
    <s v="Heineken"/>
    <s v="|33/99/92|"/>
    <n v="60"/>
    <n v="1.04"/>
    <n v="1.28"/>
  </r>
  <r>
    <x v="0"/>
    <s v="Convenience stores"/>
    <x v="3"/>
    <s v="Heineken"/>
    <s v="|33/99/93|"/>
    <n v="96"/>
    <n v="1.1200000000000001"/>
    <n v="1.32"/>
  </r>
  <r>
    <x v="0"/>
    <s v="Convenience stores"/>
    <x v="3"/>
    <s v="Heineken"/>
    <s v="|33/99/94|"/>
    <n v="120"/>
    <n v="1.18"/>
    <n v="1.36"/>
  </r>
  <r>
    <x v="0"/>
    <s v="Convenience stores"/>
    <x v="3"/>
    <s v="Heineken"/>
    <s v="|33/99/95|"/>
    <n v="96"/>
    <n v="1.03"/>
    <n v="1.21"/>
  </r>
  <r>
    <x v="0"/>
    <s v="Convenience stores"/>
    <x v="3"/>
    <s v="Heineken"/>
    <s v="|33/99/96|"/>
    <n v="120"/>
    <n v="1.1000000000000001"/>
    <n v="1.34"/>
  </r>
  <r>
    <x v="0"/>
    <s v="Convenience stores"/>
    <x v="3"/>
    <s v="Heineken"/>
    <s v="|33/99/98|"/>
    <n v="168"/>
    <n v="1.05"/>
    <n v="1.36"/>
  </r>
  <r>
    <x v="0"/>
    <s v="Convenience stores"/>
    <x v="3"/>
    <s v="Heineken"/>
    <s v="|33/99/99|"/>
    <n v="84"/>
    <n v="1.1599999999999999"/>
    <n v="1.26"/>
  </r>
  <r>
    <x v="0"/>
    <s v="Convenience stores"/>
    <x v="3"/>
    <s v="Tuborg"/>
    <s v="|33/99/97|"/>
    <n v="60"/>
    <n v="1.0900000000000001"/>
    <n v="1.33"/>
  </r>
  <r>
    <x v="0"/>
    <s v="Convenience stores"/>
    <x v="3"/>
    <s v="Tuborg"/>
    <s v="|97/01/01|"/>
    <n v="72"/>
    <n v="1"/>
    <n v="1.22"/>
  </r>
  <r>
    <x v="0"/>
    <s v="Convenience stores"/>
    <x v="3"/>
    <s v="Tuborg"/>
    <s v="|97/01/02|"/>
    <n v="96"/>
    <n v="1.0900000000000001"/>
    <n v="1.31"/>
  </r>
  <r>
    <x v="0"/>
    <s v="Convenience stores"/>
    <x v="3"/>
    <s v="Tuborg"/>
    <s v="|97/01/03|"/>
    <n v="96"/>
    <n v="1.19"/>
    <n v="1.26"/>
  </r>
  <r>
    <x v="0"/>
    <s v="Convenience stores"/>
    <x v="3"/>
    <s v="Tuborg"/>
    <s v="|97/02/01|"/>
    <n v="60"/>
    <n v="1.07"/>
    <n v="1.23"/>
  </r>
  <r>
    <x v="0"/>
    <s v="Convenience stores"/>
    <x v="3"/>
    <s v="Tuborg"/>
    <s v="|97/02/02|"/>
    <n v="84"/>
    <n v="1.08"/>
    <n v="1.25"/>
  </r>
  <r>
    <x v="0"/>
    <s v="Convenience stores"/>
    <x v="3"/>
    <s v="Tuborg"/>
    <s v="|97/02/03|"/>
    <n v="156"/>
    <n v="1.01"/>
    <n v="1.32"/>
  </r>
  <r>
    <x v="0"/>
    <s v="Convenience stores"/>
    <x v="3"/>
    <s v="Tuborg"/>
    <s v="|97/02/05|"/>
    <n v="72"/>
    <n v="1.1499999999999999"/>
    <n v="1.29"/>
  </r>
  <r>
    <x v="0"/>
    <s v="Convenience stores"/>
    <x v="6"/>
    <s v="Optima"/>
    <s v="|64/01/01|"/>
    <n v="2256"/>
    <n v="2.4900000000000002"/>
    <n v="3.85"/>
  </r>
  <r>
    <x v="0"/>
    <s v="Convenience stores"/>
    <x v="6"/>
    <s v="Optima"/>
    <s v="|64/01/02|"/>
    <n v="2088"/>
    <n v="2.99"/>
    <n v="3.62"/>
  </r>
  <r>
    <x v="0"/>
    <s v="Convenience stores"/>
    <x v="6"/>
    <s v="Optima"/>
    <s v="|64/02/01|"/>
    <n v="1584"/>
    <n v="2.97"/>
    <n v="3.39"/>
  </r>
  <r>
    <x v="0"/>
    <s v="Convenience stores"/>
    <x v="6"/>
    <s v="Optima"/>
    <s v="|64/02/02|"/>
    <n v="2088"/>
    <n v="2.8"/>
    <n v="3.35"/>
  </r>
  <r>
    <x v="0"/>
    <s v="Convenience stores"/>
    <x v="6"/>
    <s v="Optima"/>
    <s v="|64/02/03|"/>
    <n v="2664"/>
    <n v="2.76"/>
    <n v="3.51"/>
  </r>
  <r>
    <x v="0"/>
    <s v="Convenience stores"/>
    <x v="6"/>
    <s v="Optima"/>
    <s v="|64/02/04|"/>
    <n v="2712"/>
    <n v="2.77"/>
    <n v="3.51"/>
  </r>
  <r>
    <x v="0"/>
    <s v="Convenience stores"/>
    <x v="6"/>
    <s v="Optima"/>
    <s v="|64/02/05|"/>
    <n v="1896"/>
    <n v="2.61"/>
    <n v="3.67"/>
  </r>
  <r>
    <x v="0"/>
    <s v="Convenience stores"/>
    <x v="4"/>
    <s v="Genco"/>
    <s v="|20/10/02|"/>
    <n v="588"/>
    <n v="4.63"/>
    <n v="5.12"/>
  </r>
  <r>
    <x v="0"/>
    <s v="Convenience stores"/>
    <x v="4"/>
    <s v="Genco"/>
    <s v="|20/10/03|"/>
    <n v="348"/>
    <n v="4.6500000000000004"/>
    <n v="5.28"/>
  </r>
  <r>
    <x v="0"/>
    <s v="Convenience stores"/>
    <x v="4"/>
    <s v="Genco"/>
    <s v="|20/10/04|"/>
    <n v="408"/>
    <n v="4.8899999999999997"/>
    <n v="5.01"/>
  </r>
  <r>
    <x v="0"/>
    <s v="Convenience stores"/>
    <x v="4"/>
    <s v="Genco"/>
    <s v="|20/10/05|"/>
    <n v="276"/>
    <n v="4.82"/>
    <n v="5.05"/>
  </r>
  <r>
    <x v="0"/>
    <s v="Convenience stores"/>
    <x v="4"/>
    <s v="Genco"/>
    <s v="|20/10/06|"/>
    <n v="624"/>
    <n v="4.37"/>
    <n v="5.09"/>
  </r>
  <r>
    <x v="0"/>
    <s v="Convenience stores"/>
    <x v="4"/>
    <s v="Genco"/>
    <s v="|20/10/07|"/>
    <n v="720"/>
    <n v="4.63"/>
    <n v="5.25"/>
  </r>
  <r>
    <x v="0"/>
    <s v="Convenience stores"/>
    <x v="4"/>
    <s v="Genco"/>
    <s v="|20/10/08|"/>
    <n v="492"/>
    <n v="4.9000000000000004"/>
    <n v="5.09"/>
  </r>
  <r>
    <x v="0"/>
    <s v="Convenience stores"/>
    <x v="4"/>
    <s v="Genco"/>
    <s v="|20/10/09|"/>
    <n v="504"/>
    <n v="4.43"/>
    <n v="5.29"/>
  </r>
  <r>
    <x v="0"/>
    <s v="Convenience stores"/>
    <x v="4"/>
    <s v="Genco"/>
    <s v="|20/10/10|"/>
    <n v="492"/>
    <n v="4.49"/>
    <n v="5.34"/>
  </r>
  <r>
    <x v="0"/>
    <s v="Convenience stores"/>
    <x v="4"/>
    <s v="Genco"/>
    <s v="|20/10/11|"/>
    <n v="456"/>
    <n v="4.87"/>
    <n v="5.15"/>
  </r>
  <r>
    <x v="0"/>
    <s v="Convenience stores"/>
    <x v="4"/>
    <s v="Genco"/>
    <s v="|20/10/12|"/>
    <n v="624"/>
    <n v="4.58"/>
    <n v="5.4"/>
  </r>
  <r>
    <x v="0"/>
    <s v="Convenience stores"/>
    <x v="4"/>
    <s v="Genco"/>
    <s v="|20/13/01|"/>
    <n v="648"/>
    <n v="4.28"/>
    <n v="5.13"/>
  </r>
  <r>
    <x v="0"/>
    <s v="Convenience stores"/>
    <x v="4"/>
    <s v="Genco"/>
    <s v="|20/13/02|"/>
    <n v="276"/>
    <n v="4.09"/>
    <n v="5.16"/>
  </r>
  <r>
    <x v="0"/>
    <s v="Convenience stores"/>
    <x v="4"/>
    <s v="Genco"/>
    <s v="|20/13/03|"/>
    <n v="684"/>
    <n v="4.8600000000000003"/>
    <n v="5.22"/>
  </r>
  <r>
    <x v="0"/>
    <s v="Convenience stores"/>
    <x v="4"/>
    <s v="Genco"/>
    <s v="|20/13/04|"/>
    <n v="612"/>
    <n v="4.3899999999999997"/>
    <n v="5.4"/>
  </r>
  <r>
    <x v="0"/>
    <s v="Convenience stores"/>
    <x v="4"/>
    <s v="Genco"/>
    <s v="|20/13/05|"/>
    <n v="312"/>
    <n v="4.79"/>
    <n v="5.19"/>
  </r>
  <r>
    <x v="0"/>
    <s v="Convenience stores"/>
    <x v="4"/>
    <s v="Genco"/>
    <s v="|20/13/06|"/>
    <n v="252"/>
    <n v="4.05"/>
    <n v="5.22"/>
  </r>
  <r>
    <x v="0"/>
    <s v="Convenience stores"/>
    <x v="4"/>
    <s v="Genco"/>
    <s v="|20/13/07|"/>
    <n v="600"/>
    <n v="4.55"/>
    <n v="5.33"/>
  </r>
  <r>
    <x v="0"/>
    <s v="Convenience stores"/>
    <x v="4"/>
    <s v="Genco"/>
    <s v="|20/13/08|"/>
    <n v="360"/>
    <n v="4.0199999999999996"/>
    <n v="5.34"/>
  </r>
  <r>
    <x v="0"/>
    <s v="Convenience stores"/>
    <x v="4"/>
    <s v="Genco"/>
    <s v="|20/13/09|"/>
    <n v="420"/>
    <n v="4.66"/>
    <n v="5.37"/>
  </r>
  <r>
    <x v="0"/>
    <s v="Convenience stores"/>
    <x v="4"/>
    <s v="Genco"/>
    <s v="|20/13/10|"/>
    <n v="276"/>
    <n v="4.4800000000000004"/>
    <n v="5.38"/>
  </r>
  <r>
    <x v="0"/>
    <s v="Convenience stores"/>
    <x v="4"/>
    <s v="Genco"/>
    <s v="|20/13/11|"/>
    <n v="456"/>
    <n v="4.3499999999999996"/>
    <n v="5.19"/>
  </r>
  <r>
    <x v="0"/>
    <s v="Convenience stores"/>
    <x v="4"/>
    <s v="Genco"/>
    <s v="|20/13/12|"/>
    <n v="408"/>
    <n v="4.6100000000000003"/>
    <n v="5.2"/>
  </r>
  <r>
    <x v="0"/>
    <s v="Convenience stores"/>
    <x v="4"/>
    <s v="Genco"/>
    <s v="|20/13/13|"/>
    <n v="444"/>
    <n v="4.21"/>
    <n v="5.0199999999999996"/>
  </r>
  <r>
    <x v="0"/>
    <s v="Convenience stores"/>
    <x v="4"/>
    <s v="Genco"/>
    <s v="|20/13/14|"/>
    <n v="540"/>
    <n v="4.75"/>
    <n v="5.18"/>
  </r>
  <r>
    <x v="0"/>
    <s v="Convenience stores"/>
    <x v="4"/>
    <s v="Genco"/>
    <s v="|20/13/15|"/>
    <n v="252"/>
    <n v="4.3"/>
    <n v="5.08"/>
  </r>
  <r>
    <x v="0"/>
    <s v="Convenience stores"/>
    <x v="4"/>
    <s v="Genco"/>
    <s v="|20/13/16|"/>
    <n v="276"/>
    <n v="4.84"/>
    <n v="5.27"/>
  </r>
  <r>
    <x v="0"/>
    <s v="Convenience stores"/>
    <x v="4"/>
    <s v="Genco"/>
    <s v="|20/13/17|"/>
    <n v="468"/>
    <n v="4.4400000000000004"/>
    <n v="5.36"/>
  </r>
  <r>
    <x v="0"/>
    <s v="Convenience stores"/>
    <x v="4"/>
    <s v="Genco"/>
    <s v="|20/13/18|"/>
    <n v="408"/>
    <n v="4.8099999999999996"/>
    <n v="5.1100000000000003"/>
  </r>
  <r>
    <x v="0"/>
    <s v="Convenience stores"/>
    <x v="4"/>
    <s v="Genco"/>
    <s v="|20/13/19|"/>
    <n v="360"/>
    <n v="4.88"/>
    <n v="5.0599999999999996"/>
  </r>
  <r>
    <x v="0"/>
    <s v="Convenience stores"/>
    <x v="4"/>
    <s v="Genco"/>
    <s v="|20/13/20|"/>
    <n v="276"/>
    <n v="4.2300000000000004"/>
    <n v="5.22"/>
  </r>
  <r>
    <x v="0"/>
    <s v="Convenience stores"/>
    <x v="4"/>
    <s v="Genco"/>
    <s v="|20/13/21|"/>
    <n v="720"/>
    <n v="4.6500000000000004"/>
    <n v="5.0599999999999996"/>
  </r>
  <r>
    <x v="0"/>
    <s v="Convenience stores"/>
    <x v="4"/>
    <s v="Genco"/>
    <s v="|20/13/22|"/>
    <n v="600"/>
    <n v="4.5"/>
    <n v="5.15"/>
  </r>
  <r>
    <x v="0"/>
    <s v="Convenience stores"/>
    <x v="4"/>
    <s v="Genco"/>
    <s v="|20/13/23|"/>
    <n v="336"/>
    <n v="4.66"/>
    <n v="5.27"/>
  </r>
  <r>
    <x v="0"/>
    <s v="Convenience stores"/>
    <x v="4"/>
    <s v="Genco"/>
    <s v="|20/13/24|"/>
    <n v="384"/>
    <n v="4.01"/>
    <n v="5.22"/>
  </r>
  <r>
    <x v="0"/>
    <s v="Convenience stores"/>
    <x v="4"/>
    <s v="Genco"/>
    <s v="|20/13/28|"/>
    <n v="348"/>
    <n v="4.24"/>
    <n v="5.16"/>
  </r>
  <r>
    <x v="0"/>
    <s v="Convenience stores"/>
    <x v="4"/>
    <s v="Genco"/>
    <s v="|20/13/29|"/>
    <n v="564"/>
    <n v="4.6399999999999997"/>
    <n v="5.31"/>
  </r>
  <r>
    <x v="0"/>
    <s v="Convenience stores"/>
    <x v="4"/>
    <s v="Genco"/>
    <s v="|20/13/30|"/>
    <n v="348"/>
    <n v="4.47"/>
    <n v="5.4"/>
  </r>
  <r>
    <x v="0"/>
    <s v="Convenience stores"/>
    <x v="4"/>
    <s v="Genco"/>
    <s v="|20/13/31|"/>
    <n v="408"/>
    <n v="4.2699999999999996"/>
    <n v="5.16"/>
  </r>
  <r>
    <x v="0"/>
    <s v="Convenience stores"/>
    <x v="4"/>
    <s v="Genco"/>
    <s v="|20/13/32|"/>
    <n v="648"/>
    <n v="4.53"/>
    <n v="5.04"/>
  </r>
  <r>
    <x v="0"/>
    <s v="Convenience stores"/>
    <x v="4"/>
    <s v="Genco"/>
    <s v="|20/13/33|"/>
    <n v="312"/>
    <n v="4.3"/>
    <n v="5.1100000000000003"/>
  </r>
  <r>
    <x v="0"/>
    <s v="Convenience stores"/>
    <x v="4"/>
    <s v="Genco"/>
    <s v="|20/13/34|"/>
    <n v="264"/>
    <n v="4.46"/>
    <n v="5.01"/>
  </r>
  <r>
    <x v="0"/>
    <s v="Convenience stores"/>
    <x v="4"/>
    <s v="Genco"/>
    <s v="|20/13/35|"/>
    <n v="240"/>
    <n v="4.2699999999999996"/>
    <n v="5.21"/>
  </r>
  <r>
    <x v="0"/>
    <s v="Convenience stores"/>
    <x v="4"/>
    <s v="Genco"/>
    <s v="|20/13/36|"/>
    <n v="516"/>
    <n v="4.99"/>
    <n v="5.22"/>
  </r>
  <r>
    <x v="0"/>
    <s v="Convenience stores"/>
    <x v="4"/>
    <s v="Genco"/>
    <s v="|20/13/37|"/>
    <n v="468"/>
    <n v="4.25"/>
    <n v="5.05"/>
  </r>
  <r>
    <x v="0"/>
    <s v="Convenience stores"/>
    <x v="4"/>
    <s v="Genco"/>
    <s v="|20/13/38|"/>
    <n v="372"/>
    <n v="4.3"/>
    <n v="5.0199999999999996"/>
  </r>
  <r>
    <x v="0"/>
    <s v="Convenience stores"/>
    <x v="4"/>
    <s v="Genco"/>
    <s v="|20/13/39|"/>
    <n v="708"/>
    <n v="4.18"/>
    <n v="5.2"/>
  </r>
  <r>
    <x v="0"/>
    <s v="Convenience stores"/>
    <x v="4"/>
    <s v="Genco"/>
    <s v="|20/13/40|"/>
    <n v="684"/>
    <n v="4.4400000000000004"/>
    <n v="5.14"/>
  </r>
  <r>
    <x v="0"/>
    <s v="Convenience stores"/>
    <x v="4"/>
    <s v="Genco"/>
    <s v="|20/13/42|"/>
    <n v="660"/>
    <n v="4.47"/>
    <n v="5.33"/>
  </r>
  <r>
    <x v="0"/>
    <s v="Convenience stores"/>
    <x v="4"/>
    <s v="Genco"/>
    <s v="|20/13/43|"/>
    <n v="336"/>
    <n v="4.4000000000000004"/>
    <n v="5.33"/>
  </r>
  <r>
    <x v="0"/>
    <s v="Convenience stores"/>
    <x v="4"/>
    <s v="Genco"/>
    <s v="|20/13/44|"/>
    <n v="456"/>
    <n v="4.2699999999999996"/>
    <n v="5.01"/>
  </r>
  <r>
    <x v="0"/>
    <s v="Convenience stores"/>
    <x v="4"/>
    <s v="Genco"/>
    <s v="|20/13/45|"/>
    <n v="300"/>
    <n v="4.26"/>
    <n v="5.33"/>
  </r>
  <r>
    <x v="0"/>
    <s v="Convenience stores"/>
    <x v="4"/>
    <s v="Genco"/>
    <s v="|20/13/46|"/>
    <n v="312"/>
    <n v="4.43"/>
    <n v="5.3"/>
  </r>
  <r>
    <x v="0"/>
    <s v="Convenience stores"/>
    <x v="4"/>
    <s v="Genco"/>
    <s v="|20/13/47|"/>
    <n v="552"/>
    <n v="4"/>
    <n v="5.01"/>
  </r>
  <r>
    <x v="0"/>
    <s v="Convenience stores"/>
    <x v="4"/>
    <s v="Genco"/>
    <s v="|20/13/48|"/>
    <n v="612"/>
    <n v="4.91"/>
    <n v="5.33"/>
  </r>
  <r>
    <x v="0"/>
    <s v="Convenience stores"/>
    <x v="4"/>
    <s v="Genco"/>
    <s v="|20/13/49*|"/>
    <n v="696"/>
    <n v="4.0199999999999996"/>
    <n v="5.35"/>
  </r>
  <r>
    <x v="0"/>
    <s v="Convenience stores"/>
    <x v="3"/>
    <s v="Genco"/>
    <s v="|20/14/01|"/>
    <n v="132"/>
    <n v="1.1000000000000001"/>
    <n v="1.31"/>
  </r>
  <r>
    <x v="0"/>
    <s v="Convenience stores"/>
    <x v="3"/>
    <s v="Genco"/>
    <s v="|20/14/02|"/>
    <n v="120"/>
    <n v="1.1399999999999999"/>
    <n v="1.22"/>
  </r>
  <r>
    <x v="0"/>
    <s v="Convenience stores"/>
    <x v="3"/>
    <s v="Genco"/>
    <s v="|20/14/03|"/>
    <n v="48"/>
    <n v="1.19"/>
    <n v="1.4"/>
  </r>
  <r>
    <x v="0"/>
    <s v="Convenience stores"/>
    <x v="3"/>
    <s v="Genco"/>
    <s v="|20/14/04|"/>
    <n v="108"/>
    <n v="1.19"/>
    <n v="1.33"/>
  </r>
  <r>
    <x v="0"/>
    <s v="Convenience stores"/>
    <x v="3"/>
    <s v="Genco"/>
    <s v="|20/14/05|"/>
    <n v="144"/>
    <n v="1.1399999999999999"/>
    <n v="1.31"/>
  </r>
  <r>
    <x v="0"/>
    <s v="Convenience stores"/>
    <x v="3"/>
    <s v="Genco"/>
    <s v="|20/14/06|"/>
    <n v="84"/>
    <n v="1"/>
    <n v="1.35"/>
  </r>
  <r>
    <x v="0"/>
    <s v="Convenience stores"/>
    <x v="3"/>
    <s v="Genco"/>
    <s v="|20/14/08|"/>
    <n v="168"/>
    <n v="1"/>
    <n v="1.28"/>
  </r>
  <r>
    <x v="0"/>
    <s v="Convenience stores"/>
    <x v="3"/>
    <s v="Genco"/>
    <s v="|20/17/01|"/>
    <n v="108"/>
    <n v="1.1399999999999999"/>
    <n v="1.38"/>
  </r>
  <r>
    <x v="0"/>
    <s v="Convenience stores"/>
    <x v="3"/>
    <s v="Genco"/>
    <s v="|20/17/02|"/>
    <n v="168"/>
    <n v="1.04"/>
    <n v="1.25"/>
  </r>
  <r>
    <x v="0"/>
    <s v="Convenience stores"/>
    <x v="3"/>
    <s v="Genco"/>
    <s v="|20/17/03|"/>
    <n v="72"/>
    <n v="1.18"/>
    <n v="1.33"/>
  </r>
  <r>
    <x v="0"/>
    <s v="Convenience stores"/>
    <x v="3"/>
    <s v="Genco"/>
    <s v="|20/99/91|"/>
    <n v="168"/>
    <n v="1.2"/>
    <n v="1.23"/>
  </r>
  <r>
    <x v="0"/>
    <s v="Convenience stores"/>
    <x v="6"/>
    <s v="Brembo"/>
    <s v="|46/01/01|"/>
    <n v="2220"/>
    <n v="2.4"/>
    <n v="3.94"/>
  </r>
  <r>
    <x v="0"/>
    <s v="Convenience stores"/>
    <x v="6"/>
    <s v="Brembo"/>
    <s v="|46/01/02|"/>
    <n v="1500"/>
    <n v="2.62"/>
    <n v="3.42"/>
  </r>
  <r>
    <x v="0"/>
    <s v="Convenience stores"/>
    <x v="6"/>
    <s v="Brembo"/>
    <s v="|46/01/03|"/>
    <n v="2160"/>
    <n v="2.9"/>
    <n v="3.34"/>
  </r>
  <r>
    <x v="0"/>
    <s v="Convenience stores"/>
    <x v="6"/>
    <s v="Brembo"/>
    <s v="|46/01/04|"/>
    <n v="1644"/>
    <n v="2.58"/>
    <n v="3.57"/>
  </r>
  <r>
    <x v="0"/>
    <s v="Convenience stores"/>
    <x v="6"/>
    <s v="Brembo"/>
    <s v="|46/01/05|"/>
    <n v="2616"/>
    <n v="2.92"/>
    <n v="3.93"/>
  </r>
  <r>
    <x v="0"/>
    <s v="Convenience stores"/>
    <x v="6"/>
    <s v="Brembo"/>
    <s v="|46/01/06|"/>
    <n v="2232"/>
    <n v="2.9"/>
    <n v="3.43"/>
  </r>
  <r>
    <x v="0"/>
    <s v="Convenience stores"/>
    <x v="6"/>
    <s v="Brembo"/>
    <s v="|46/01/07|"/>
    <n v="2100"/>
    <n v="2.5"/>
    <n v="3.5"/>
  </r>
  <r>
    <x v="0"/>
    <s v="Convenience stores"/>
    <x v="6"/>
    <s v="Brembo"/>
    <s v="|46/01/08|"/>
    <n v="1344"/>
    <n v="2.63"/>
    <n v="3.3"/>
  </r>
  <r>
    <x v="0"/>
    <s v="Convenience stores"/>
    <x v="6"/>
    <s v="Brembo"/>
    <s v="|46/01/09|"/>
    <n v="1344"/>
    <n v="2.83"/>
    <n v="3.99"/>
  </r>
  <r>
    <x v="0"/>
    <s v="Convenience stores"/>
    <x v="6"/>
    <s v="Brembo"/>
    <s v="|46/01/10|"/>
    <n v="1248"/>
    <n v="2.95"/>
    <n v="3.6"/>
  </r>
  <r>
    <x v="0"/>
    <s v="Convenience stores"/>
    <x v="6"/>
    <s v="Brembo"/>
    <s v="|46/01/11|"/>
    <n v="2592"/>
    <n v="2.59"/>
    <n v="3.45"/>
  </r>
  <r>
    <x v="0"/>
    <s v="Convenience stores"/>
    <x v="6"/>
    <s v="Brembo"/>
    <s v="|46/01/12|"/>
    <n v="1968"/>
    <n v="2.63"/>
    <n v="3.76"/>
  </r>
  <r>
    <x v="0"/>
    <s v="Convenience stores"/>
    <x v="6"/>
    <s v="Brembo"/>
    <s v="|46/01/13|"/>
    <n v="2088"/>
    <n v="2.94"/>
    <n v="3.95"/>
  </r>
  <r>
    <x v="0"/>
    <s v="Convenience stores"/>
    <x v="6"/>
    <s v="Brembo"/>
    <s v="|46/01/14|"/>
    <n v="2484"/>
    <n v="2.73"/>
    <n v="3.3"/>
  </r>
  <r>
    <x v="0"/>
    <s v="Convenience stores"/>
    <x v="6"/>
    <s v="Brembo"/>
    <s v="|46/01/20|"/>
    <n v="2340"/>
    <n v="2.95"/>
    <n v="3.44"/>
  </r>
  <r>
    <x v="0"/>
    <s v="Convenience stores"/>
    <x v="2"/>
    <s v="Illy"/>
    <s v="|80/01/01|"/>
    <n v="7896"/>
    <n v="0.61"/>
    <n v="0.94"/>
  </r>
  <r>
    <x v="0"/>
    <s v="Convenience stores"/>
    <x v="2"/>
    <s v="Illy"/>
    <s v="|80/01/02|"/>
    <n v="9168"/>
    <n v="0.72"/>
    <n v="1.05"/>
  </r>
  <r>
    <x v="0"/>
    <s v="Convenience stores"/>
    <x v="2"/>
    <s v="Illy"/>
    <s v="|80/01/03|"/>
    <n v="5712"/>
    <n v="0.48"/>
    <n v="0.95"/>
  </r>
  <r>
    <x v="0"/>
    <s v="Convenience stores"/>
    <x v="2"/>
    <s v="Illy"/>
    <s v="|80/01/04|"/>
    <n v="5448"/>
    <n v="0.55000000000000004"/>
    <n v="1.18"/>
  </r>
  <r>
    <x v="0"/>
    <s v="Convenience stores"/>
    <x v="2"/>
    <s v="Illy"/>
    <s v="|80/01/05|"/>
    <n v="8040"/>
    <n v="0.94"/>
    <n v="1"/>
  </r>
  <r>
    <x v="0"/>
    <s v="Convenience stores"/>
    <x v="2"/>
    <s v="Illy"/>
    <s v="|80/01/06|"/>
    <n v="6336"/>
    <n v="1.1499999999999999"/>
    <n v="1.1200000000000001"/>
  </r>
  <r>
    <x v="0"/>
    <s v="Convenience stores"/>
    <x v="2"/>
    <s v="Illy"/>
    <s v="|80/01/07|"/>
    <n v="5508"/>
    <n v="1.2"/>
    <n v="0.94"/>
  </r>
  <r>
    <x v="0"/>
    <s v="Convenience stores"/>
    <x v="2"/>
    <s v="Illy"/>
    <s v="|80/01/08|"/>
    <n v="8772"/>
    <n v="0.69"/>
    <n v="1.1499999999999999"/>
  </r>
  <r>
    <x v="0"/>
    <s v="Convenience stores"/>
    <x v="2"/>
    <s v="Illy"/>
    <s v="|80/01/09|"/>
    <n v="4884"/>
    <n v="0.83"/>
    <n v="1.06"/>
  </r>
  <r>
    <x v="0"/>
    <s v="Convenience stores"/>
    <x v="2"/>
    <s v="Illy"/>
    <s v="|80/01/10|"/>
    <n v="9312"/>
    <n v="0.69"/>
    <n v="0.94"/>
  </r>
  <r>
    <x v="0"/>
    <s v="Convenience stores"/>
    <x v="2"/>
    <s v="Illy"/>
    <s v="|80/01/11|"/>
    <n v="5508"/>
    <n v="0.64"/>
    <n v="1.18"/>
  </r>
  <r>
    <x v="0"/>
    <s v="Convenience stores"/>
    <x v="2"/>
    <s v="Illy"/>
    <s v="|80/01/12|"/>
    <n v="8784"/>
    <n v="0.47"/>
    <n v="0.92"/>
  </r>
  <r>
    <x v="0"/>
    <s v="Convenience stores"/>
    <x v="2"/>
    <s v="Illy"/>
    <s v="|80/01/13|"/>
    <n v="6480"/>
    <n v="0.92"/>
    <n v="1.1299999999999999"/>
  </r>
  <r>
    <x v="0"/>
    <s v="Convenience stores"/>
    <x v="2"/>
    <s v="Illy"/>
    <s v="|80/01/14|"/>
    <n v="6348"/>
    <n v="0.55000000000000004"/>
    <n v="0.96"/>
  </r>
  <r>
    <x v="0"/>
    <s v="Convenience stores"/>
    <x v="2"/>
    <s v="Illy"/>
    <s v="|80/01/15|"/>
    <n v="6528"/>
    <n v="0.54"/>
    <n v="0.94"/>
  </r>
  <r>
    <x v="0"/>
    <s v="Convenience stores"/>
    <x v="2"/>
    <s v="Illy"/>
    <s v="|80/01/16|"/>
    <n v="5676"/>
    <n v="0.57999999999999996"/>
    <n v="0.95"/>
  </r>
  <r>
    <x v="0"/>
    <s v="Convenience stores"/>
    <x v="2"/>
    <s v="Illy"/>
    <s v="|80/01/17|"/>
    <n v="5340"/>
    <n v="0.72"/>
    <n v="0.94"/>
  </r>
  <r>
    <x v="0"/>
    <s v="Convenience stores"/>
    <x v="2"/>
    <s v="Illy"/>
    <s v="|80/01/18|"/>
    <n v="9540"/>
    <n v="0.81"/>
    <n v="1.2"/>
  </r>
  <r>
    <x v="0"/>
    <s v="Convenience stores"/>
    <x v="2"/>
    <s v="Illy"/>
    <s v="|80/01/19|"/>
    <n v="9180"/>
    <n v="0.44"/>
    <n v="1.1599999999999999"/>
  </r>
  <r>
    <x v="0"/>
    <s v="Convenience stores"/>
    <x v="2"/>
    <s v="Illy"/>
    <s v="|80/01/20|"/>
    <n v="5340"/>
    <n v="0.87"/>
    <n v="1.1200000000000001"/>
  </r>
  <r>
    <x v="0"/>
    <s v="Convenience stores"/>
    <x v="2"/>
    <s v="Illy"/>
    <s v="|80/01/21|"/>
    <n v="9444"/>
    <n v="1.1599999999999999"/>
    <n v="0.91"/>
  </r>
  <r>
    <x v="0"/>
    <s v="Convenience stores"/>
    <x v="2"/>
    <s v="Illy"/>
    <s v="|80/01/22|"/>
    <n v="5748"/>
    <n v="0.5"/>
    <n v="1"/>
  </r>
  <r>
    <x v="0"/>
    <s v="Convenience stores"/>
    <x v="2"/>
    <s v="Illy"/>
    <s v="|80/01/23|"/>
    <n v="5880"/>
    <n v="0.57999999999999996"/>
    <n v="0.96"/>
  </r>
  <r>
    <x v="0"/>
    <s v="Convenience stores"/>
    <x v="2"/>
    <s v="Illy"/>
    <s v="|80/01/24|"/>
    <n v="5520"/>
    <n v="0.8"/>
    <n v="0.91"/>
  </r>
  <r>
    <x v="0"/>
    <s v="Convenience stores"/>
    <x v="2"/>
    <s v="Illy"/>
    <s v="|80/01/25|"/>
    <n v="5796"/>
    <n v="0.95"/>
    <n v="1.1599999999999999"/>
  </r>
  <r>
    <x v="0"/>
    <s v="Convenience stores"/>
    <x v="2"/>
    <s v="Illy"/>
    <s v="|80/01/26|"/>
    <n v="5652"/>
    <n v="1.18"/>
    <n v="0.9"/>
  </r>
  <r>
    <x v="0"/>
    <s v="Convenience stores"/>
    <x v="2"/>
    <s v="Illy"/>
    <s v="|80/01/27|"/>
    <n v="5460"/>
    <n v="0.86"/>
    <n v="0.93"/>
  </r>
  <r>
    <x v="0"/>
    <s v="Convenience stores"/>
    <x v="2"/>
    <s v="Illy"/>
    <s v="|80/01/28|"/>
    <n v="6180"/>
    <n v="0.42"/>
    <n v="0.95"/>
  </r>
  <r>
    <x v="0"/>
    <s v="Convenience stores"/>
    <x v="2"/>
    <s v="Illy"/>
    <s v="|80/01/29|"/>
    <n v="9240"/>
    <n v="0.63"/>
    <n v="1.1100000000000001"/>
  </r>
  <r>
    <x v="0"/>
    <s v="Convenience stores"/>
    <x v="2"/>
    <s v="Illy"/>
    <s v="|80/01/30|"/>
    <n v="5952"/>
    <n v="0.73"/>
    <n v="1.1399999999999999"/>
  </r>
  <r>
    <x v="0"/>
    <s v="Convenience stores"/>
    <x v="2"/>
    <s v="Illy"/>
    <s v="|80/01/31|"/>
    <n v="4980"/>
    <n v="1.1499999999999999"/>
    <n v="1.1100000000000001"/>
  </r>
  <r>
    <x v="0"/>
    <s v="Convenience stores"/>
    <x v="2"/>
    <s v="Illy"/>
    <s v="|80/01/32|"/>
    <n v="5496"/>
    <n v="0.75"/>
    <n v="1.04"/>
  </r>
  <r>
    <x v="0"/>
    <s v="Convenience stores"/>
    <x v="2"/>
    <s v="Illy"/>
    <s v="|80/01/33|"/>
    <n v="6624"/>
    <n v="0.75"/>
    <n v="1"/>
  </r>
  <r>
    <x v="0"/>
    <s v="Convenience stores"/>
    <x v="2"/>
    <s v="Illy"/>
    <s v="|80/01/34|"/>
    <n v="5964"/>
    <n v="0.49"/>
    <n v="0.97"/>
  </r>
  <r>
    <x v="0"/>
    <s v="Convenience stores"/>
    <x v="2"/>
    <s v="Illy"/>
    <s v="|80/01/35|"/>
    <n v="9036"/>
    <n v="0.66"/>
    <n v="0.98"/>
  </r>
  <r>
    <x v="0"/>
    <s v="Convenience stores"/>
    <x v="2"/>
    <s v="Illy"/>
    <s v="|80/01/36|"/>
    <n v="5436"/>
    <n v="0.56999999999999995"/>
    <n v="1.1200000000000001"/>
  </r>
  <r>
    <x v="0"/>
    <s v="Convenience stores"/>
    <x v="2"/>
    <s v="Illy"/>
    <s v="|80/01/37|"/>
    <n v="6648"/>
    <n v="0.72"/>
    <n v="1.18"/>
  </r>
  <r>
    <x v="0"/>
    <s v="Convenience stores"/>
    <x v="2"/>
    <s v="Illy"/>
    <s v="|80/01/38|"/>
    <n v="5100"/>
    <n v="0.93"/>
    <n v="1"/>
  </r>
  <r>
    <x v="0"/>
    <s v="Convenience stores"/>
    <x v="7"/>
    <s v="Kraus"/>
    <s v="|126/01/01|"/>
    <n v="756"/>
    <n v="2.87"/>
    <n v="3.89"/>
  </r>
  <r>
    <x v="0"/>
    <s v="Convenience stores"/>
    <x v="7"/>
    <s v="Kraus"/>
    <s v="|126/01/02|"/>
    <n v="1080"/>
    <n v="2.27"/>
    <n v="3.96"/>
  </r>
  <r>
    <x v="0"/>
    <s v="Convenience stores"/>
    <x v="7"/>
    <s v="Kraus"/>
    <s v="|126/01/03|"/>
    <n v="1176"/>
    <n v="2.96"/>
    <n v="3.85"/>
  </r>
  <r>
    <x v="0"/>
    <s v="Convenience stores"/>
    <x v="7"/>
    <s v="Kraus"/>
    <s v="|126/01/04|"/>
    <n v="876"/>
    <n v="2.04"/>
    <n v="3.51"/>
  </r>
  <r>
    <x v="0"/>
    <s v="Convenience stores"/>
    <x v="7"/>
    <s v="Kraus"/>
    <s v="|126/01/05|"/>
    <n v="708"/>
    <n v="2.5499999999999998"/>
    <n v="3.72"/>
  </r>
  <r>
    <x v="0"/>
    <s v="Convenience stores"/>
    <x v="7"/>
    <s v="Kraus"/>
    <s v="|126/01/06|"/>
    <n v="1128"/>
    <n v="2.25"/>
    <n v="3.73"/>
  </r>
  <r>
    <x v="0"/>
    <s v="Convenience stores"/>
    <x v="7"/>
    <s v="Kraus"/>
    <s v="|126/01/07|"/>
    <n v="672"/>
    <n v="2.2599999999999998"/>
    <n v="3.79"/>
  </r>
  <r>
    <x v="0"/>
    <s v="Convenience stores"/>
    <x v="7"/>
    <s v="Kraus"/>
    <s v="|126/01/08|"/>
    <n v="1032"/>
    <n v="2.5299999999999998"/>
    <n v="3.56"/>
  </r>
  <r>
    <x v="0"/>
    <s v="Convenience stores"/>
    <x v="7"/>
    <s v="Kraus"/>
    <s v="|126/02/01|"/>
    <n v="756"/>
    <n v="2.1"/>
    <n v="3.93"/>
  </r>
  <r>
    <x v="0"/>
    <s v="Convenience stores"/>
    <x v="7"/>
    <s v="Kraus"/>
    <s v="|126/02/02|"/>
    <n v="696"/>
    <n v="2.5299999999999998"/>
    <n v="3.47"/>
  </r>
  <r>
    <x v="0"/>
    <s v="Convenience stores"/>
    <x v="7"/>
    <s v="Kraus"/>
    <s v="|126/02/03|"/>
    <n v="756"/>
    <n v="2.85"/>
    <n v="3.47"/>
  </r>
  <r>
    <x v="0"/>
    <s v="Convenience stores"/>
    <x v="7"/>
    <s v="Kraus"/>
    <s v="|126/02/04|"/>
    <n v="828"/>
    <n v="2.66"/>
    <n v="3.22"/>
  </r>
  <r>
    <x v="0"/>
    <s v="Convenience stores"/>
    <x v="7"/>
    <s v="Kraus"/>
    <s v="|126/02/05|"/>
    <n v="816"/>
    <n v="2.0499999999999998"/>
    <n v="4"/>
  </r>
  <r>
    <x v="0"/>
    <s v="Convenience stores"/>
    <x v="7"/>
    <s v="Kraus"/>
    <s v="|126/02/06|"/>
    <n v="1008"/>
    <n v="2.76"/>
    <n v="3.27"/>
  </r>
  <r>
    <x v="0"/>
    <s v="Convenience stores"/>
    <x v="7"/>
    <s v="Kraus"/>
    <s v="|126/02/07|"/>
    <n v="852"/>
    <n v="2.68"/>
    <n v="3.94"/>
  </r>
  <r>
    <x v="0"/>
    <s v="Convenience stores"/>
    <x v="7"/>
    <s v="Kraus"/>
    <s v="|126/02/08|"/>
    <n v="780"/>
    <n v="2.85"/>
    <n v="3.99"/>
  </r>
  <r>
    <x v="0"/>
    <s v="Convenience stores"/>
    <x v="7"/>
    <s v="Kraus"/>
    <s v="|126/02/09|"/>
    <n v="600"/>
    <n v="2.0699999999999998"/>
    <n v="4"/>
  </r>
  <r>
    <x v="0"/>
    <s v="Convenience stores"/>
    <x v="7"/>
    <s v="Kraus"/>
    <s v="|126/02/10|"/>
    <n v="732"/>
    <n v="2.2400000000000002"/>
    <n v="3.77"/>
  </r>
  <r>
    <x v="0"/>
    <s v="Convenience stores"/>
    <x v="7"/>
    <s v="Kraus"/>
    <s v="|126/02/11|"/>
    <n v="936"/>
    <n v="2.4300000000000002"/>
    <n v="3.36"/>
  </r>
  <r>
    <x v="0"/>
    <s v="Convenience stores"/>
    <x v="7"/>
    <s v="Kraus"/>
    <s v="|126/02/12|"/>
    <n v="1080"/>
    <n v="2.52"/>
    <n v="3.5"/>
  </r>
  <r>
    <x v="0"/>
    <s v="Convenience stores"/>
    <x v="7"/>
    <s v="Kraus"/>
    <s v="|126/02/13|"/>
    <n v="684"/>
    <n v="2.82"/>
    <n v="3.25"/>
  </r>
  <r>
    <x v="0"/>
    <s v="Convenience stores"/>
    <x v="7"/>
    <s v="Kraus"/>
    <s v="|126/02/14|"/>
    <n v="972"/>
    <n v="2.38"/>
    <n v="3.87"/>
  </r>
  <r>
    <x v="0"/>
    <s v="Convenience stores"/>
    <x v="7"/>
    <s v="Kraus"/>
    <s v="|126/03/01|"/>
    <n v="1128"/>
    <n v="2"/>
    <n v="3.39"/>
  </r>
  <r>
    <x v="0"/>
    <s v="Convenience stores"/>
    <x v="7"/>
    <s v="Kraus"/>
    <s v="|126/03/02|"/>
    <n v="804"/>
    <n v="2.69"/>
    <n v="3.61"/>
  </r>
  <r>
    <x v="0"/>
    <s v="Convenience stores"/>
    <x v="7"/>
    <s v="Kraus"/>
    <s v="|126/03/03|"/>
    <n v="1128"/>
    <n v="2.46"/>
    <n v="3.52"/>
  </r>
  <r>
    <x v="0"/>
    <s v="Convenience stores"/>
    <x v="7"/>
    <s v="Kraus"/>
    <s v="|126/03/04|"/>
    <n v="816"/>
    <n v="2.25"/>
    <n v="3.55"/>
  </r>
  <r>
    <x v="0"/>
    <s v="Convenience stores"/>
    <x v="7"/>
    <s v="Kraus"/>
    <s v="|126/03/05|"/>
    <n v="1056"/>
    <n v="2.25"/>
    <n v="3.87"/>
  </r>
  <r>
    <x v="0"/>
    <s v="Convenience stores"/>
    <x v="7"/>
    <s v="Fast&amp;Easy"/>
    <s v="|125/02/01|"/>
    <n v="672"/>
    <n v="2.04"/>
    <n v="3.92"/>
  </r>
  <r>
    <x v="0"/>
    <s v="Convenience stores"/>
    <x v="7"/>
    <s v="Fast&amp;Easy"/>
    <s v="|125/02/04|"/>
    <n v="984"/>
    <n v="2.31"/>
    <n v="3.38"/>
  </r>
  <r>
    <x v="0"/>
    <s v="Convenience stores"/>
    <x v="7"/>
    <s v="Fast&amp;Easy"/>
    <s v="|125/02/06|"/>
    <n v="660"/>
    <n v="2.35"/>
    <n v="3.38"/>
  </r>
  <r>
    <x v="0"/>
    <s v="Convenience stores"/>
    <x v="7"/>
    <s v="Fast&amp;Easy"/>
    <s v="|125/02/07|"/>
    <n v="948"/>
    <n v="2.4"/>
    <n v="3.9"/>
  </r>
  <r>
    <x v="0"/>
    <s v="Convenience stores"/>
    <x v="7"/>
    <s v="Fast&amp;Easy"/>
    <s v="|125/02/08|"/>
    <n v="984"/>
    <n v="2.59"/>
    <n v="3.28"/>
  </r>
  <r>
    <x v="0"/>
    <s v="Convenience stores"/>
    <x v="7"/>
    <s v="Fast&amp;Easy"/>
    <s v="|125/04/01|"/>
    <n v="1080"/>
    <n v="2.67"/>
    <n v="3.64"/>
  </r>
  <r>
    <x v="0"/>
    <s v="Convenience stores"/>
    <x v="7"/>
    <s v="Fast&amp;Easy"/>
    <s v="|125/04/16|"/>
    <n v="948"/>
    <n v="2.02"/>
    <n v="3.21"/>
  </r>
  <r>
    <x v="0"/>
    <s v="Convenience stores"/>
    <x v="7"/>
    <s v="Fast&amp;Easy"/>
    <s v="|125/04/17|"/>
    <n v="1104"/>
    <n v="2.85"/>
    <n v="3.43"/>
  </r>
  <r>
    <x v="0"/>
    <s v="Convenience stores"/>
    <x v="7"/>
    <s v="Fast&amp;Easy"/>
    <s v="|125/05/02|"/>
    <n v="756"/>
    <n v="2.97"/>
    <n v="3.81"/>
  </r>
  <r>
    <x v="0"/>
    <s v="Convenience stores"/>
    <x v="7"/>
    <s v="Fast&amp;Easy"/>
    <s v="|125/05/03|"/>
    <n v="624"/>
    <n v="2.0299999999999998"/>
    <n v="3.42"/>
  </r>
  <r>
    <x v="0"/>
    <s v="Convenience stores"/>
    <x v="7"/>
    <s v="Fast&amp;Easy"/>
    <s v="|125/05/04|"/>
    <n v="936"/>
    <n v="2.0699999999999998"/>
    <n v="3.45"/>
  </r>
  <r>
    <x v="0"/>
    <s v="Convenience stores"/>
    <x v="7"/>
    <s v="Fast&amp;Easy"/>
    <s v="|125/05/06|"/>
    <n v="1068"/>
    <n v="2.42"/>
    <n v="3.25"/>
  </r>
  <r>
    <x v="0"/>
    <s v="Convenience stores"/>
    <x v="7"/>
    <s v="Fast&amp;Easy"/>
    <s v="|125/05/07|"/>
    <n v="840"/>
    <n v="2.96"/>
    <n v="3.5"/>
  </r>
  <r>
    <x v="0"/>
    <s v="Convenience stores"/>
    <x v="7"/>
    <s v="Fast&amp;Easy"/>
    <s v="|125/05/08|"/>
    <n v="960"/>
    <n v="2.74"/>
    <n v="3.39"/>
  </r>
  <r>
    <x v="0"/>
    <s v="Convenience stores"/>
    <x v="7"/>
    <s v="Fast&amp;Easy"/>
    <s v="|125/05/09|"/>
    <n v="744"/>
    <n v="2.41"/>
    <n v="3.24"/>
  </r>
  <r>
    <x v="0"/>
    <s v="Convenience stores"/>
    <x v="7"/>
    <s v="Fast&amp;Easy"/>
    <s v="|125/05/15|"/>
    <n v="1044"/>
    <n v="2.79"/>
    <n v="3.83"/>
  </r>
  <r>
    <x v="0"/>
    <s v="Convenience stores"/>
    <x v="7"/>
    <s v="Fast&amp;Easy"/>
    <s v="|125/05/17|"/>
    <n v="1068"/>
    <n v="2.72"/>
    <n v="3.28"/>
  </r>
  <r>
    <x v="0"/>
    <s v="Convenience stores"/>
    <x v="7"/>
    <s v="Fast&amp;Easy"/>
    <s v="|125/05/18|"/>
    <n v="924"/>
    <n v="2.38"/>
    <n v="3.49"/>
  </r>
  <r>
    <x v="0"/>
    <s v="Convenience stores"/>
    <x v="7"/>
    <s v="Fast&amp;Easy"/>
    <s v="|125/05/20|"/>
    <n v="936"/>
    <n v="2.8"/>
    <n v="3.8"/>
  </r>
  <r>
    <x v="0"/>
    <s v="Convenience stores"/>
    <x v="7"/>
    <s v="Fast&amp;Easy"/>
    <s v="|125/05/22|"/>
    <n v="1056"/>
    <n v="2.6"/>
    <n v="3.75"/>
  </r>
  <r>
    <x v="0"/>
    <s v="Convenience stores"/>
    <x v="7"/>
    <s v="Fast&amp;Easy"/>
    <s v="|125/05/23|"/>
    <n v="948"/>
    <n v="2.59"/>
    <n v="3.83"/>
  </r>
  <r>
    <x v="0"/>
    <s v="Convenience stores"/>
    <x v="6"/>
    <s v="Ice Allstars"/>
    <s v="|10/01/01|"/>
    <n v="2760"/>
    <n v="2.84"/>
    <n v="3.67"/>
  </r>
  <r>
    <x v="0"/>
    <s v="Convenience stores"/>
    <x v="6"/>
    <s v="Ice Allstars"/>
    <s v="|10/01/02|"/>
    <n v="1980"/>
    <n v="2.57"/>
    <n v="3.43"/>
  </r>
  <r>
    <x v="0"/>
    <s v="Convenience stores"/>
    <x v="6"/>
    <s v="Ice Allstars"/>
    <s v="|10/01/03|"/>
    <n v="2664"/>
    <n v="2.64"/>
    <n v="3.41"/>
  </r>
  <r>
    <x v="0"/>
    <s v="Convenience stores"/>
    <x v="6"/>
    <s v="Ice Allstars"/>
    <s v="|10/01/04|"/>
    <n v="2136"/>
    <n v="2.38"/>
    <n v="3.66"/>
  </r>
  <r>
    <x v="0"/>
    <s v="Convenience stores"/>
    <x v="6"/>
    <s v="Ice Allstars"/>
    <s v="|10/01/05|"/>
    <n v="2592"/>
    <n v="2.67"/>
    <n v="3.47"/>
  </r>
  <r>
    <x v="0"/>
    <s v="Convenience stores"/>
    <x v="6"/>
    <s v="Ice Allstars"/>
    <s v="|10/01/06|"/>
    <n v="2556"/>
    <n v="2.87"/>
    <n v="4"/>
  </r>
  <r>
    <x v="0"/>
    <s v="Convenience stores"/>
    <x v="6"/>
    <s v="Ice Allstars"/>
    <s v="|10/01/07|"/>
    <n v="2616"/>
    <n v="2.89"/>
    <n v="3.85"/>
  </r>
  <r>
    <x v="0"/>
    <s v="Convenience stores"/>
    <x v="6"/>
    <s v="Ice Allstars"/>
    <s v="|10/01/08|"/>
    <n v="2640"/>
    <n v="2.85"/>
    <n v="3.57"/>
  </r>
  <r>
    <x v="0"/>
    <s v="Convenience stores"/>
    <x v="6"/>
    <s v="Ice Allstars"/>
    <s v="|10/01/09|"/>
    <n v="1428"/>
    <n v="2.42"/>
    <n v="3.52"/>
  </r>
  <r>
    <x v="0"/>
    <s v="Convenience stores"/>
    <x v="7"/>
    <s v="Doleo"/>
    <s v="|113/01/01|"/>
    <n v="936"/>
    <n v="2.63"/>
    <n v="3.22"/>
  </r>
  <r>
    <x v="0"/>
    <s v="Convenience stores"/>
    <x v="7"/>
    <s v="Doleo"/>
    <s v="|113/01/04|"/>
    <n v="744"/>
    <n v="2.08"/>
    <n v="3.64"/>
  </r>
  <r>
    <x v="0"/>
    <s v="Convenience stores"/>
    <x v="7"/>
    <s v="Doleo"/>
    <s v="|113/01/05|"/>
    <n v="1200"/>
    <n v="2.29"/>
    <n v="3.64"/>
  </r>
  <r>
    <x v="0"/>
    <s v="Convenience stores"/>
    <x v="7"/>
    <s v="Doleo"/>
    <s v="|113/01/09|"/>
    <n v="672"/>
    <n v="2.63"/>
    <n v="3.71"/>
  </r>
  <r>
    <x v="0"/>
    <s v="Convenience stores"/>
    <x v="7"/>
    <s v="Doleo"/>
    <s v="|113/01/23|"/>
    <n v="996"/>
    <n v="2.15"/>
    <n v="3.91"/>
  </r>
  <r>
    <x v="0"/>
    <s v="Convenience stores"/>
    <x v="7"/>
    <s v="Doleo"/>
    <s v="|113/01/30|"/>
    <n v="876"/>
    <n v="2.79"/>
    <n v="3.6"/>
  </r>
  <r>
    <x v="0"/>
    <s v="Convenience stores"/>
    <x v="7"/>
    <s v="Doleo"/>
    <s v="|113/01/33|"/>
    <n v="612"/>
    <n v="2.71"/>
    <n v="3.39"/>
  </r>
  <r>
    <x v="0"/>
    <s v="Convenience stores"/>
    <x v="7"/>
    <s v="Doleo"/>
    <s v="|113/01/34|"/>
    <n v="1104"/>
    <n v="2.65"/>
    <n v="3.55"/>
  </r>
  <r>
    <x v="0"/>
    <s v="Convenience stores"/>
    <x v="7"/>
    <s v="Doleo"/>
    <s v="|113/01/36|"/>
    <n v="624"/>
    <n v="2.2200000000000002"/>
    <n v="3.58"/>
  </r>
  <r>
    <x v="0"/>
    <s v="Convenience stores"/>
    <x v="7"/>
    <s v="Doleo"/>
    <s v="|113/01/59|"/>
    <n v="708"/>
    <n v="2.5499999999999998"/>
    <n v="3.41"/>
  </r>
  <r>
    <x v="0"/>
    <s v="Convenience stores"/>
    <x v="7"/>
    <s v="Doleo"/>
    <s v="|113/01/76|"/>
    <n v="924"/>
    <n v="2.48"/>
    <n v="3.47"/>
  </r>
  <r>
    <x v="0"/>
    <s v="Convenience stores"/>
    <x v="6"/>
    <s v="Real ice"/>
    <s v="|112/01/01|"/>
    <n v="1440"/>
    <n v="2.75"/>
    <n v="3.38"/>
  </r>
  <r>
    <x v="0"/>
    <s v="Convenience stores"/>
    <x v="6"/>
    <s v="Real ice"/>
    <s v="|112/01/02|"/>
    <n v="2124"/>
    <n v="2.89"/>
    <n v="3.94"/>
  </r>
  <r>
    <x v="0"/>
    <s v="Convenience stores"/>
    <x v="6"/>
    <s v="Real ice"/>
    <s v="|112/01/03|"/>
    <n v="1812"/>
    <n v="2.5099999999999998"/>
    <n v="3.35"/>
  </r>
  <r>
    <x v="0"/>
    <s v="Convenience stores"/>
    <x v="6"/>
    <s v="Real ice"/>
    <s v="|112/01/05|"/>
    <n v="1356"/>
    <n v="2.39"/>
    <n v="3.69"/>
  </r>
  <r>
    <x v="0"/>
    <s v="Convenience stores"/>
    <x v="4"/>
    <s v="L'Oreal"/>
    <s v="|116/01/01|"/>
    <n v="708"/>
    <n v="4.51"/>
    <n v="5.32"/>
  </r>
  <r>
    <x v="0"/>
    <s v="Convenience stores"/>
    <x v="4"/>
    <s v="L'Oreal"/>
    <s v="|116/01/02|"/>
    <n v="288"/>
    <n v="4.57"/>
    <n v="5.36"/>
  </r>
  <r>
    <x v="0"/>
    <s v="Convenience stores"/>
    <x v="4"/>
    <s v="L'Oreal"/>
    <s v="|116/01/03|"/>
    <n v="636"/>
    <n v="4.7"/>
    <n v="5.19"/>
  </r>
  <r>
    <x v="0"/>
    <s v="Convenience stores"/>
    <x v="4"/>
    <s v="L'Oreal"/>
    <s v="|116/01/04|"/>
    <n v="240"/>
    <n v="4"/>
    <n v="5.18"/>
  </r>
  <r>
    <x v="0"/>
    <s v="Convenience stores"/>
    <x v="7"/>
    <s v="Green stars"/>
    <s v="|62/10/01|"/>
    <n v="672"/>
    <n v="2.12"/>
    <n v="3.91"/>
  </r>
  <r>
    <x v="0"/>
    <s v="Convenience stores"/>
    <x v="7"/>
    <s v="Green stars"/>
    <s v="|62/11/15|"/>
    <n v="600"/>
    <n v="2.72"/>
    <n v="3.52"/>
  </r>
  <r>
    <x v="0"/>
    <s v="Convenience stores"/>
    <x v="7"/>
    <s v="Green stars"/>
    <s v="|82/01/03|"/>
    <n v="1080"/>
    <n v="2.44"/>
    <n v="3.55"/>
  </r>
  <r>
    <x v="0"/>
    <s v="Convenience stores"/>
    <x v="7"/>
    <s v="Green stars"/>
    <s v="|82/01/04|"/>
    <n v="900"/>
    <n v="2.39"/>
    <n v="3.32"/>
  </r>
  <r>
    <x v="0"/>
    <s v="Convenience stores"/>
    <x v="7"/>
    <s v="Green stars"/>
    <s v="|82/01/05|"/>
    <n v="636"/>
    <n v="2.61"/>
    <n v="3.97"/>
  </r>
  <r>
    <x v="0"/>
    <s v="Convenience stores"/>
    <x v="7"/>
    <s v="Green stars"/>
    <s v="|82/01/06|"/>
    <n v="996"/>
    <n v="2.17"/>
    <n v="3.56"/>
  </r>
  <r>
    <x v="0"/>
    <s v="Convenience stores"/>
    <x v="7"/>
    <s v="Green stars"/>
    <s v="|82/01/07|"/>
    <n v="1080"/>
    <n v="2.56"/>
    <n v="3.74"/>
  </r>
  <r>
    <x v="0"/>
    <s v="Convenience stores"/>
    <x v="7"/>
    <s v="Green stars"/>
    <s v="|82/01/08|"/>
    <n v="804"/>
    <n v="2.14"/>
    <n v="3.29"/>
  </r>
  <r>
    <x v="0"/>
    <s v="Convenience stores"/>
    <x v="7"/>
    <s v="Green stars"/>
    <s v="|82/01/09|"/>
    <n v="828"/>
    <n v="2.42"/>
    <n v="3.84"/>
  </r>
  <r>
    <x v="0"/>
    <s v="Convenience stores"/>
    <x v="7"/>
    <s v="Green stars"/>
    <s v="|82/01/11|"/>
    <n v="840"/>
    <n v="2.56"/>
    <n v="3.42"/>
  </r>
  <r>
    <x v="0"/>
    <s v="Convenience stores"/>
    <x v="7"/>
    <s v="Green stars"/>
    <s v="|82/01/12|"/>
    <n v="1200"/>
    <n v="2.44"/>
    <n v="3.75"/>
  </r>
  <r>
    <x v="0"/>
    <s v="Convenience stores"/>
    <x v="7"/>
    <s v="Green stars"/>
    <s v="|82/01/13|"/>
    <n v="888"/>
    <n v="2.98"/>
    <n v="3.2"/>
  </r>
  <r>
    <x v="0"/>
    <s v="Convenience stores"/>
    <x v="7"/>
    <s v="Green stars"/>
    <s v="|82/01/16|"/>
    <n v="1056"/>
    <n v="2.77"/>
    <n v="3.72"/>
  </r>
  <r>
    <x v="0"/>
    <s v="Convenience stores"/>
    <x v="7"/>
    <s v="Green stars"/>
    <s v="|82/01/17|"/>
    <n v="1008"/>
    <n v="2.2200000000000002"/>
    <n v="3.62"/>
  </r>
  <r>
    <x v="0"/>
    <s v="Convenience stores"/>
    <x v="7"/>
    <s v="Green stars"/>
    <s v="|82/01/18|"/>
    <n v="888"/>
    <n v="2.5299999999999998"/>
    <n v="3.94"/>
  </r>
  <r>
    <x v="0"/>
    <s v="Convenience stores"/>
    <x v="7"/>
    <s v="Green stars"/>
    <s v="|82/01/19|"/>
    <n v="1104"/>
    <n v="2.15"/>
    <n v="3.24"/>
  </r>
  <r>
    <x v="0"/>
    <s v="Convenience stores"/>
    <x v="7"/>
    <s v="Green stars"/>
    <s v="|82/01/20|"/>
    <n v="1080"/>
    <n v="2.4700000000000002"/>
    <n v="3.96"/>
  </r>
  <r>
    <x v="0"/>
    <s v="Convenience stores"/>
    <x v="7"/>
    <s v="Green stars"/>
    <s v="|82/01/21|"/>
    <n v="936"/>
    <n v="2.0299999999999998"/>
    <n v="3.92"/>
  </r>
  <r>
    <x v="0"/>
    <s v="Convenience stores"/>
    <x v="7"/>
    <s v="Green stars"/>
    <s v="|82/01/22|"/>
    <n v="1104"/>
    <n v="2.65"/>
    <n v="3.56"/>
  </r>
  <r>
    <x v="0"/>
    <s v="Convenience stores"/>
    <x v="7"/>
    <s v="Green stars"/>
    <s v="|82/01/23|"/>
    <n v="1176"/>
    <n v="2.86"/>
    <n v="3.64"/>
  </r>
  <r>
    <x v="0"/>
    <s v="Convenience stores"/>
    <x v="7"/>
    <s v="Green stars"/>
    <s v="|82/01/24|"/>
    <n v="1032"/>
    <n v="2.96"/>
    <n v="3.98"/>
  </r>
  <r>
    <x v="0"/>
    <s v="Convenience stores"/>
    <x v="7"/>
    <s v="Green stars"/>
    <s v="|82/01/25|"/>
    <n v="924"/>
    <n v="2.29"/>
    <n v="3.33"/>
  </r>
  <r>
    <x v="0"/>
    <s v="Convenience stores"/>
    <x v="7"/>
    <s v="Green stars"/>
    <s v="|82/01/26|"/>
    <n v="1164"/>
    <n v="2.73"/>
    <n v="3.79"/>
  </r>
  <r>
    <x v="0"/>
    <s v="Convenience stores"/>
    <x v="7"/>
    <s v="Green stars"/>
    <s v="|82/01/27|"/>
    <n v="1044"/>
    <n v="2.69"/>
    <n v="3.27"/>
  </r>
  <r>
    <x v="0"/>
    <s v="Convenience stores"/>
    <x v="7"/>
    <s v="Green stars"/>
    <s v="|82/01/28|"/>
    <n v="792"/>
    <n v="2.54"/>
    <n v="3.85"/>
  </r>
  <r>
    <x v="0"/>
    <s v="Convenience stores"/>
    <x v="7"/>
    <s v="Green stars"/>
    <s v="|82/01/29|"/>
    <n v="1068"/>
    <n v="2.27"/>
    <n v="3.71"/>
  </r>
  <r>
    <x v="0"/>
    <s v="Convenience stores"/>
    <x v="7"/>
    <s v="Green stars"/>
    <s v="|82/01/30|"/>
    <n v="1176"/>
    <n v="2.36"/>
    <n v="3.58"/>
  </r>
  <r>
    <x v="0"/>
    <s v="Convenience stores"/>
    <x v="7"/>
    <s v="Green stars"/>
    <s v="|82/01/31|"/>
    <n v="1104"/>
    <n v="2.68"/>
    <n v="3.93"/>
  </r>
  <r>
    <x v="0"/>
    <s v="Convenience stores"/>
    <x v="7"/>
    <s v="Green stars"/>
    <s v="|82/01/32|"/>
    <n v="1020"/>
    <n v="2.2599999999999998"/>
    <n v="3.98"/>
  </r>
  <r>
    <x v="0"/>
    <s v="Convenience stores"/>
    <x v="7"/>
    <s v="Green stars"/>
    <s v="|82/01/33|"/>
    <n v="876"/>
    <n v="2.5"/>
    <n v="3.83"/>
  </r>
  <r>
    <x v="0"/>
    <s v="Convenience stores"/>
    <x v="7"/>
    <s v="Green stars"/>
    <s v="|82/01/34|"/>
    <n v="1104"/>
    <n v="2.48"/>
    <n v="3.63"/>
  </r>
  <r>
    <x v="0"/>
    <s v="Convenience stores"/>
    <x v="7"/>
    <s v="Green stars"/>
    <s v="|82/01/35|"/>
    <n v="792"/>
    <n v="2.69"/>
    <n v="3.62"/>
  </r>
  <r>
    <x v="0"/>
    <s v="Convenience stores"/>
    <x v="7"/>
    <s v="Green stars"/>
    <s v="|82/01/36|"/>
    <n v="1044"/>
    <n v="2.15"/>
    <n v="3.54"/>
  </r>
  <r>
    <x v="0"/>
    <s v="Convenience stores"/>
    <x v="7"/>
    <s v="Green stars"/>
    <s v="|82/01/37|"/>
    <n v="780"/>
    <n v="2.0099999999999998"/>
    <n v="3.6"/>
  </r>
  <r>
    <x v="0"/>
    <s v="Convenience stores"/>
    <x v="7"/>
    <s v="Green stars"/>
    <s v="|82/01/38|"/>
    <n v="732"/>
    <n v="2.15"/>
    <n v="3.43"/>
  </r>
  <r>
    <x v="0"/>
    <s v="Convenience stores"/>
    <x v="7"/>
    <s v="Green stars"/>
    <s v="|82/01/39|"/>
    <n v="804"/>
    <n v="2.06"/>
    <n v="3.25"/>
  </r>
  <r>
    <x v="0"/>
    <s v="Convenience stores"/>
    <x v="7"/>
    <s v="Green stars"/>
    <s v="|82/01/40|"/>
    <n v="936"/>
    <n v="2.33"/>
    <n v="3.43"/>
  </r>
  <r>
    <x v="0"/>
    <s v="Convenience stores"/>
    <x v="7"/>
    <s v="Green stars"/>
    <s v="|82/01/41|"/>
    <n v="696"/>
    <n v="2.23"/>
    <n v="3.56"/>
  </r>
  <r>
    <x v="0"/>
    <s v="Convenience stores"/>
    <x v="7"/>
    <s v="Green stars"/>
    <s v="|82/01/42|"/>
    <n v="1092"/>
    <n v="2.17"/>
    <n v="3.29"/>
  </r>
  <r>
    <x v="0"/>
    <s v="Convenience stores"/>
    <x v="7"/>
    <s v="Green stars"/>
    <s v="|82/01/43|"/>
    <n v="660"/>
    <n v="2.97"/>
    <n v="3.4"/>
  </r>
  <r>
    <x v="0"/>
    <s v="Convenience stores"/>
    <x v="7"/>
    <s v="Green stars"/>
    <s v="|82/01/44|"/>
    <n v="864"/>
    <n v="2.15"/>
    <n v="3.24"/>
  </r>
  <r>
    <x v="0"/>
    <s v="Convenience stores"/>
    <x v="7"/>
    <s v="Green stars"/>
    <s v="|82/01/45|"/>
    <n v="600"/>
    <n v="2.63"/>
    <n v="3.83"/>
  </r>
  <r>
    <x v="0"/>
    <s v="Convenience stores"/>
    <x v="7"/>
    <s v="Green stars"/>
    <s v="|82/01/46|"/>
    <n v="948"/>
    <n v="2.91"/>
    <n v="3.22"/>
  </r>
  <r>
    <x v="0"/>
    <s v="Convenience stores"/>
    <x v="7"/>
    <s v="Green stars"/>
    <s v="|82/01/47|"/>
    <n v="876"/>
    <n v="2.38"/>
    <n v="3.83"/>
  </r>
  <r>
    <x v="0"/>
    <s v="Convenience stores"/>
    <x v="7"/>
    <s v="Green stars"/>
    <s v="|82/01/48|"/>
    <n v="660"/>
    <n v="2.99"/>
    <n v="3.98"/>
  </r>
  <r>
    <x v="0"/>
    <s v="Convenience stores"/>
    <x v="7"/>
    <s v="Green stars"/>
    <s v="|82/01/49|"/>
    <n v="684"/>
    <n v="2.79"/>
    <n v="3.22"/>
  </r>
  <r>
    <x v="0"/>
    <s v="Convenience stores"/>
    <x v="7"/>
    <s v="Green stars"/>
    <s v="|82/01/50|"/>
    <n v="600"/>
    <n v="2.19"/>
    <n v="3.53"/>
  </r>
  <r>
    <x v="0"/>
    <s v="Convenience stores"/>
    <x v="7"/>
    <s v="Green stars"/>
    <s v="|82/01/51|"/>
    <n v="1080"/>
    <n v="2.5"/>
    <n v="3.44"/>
  </r>
  <r>
    <x v="0"/>
    <s v="Convenience stores"/>
    <x v="7"/>
    <s v="Green stars"/>
    <s v="|82/01/52|"/>
    <n v="924"/>
    <n v="2.92"/>
    <n v="3.96"/>
  </r>
  <r>
    <x v="0"/>
    <s v="Convenience stores"/>
    <x v="7"/>
    <s v="Green stars"/>
    <s v="|82/01/53|"/>
    <n v="1200"/>
    <n v="2.76"/>
    <n v="3.89"/>
  </r>
  <r>
    <x v="0"/>
    <s v="Convenience stores"/>
    <x v="7"/>
    <s v="Green stars"/>
    <s v="|82/01/54|"/>
    <n v="888"/>
    <n v="2.2200000000000002"/>
    <n v="3.4"/>
  </r>
  <r>
    <x v="0"/>
    <s v="Convenience stores"/>
    <x v="7"/>
    <s v="Green stars"/>
    <s v="|82/01/55|"/>
    <n v="1164"/>
    <n v="2.2599999999999998"/>
    <n v="3.45"/>
  </r>
  <r>
    <x v="0"/>
    <s v="Convenience stores"/>
    <x v="7"/>
    <s v="Green stars"/>
    <s v="|82/01/57|"/>
    <n v="972"/>
    <n v="2.23"/>
    <n v="3.29"/>
  </r>
  <r>
    <x v="0"/>
    <s v="Convenience stores"/>
    <x v="7"/>
    <s v="Green stars"/>
    <s v="|82/02/01|"/>
    <n v="1176"/>
    <n v="2.2400000000000002"/>
    <n v="3.7"/>
  </r>
  <r>
    <x v="0"/>
    <s v="Convenience stores"/>
    <x v="7"/>
    <s v="Green stars"/>
    <s v="|82/02/02|"/>
    <n v="1140"/>
    <n v="2.29"/>
    <n v="3.41"/>
  </r>
  <r>
    <x v="0"/>
    <s v="Convenience stores"/>
    <x v="7"/>
    <s v="Green stars"/>
    <s v="|82/02/03|"/>
    <n v="660"/>
    <n v="2.2000000000000002"/>
    <n v="3.81"/>
  </r>
  <r>
    <x v="0"/>
    <s v="Convenience stores"/>
    <x v="7"/>
    <s v="Green stars"/>
    <s v="|82/02/05|"/>
    <n v="792"/>
    <n v="2.37"/>
    <n v="3.72"/>
  </r>
  <r>
    <x v="0"/>
    <s v="Convenience stores"/>
    <x v="7"/>
    <s v="Green stars"/>
    <s v="|82/02/06|"/>
    <n v="768"/>
    <n v="2.1800000000000002"/>
    <n v="3.94"/>
  </r>
  <r>
    <x v="0"/>
    <s v="Convenience stores"/>
    <x v="7"/>
    <s v="Green stars"/>
    <s v="|82/03/01|"/>
    <n v="744"/>
    <n v="2.75"/>
    <n v="3.63"/>
  </r>
  <r>
    <x v="0"/>
    <s v="Convenience stores"/>
    <x v="7"/>
    <s v="Bonduelle"/>
    <s v="|26/04/18|"/>
    <n v="648"/>
    <n v="2.99"/>
    <n v="3.33"/>
  </r>
  <r>
    <x v="0"/>
    <s v="Convenience stores"/>
    <x v="7"/>
    <s v="Bonduelle"/>
    <s v="|62/01/01|"/>
    <n v="780"/>
    <n v="2.36"/>
    <n v="3.77"/>
  </r>
  <r>
    <x v="0"/>
    <s v="Convenience stores"/>
    <x v="7"/>
    <s v="Bonduelle"/>
    <s v="|62/01/02|"/>
    <n v="1080"/>
    <n v="2.83"/>
    <n v="3.59"/>
  </r>
  <r>
    <x v="0"/>
    <s v="Convenience stores"/>
    <x v="7"/>
    <s v="Bonduelle"/>
    <s v="|62/01/03|"/>
    <n v="1056"/>
    <n v="2.11"/>
    <n v="3.61"/>
  </r>
  <r>
    <x v="0"/>
    <s v="Convenience stores"/>
    <x v="7"/>
    <s v="Bonduelle"/>
    <s v="|62/01/04|"/>
    <n v="624"/>
    <n v="2.86"/>
    <n v="3.36"/>
  </r>
  <r>
    <x v="0"/>
    <s v="Convenience stores"/>
    <x v="7"/>
    <s v="Bonduelle"/>
    <s v="|62/01/05|"/>
    <n v="1104"/>
    <n v="2.44"/>
    <n v="3.33"/>
  </r>
  <r>
    <x v="0"/>
    <s v="Convenience stores"/>
    <x v="7"/>
    <s v="Bonduelle"/>
    <s v="|62/01/06|"/>
    <n v="924"/>
    <n v="2.11"/>
    <n v="3.55"/>
  </r>
  <r>
    <x v="0"/>
    <s v="Convenience stores"/>
    <x v="7"/>
    <s v="Bonduelle"/>
    <s v="|62/01/07|"/>
    <n v="900"/>
    <n v="2.5499999999999998"/>
    <n v="3.9"/>
  </r>
  <r>
    <x v="0"/>
    <s v="Convenience stores"/>
    <x v="7"/>
    <s v="Bonduelle"/>
    <s v="|62/01/08|"/>
    <n v="1080"/>
    <n v="2.37"/>
    <n v="4"/>
  </r>
  <r>
    <x v="0"/>
    <s v="Convenience stores"/>
    <x v="7"/>
    <s v="Bonduelle"/>
    <s v="|62/01/09|"/>
    <n v="684"/>
    <n v="2.85"/>
    <n v="3.5"/>
  </r>
  <r>
    <x v="0"/>
    <s v="Convenience stores"/>
    <x v="7"/>
    <s v="Bonduelle"/>
    <s v="|62/01/10|"/>
    <n v="972"/>
    <n v="2.46"/>
    <n v="3.43"/>
  </r>
  <r>
    <x v="0"/>
    <s v="Convenience stores"/>
    <x v="7"/>
    <s v="Bonduelle"/>
    <s v="|62/01/11|"/>
    <n v="1044"/>
    <n v="2.57"/>
    <n v="3.47"/>
  </r>
  <r>
    <x v="0"/>
    <s v="Convenience stores"/>
    <x v="7"/>
    <s v="Bonduelle"/>
    <s v="|62/01/12|"/>
    <n v="720"/>
    <n v="2.44"/>
    <n v="3.96"/>
  </r>
  <r>
    <x v="0"/>
    <s v="Convenience stores"/>
    <x v="7"/>
    <s v="Bonduelle"/>
    <s v="|62/01/13|"/>
    <n v="1188"/>
    <n v="2.17"/>
    <n v="3.98"/>
  </r>
  <r>
    <x v="0"/>
    <s v="Convenience stores"/>
    <x v="7"/>
    <s v="Bonduelle"/>
    <s v="|62/01/14|"/>
    <n v="1092"/>
    <n v="2.94"/>
    <n v="3.21"/>
  </r>
  <r>
    <x v="0"/>
    <s v="Convenience stores"/>
    <x v="7"/>
    <s v="Bonduelle"/>
    <s v="|62/01/15|"/>
    <n v="936"/>
    <n v="2.7"/>
    <n v="3.85"/>
  </r>
  <r>
    <x v="0"/>
    <s v="Convenience stores"/>
    <x v="7"/>
    <s v="Bonduelle"/>
    <s v="|62/01/16|"/>
    <n v="1008"/>
    <n v="2.1"/>
    <n v="3.24"/>
  </r>
  <r>
    <x v="0"/>
    <s v="Convenience stores"/>
    <x v="7"/>
    <s v="Bonduelle"/>
    <s v="|62/01/17|"/>
    <n v="708"/>
    <n v="2.5299999999999998"/>
    <n v="3.91"/>
  </r>
  <r>
    <x v="0"/>
    <s v="Convenience stores"/>
    <x v="7"/>
    <s v="Bonduelle"/>
    <s v="|62/01/18|"/>
    <n v="744"/>
    <n v="2.2000000000000002"/>
    <n v="3.29"/>
  </r>
  <r>
    <x v="0"/>
    <s v="Convenience stores"/>
    <x v="7"/>
    <s v="Bonduelle"/>
    <s v="|62/01/19|"/>
    <n v="1068"/>
    <n v="2.81"/>
    <n v="3.24"/>
  </r>
  <r>
    <x v="0"/>
    <s v="Convenience stores"/>
    <x v="7"/>
    <s v="Bonduelle"/>
    <s v="|62/01/20|"/>
    <n v="768"/>
    <n v="2.25"/>
    <n v="3.37"/>
  </r>
  <r>
    <x v="0"/>
    <s v="Convenience stores"/>
    <x v="7"/>
    <s v="Bonduelle"/>
    <s v="|62/01/21|"/>
    <n v="684"/>
    <n v="2.81"/>
    <n v="3.68"/>
  </r>
  <r>
    <x v="0"/>
    <s v="Convenience stores"/>
    <x v="7"/>
    <s v="Bonduelle"/>
    <s v="|62/01/22|"/>
    <n v="900"/>
    <n v="2.5"/>
    <n v="3.28"/>
  </r>
  <r>
    <x v="0"/>
    <s v="Convenience stores"/>
    <x v="7"/>
    <s v="Bonduelle"/>
    <s v="|62/01/23|"/>
    <n v="672"/>
    <n v="2.88"/>
    <n v="3.8"/>
  </r>
  <r>
    <x v="0"/>
    <s v="Convenience stores"/>
    <x v="7"/>
    <s v="Bonduelle"/>
    <s v="|62/01/24|"/>
    <n v="720"/>
    <n v="2.4900000000000002"/>
    <n v="3.49"/>
  </r>
  <r>
    <x v="0"/>
    <s v="Convenience stores"/>
    <x v="7"/>
    <s v="Bonduelle"/>
    <s v="|62/01/25|"/>
    <n v="696"/>
    <n v="2.94"/>
    <n v="3.83"/>
  </r>
  <r>
    <x v="0"/>
    <s v="Convenience stores"/>
    <x v="7"/>
    <s v="Bonduelle"/>
    <s v="|62/01/26|"/>
    <n v="768"/>
    <n v="2.4500000000000002"/>
    <n v="3.25"/>
  </r>
  <r>
    <x v="0"/>
    <s v="Convenience stores"/>
    <x v="7"/>
    <s v="Bonduelle"/>
    <s v="|62/01/27|"/>
    <n v="792"/>
    <n v="2.37"/>
    <n v="3.39"/>
  </r>
  <r>
    <x v="0"/>
    <s v="Convenience stores"/>
    <x v="7"/>
    <s v="Bonduelle"/>
    <s v="|62/01/28|"/>
    <n v="768"/>
    <n v="2.66"/>
    <n v="3.74"/>
  </r>
  <r>
    <x v="0"/>
    <s v="Convenience stores"/>
    <x v="7"/>
    <s v="Bonduelle"/>
    <s v="|62/01/29|"/>
    <n v="804"/>
    <n v="2.63"/>
    <n v="3.91"/>
  </r>
  <r>
    <x v="0"/>
    <s v="Convenience stores"/>
    <x v="7"/>
    <s v="Bonduelle"/>
    <s v="|62/01/30|"/>
    <n v="1092"/>
    <n v="2.04"/>
    <n v="3.84"/>
  </r>
  <r>
    <x v="0"/>
    <s v="Convenience stores"/>
    <x v="7"/>
    <s v="Bonduelle"/>
    <s v="|62/01/31|"/>
    <n v="1044"/>
    <n v="2.57"/>
    <n v="3.42"/>
  </r>
  <r>
    <x v="0"/>
    <s v="Convenience stores"/>
    <x v="7"/>
    <s v="Bonduelle"/>
    <s v="|62/01/32|"/>
    <n v="864"/>
    <n v="2.82"/>
    <n v="3.68"/>
  </r>
  <r>
    <x v="0"/>
    <s v="Convenience stores"/>
    <x v="7"/>
    <s v="Bonduelle"/>
    <s v="|62/01/33|"/>
    <n v="612"/>
    <n v="2.06"/>
    <n v="3.36"/>
  </r>
  <r>
    <x v="0"/>
    <s v="Convenience stores"/>
    <x v="7"/>
    <s v="Bonduelle"/>
    <s v="|62/01/34|"/>
    <n v="780"/>
    <n v="2.8"/>
    <n v="3.36"/>
  </r>
  <r>
    <x v="0"/>
    <s v="Convenience stores"/>
    <x v="7"/>
    <s v="Bonduelle"/>
    <s v="|62/01/35|"/>
    <n v="732"/>
    <n v="2.2000000000000002"/>
    <n v="3.65"/>
  </r>
  <r>
    <x v="0"/>
    <s v="Convenience stores"/>
    <x v="7"/>
    <s v="Bonduelle"/>
    <s v="|62/01/36|"/>
    <n v="1032"/>
    <n v="2.38"/>
    <n v="3.52"/>
  </r>
  <r>
    <x v="0"/>
    <s v="Convenience stores"/>
    <x v="7"/>
    <s v="Bonduelle"/>
    <s v="|62/01/37|"/>
    <n v="888"/>
    <n v="2.5299999999999998"/>
    <n v="3.31"/>
  </r>
  <r>
    <x v="0"/>
    <s v="Convenience stores"/>
    <x v="7"/>
    <s v="Bonduelle"/>
    <s v="|62/01/38|"/>
    <n v="720"/>
    <n v="2.39"/>
    <n v="3.51"/>
  </r>
  <r>
    <x v="0"/>
    <s v="Convenience stores"/>
    <x v="7"/>
    <s v="Bonduelle"/>
    <s v="|62/01/39|"/>
    <n v="648"/>
    <n v="2.33"/>
    <n v="3.3"/>
  </r>
  <r>
    <x v="0"/>
    <s v="Convenience stores"/>
    <x v="7"/>
    <s v="Bonduelle"/>
    <s v="|62/01/40|"/>
    <n v="768"/>
    <n v="2.75"/>
    <n v="3.4"/>
  </r>
  <r>
    <x v="0"/>
    <s v="Convenience stores"/>
    <x v="7"/>
    <s v="Bonduelle"/>
    <s v="|62/01/41|"/>
    <n v="864"/>
    <n v="2.65"/>
    <n v="3.34"/>
  </r>
  <r>
    <x v="0"/>
    <s v="Convenience stores"/>
    <x v="7"/>
    <s v="Bonduelle"/>
    <s v="|62/01/42|"/>
    <n v="1104"/>
    <n v="2.5099999999999998"/>
    <n v="3.4"/>
  </r>
  <r>
    <x v="0"/>
    <s v="Convenience stores"/>
    <x v="7"/>
    <s v="Bonduelle"/>
    <s v="|62/01/43|"/>
    <n v="972"/>
    <n v="2"/>
    <n v="3.86"/>
  </r>
  <r>
    <x v="0"/>
    <s v="Convenience stores"/>
    <x v="7"/>
    <s v="Bonduelle"/>
    <s v="|62/01/44|"/>
    <n v="1032"/>
    <n v="2.85"/>
    <n v="3.92"/>
  </r>
  <r>
    <x v="0"/>
    <s v="Convenience stores"/>
    <x v="7"/>
    <s v="Bonduelle"/>
    <s v="|62/01/45|"/>
    <n v="1104"/>
    <n v="2.06"/>
    <n v="3.63"/>
  </r>
  <r>
    <x v="0"/>
    <s v="Convenience stores"/>
    <x v="7"/>
    <s v="Bonduelle"/>
    <s v="|62/01/46|"/>
    <n v="1080"/>
    <n v="2.85"/>
    <n v="3.55"/>
  </r>
  <r>
    <x v="0"/>
    <s v="Convenience stores"/>
    <x v="7"/>
    <s v="Bonduelle"/>
    <s v="|62/01/99|"/>
    <n v="1128"/>
    <n v="2.86"/>
    <n v="3.54"/>
  </r>
  <r>
    <x v="0"/>
    <s v="Convenience stores"/>
    <x v="7"/>
    <s v="Bonduelle"/>
    <s v="|62/02/01|"/>
    <n v="816"/>
    <n v="2.61"/>
    <n v="3.83"/>
  </r>
  <r>
    <x v="0"/>
    <s v="Convenience stores"/>
    <x v="7"/>
    <s v="Bonduelle"/>
    <s v="|62/02/02|"/>
    <n v="1164"/>
    <n v="2.69"/>
    <n v="3.41"/>
  </r>
  <r>
    <x v="0"/>
    <s v="Convenience stores"/>
    <x v="7"/>
    <s v="Bonduelle"/>
    <s v="|62/02/03|"/>
    <n v="960"/>
    <n v="2.84"/>
    <n v="3.77"/>
  </r>
  <r>
    <x v="0"/>
    <s v="Convenience stores"/>
    <x v="7"/>
    <s v="Bonduelle"/>
    <s v="|62/02/04|"/>
    <n v="1068"/>
    <n v="2.08"/>
    <n v="3.54"/>
  </r>
  <r>
    <x v="0"/>
    <s v="Convenience stores"/>
    <x v="7"/>
    <s v="Bonduelle"/>
    <s v="|62/02/05|"/>
    <n v="1032"/>
    <n v="2.08"/>
    <n v="3.39"/>
  </r>
  <r>
    <x v="0"/>
    <s v="Convenience stores"/>
    <x v="7"/>
    <s v="Bonduelle"/>
    <s v="|62/02/06|"/>
    <n v="600"/>
    <n v="2.4900000000000002"/>
    <n v="3.44"/>
  </r>
  <r>
    <x v="0"/>
    <s v="Convenience stores"/>
    <x v="7"/>
    <s v="Bonduelle"/>
    <s v="|62/02/07|"/>
    <n v="828"/>
    <n v="2.97"/>
    <n v="3.45"/>
  </r>
  <r>
    <x v="0"/>
    <s v="Convenience stores"/>
    <x v="7"/>
    <s v="Bonduelle"/>
    <s v="|62/02/08|"/>
    <n v="1068"/>
    <n v="2.46"/>
    <n v="3.34"/>
  </r>
  <r>
    <x v="0"/>
    <s v="Convenience stores"/>
    <x v="7"/>
    <s v="Bonduelle"/>
    <s v="|62/02/09|"/>
    <n v="984"/>
    <n v="2.29"/>
    <n v="3.37"/>
  </r>
  <r>
    <x v="0"/>
    <s v="Convenience stores"/>
    <x v="7"/>
    <s v="Bonduelle"/>
    <s v="|62/02/10|"/>
    <n v="1080"/>
    <n v="2.54"/>
    <n v="3.48"/>
  </r>
  <r>
    <x v="0"/>
    <s v="Convenience stores"/>
    <x v="7"/>
    <s v="Bonduelle"/>
    <s v="|62/02/11|"/>
    <n v="1176"/>
    <n v="2.72"/>
    <n v="3.88"/>
  </r>
  <r>
    <x v="0"/>
    <s v="Convenience stores"/>
    <x v="7"/>
    <s v="Bonduelle"/>
    <s v="|62/02/13|"/>
    <n v="1152"/>
    <n v="2.42"/>
    <n v="3.69"/>
  </r>
  <r>
    <x v="0"/>
    <s v="Convenience stores"/>
    <x v="7"/>
    <s v="Bonduelle"/>
    <s v="|62/02/14|"/>
    <n v="1176"/>
    <n v="2.87"/>
    <n v="3.5"/>
  </r>
  <r>
    <x v="0"/>
    <s v="Convenience stores"/>
    <x v="7"/>
    <s v="Bonduelle"/>
    <s v="|62/02/15|"/>
    <n v="648"/>
    <n v="2.35"/>
    <n v="3.2"/>
  </r>
  <r>
    <x v="0"/>
    <s v="Convenience stores"/>
    <x v="7"/>
    <s v="Bonduelle"/>
    <s v="|62/03/01|"/>
    <n v="984"/>
    <n v="2.34"/>
    <n v="3.48"/>
  </r>
  <r>
    <x v="0"/>
    <s v="Convenience stores"/>
    <x v="7"/>
    <s v="Bonduelle"/>
    <s v="|62/03/02|"/>
    <n v="600"/>
    <n v="2.92"/>
    <n v="3.9"/>
  </r>
  <r>
    <x v="0"/>
    <s v="Convenience stores"/>
    <x v="7"/>
    <s v="Bonduelle"/>
    <s v="|62/03/03|"/>
    <n v="672"/>
    <n v="2.31"/>
    <n v="3.48"/>
  </r>
  <r>
    <x v="0"/>
    <s v="Convenience stores"/>
    <x v="7"/>
    <s v="Bonduelle"/>
    <s v="|62/03/04|"/>
    <n v="936"/>
    <n v="2.09"/>
    <n v="3.77"/>
  </r>
  <r>
    <x v="0"/>
    <s v="Convenience stores"/>
    <x v="7"/>
    <s v="Bonduelle"/>
    <s v="|62/03/05|"/>
    <n v="1020"/>
    <n v="2.76"/>
    <n v="3.58"/>
  </r>
  <r>
    <x v="0"/>
    <s v="Convenience stores"/>
    <x v="7"/>
    <s v="Bonduelle"/>
    <s v="|62/03/06|"/>
    <n v="924"/>
    <n v="2.5499999999999998"/>
    <n v="3.57"/>
  </r>
  <r>
    <x v="0"/>
    <s v="Convenience stores"/>
    <x v="7"/>
    <s v="Bonduelle"/>
    <s v="|62/03/07|"/>
    <n v="1104"/>
    <n v="2.56"/>
    <n v="3.75"/>
  </r>
  <r>
    <x v="0"/>
    <s v="Convenience stores"/>
    <x v="7"/>
    <s v="Bonduelle"/>
    <s v="|62/03/08|"/>
    <n v="636"/>
    <n v="2.14"/>
    <n v="3.77"/>
  </r>
  <r>
    <x v="0"/>
    <s v="Convenience stores"/>
    <x v="7"/>
    <s v="Bonduelle"/>
    <s v="|62/03/09|"/>
    <n v="1104"/>
    <n v="2.85"/>
    <n v="3.23"/>
  </r>
  <r>
    <x v="0"/>
    <s v="Convenience stores"/>
    <x v="7"/>
    <s v="Bonduelle"/>
    <s v="|62/03/10|"/>
    <n v="684"/>
    <n v="2.37"/>
    <n v="3.95"/>
  </r>
  <r>
    <x v="0"/>
    <s v="Convenience stores"/>
    <x v="7"/>
    <s v="Bonduelle"/>
    <s v="|62/03/11|"/>
    <n v="948"/>
    <n v="2.6"/>
    <n v="3.34"/>
  </r>
  <r>
    <x v="0"/>
    <s v="Convenience stores"/>
    <x v="7"/>
    <s v="Bonduelle"/>
    <s v="|62/03/12|"/>
    <n v="1200"/>
    <n v="2.56"/>
    <n v="3.86"/>
  </r>
  <r>
    <x v="0"/>
    <s v="Convenience stores"/>
    <x v="7"/>
    <s v="Bonduelle"/>
    <s v="|62/03/13|"/>
    <n v="972"/>
    <n v="2.57"/>
    <n v="3.46"/>
  </r>
  <r>
    <x v="0"/>
    <s v="Convenience stores"/>
    <x v="7"/>
    <s v="Bonduelle"/>
    <s v="|62/03/14|"/>
    <n v="852"/>
    <n v="2.3199999999999998"/>
    <n v="3.42"/>
  </r>
  <r>
    <x v="0"/>
    <s v="Convenience stores"/>
    <x v="7"/>
    <s v="Bonduelle"/>
    <s v="|62/03/15|"/>
    <n v="1128"/>
    <n v="2.11"/>
    <n v="3.86"/>
  </r>
  <r>
    <x v="0"/>
    <s v="Convenience stores"/>
    <x v="7"/>
    <s v="Bonduelle"/>
    <s v="|62/03/16|"/>
    <n v="732"/>
    <n v="2.6"/>
    <n v="3.91"/>
  </r>
  <r>
    <x v="0"/>
    <s v="Convenience stores"/>
    <x v="7"/>
    <s v="Bonduelle"/>
    <s v="|62/03/17|"/>
    <n v="876"/>
    <n v="2.46"/>
    <n v="3.94"/>
  </r>
  <r>
    <x v="0"/>
    <s v="Convenience stores"/>
    <x v="7"/>
    <s v="Bonduelle"/>
    <s v="|62/03/18|"/>
    <n v="744"/>
    <n v="2.8"/>
    <n v="3.81"/>
  </r>
  <r>
    <x v="0"/>
    <s v="Convenience stores"/>
    <x v="7"/>
    <s v="Bonduelle"/>
    <s v="|62/03/19|"/>
    <n v="1092"/>
    <n v="2.82"/>
    <n v="3.21"/>
  </r>
  <r>
    <x v="0"/>
    <s v="Convenience stores"/>
    <x v="7"/>
    <s v="Bonduelle"/>
    <s v="|62/03/20|"/>
    <n v="1164"/>
    <n v="2.4300000000000002"/>
    <n v="3.52"/>
  </r>
  <r>
    <x v="0"/>
    <s v="Convenience stores"/>
    <x v="7"/>
    <s v="Bonduelle"/>
    <s v="|62/03/21|"/>
    <n v="1200"/>
    <n v="2.86"/>
    <n v="4"/>
  </r>
  <r>
    <x v="0"/>
    <s v="Convenience stores"/>
    <x v="7"/>
    <s v="Bonduelle"/>
    <s v="|62/03/22|"/>
    <n v="1044"/>
    <n v="2.17"/>
    <n v="3.72"/>
  </r>
  <r>
    <x v="0"/>
    <s v="Convenience stores"/>
    <x v="7"/>
    <s v="Bonduelle"/>
    <s v="|62/03/23|"/>
    <n v="1188"/>
    <n v="2.99"/>
    <n v="3.34"/>
  </r>
  <r>
    <x v="0"/>
    <s v="Convenience stores"/>
    <x v="7"/>
    <s v="Bonduelle"/>
    <s v="|62/03/24|"/>
    <n v="1164"/>
    <n v="2.98"/>
    <n v="3.89"/>
  </r>
  <r>
    <x v="0"/>
    <s v="Convenience stores"/>
    <x v="7"/>
    <s v="Bonduelle"/>
    <s v="|62/03/25|"/>
    <n v="1188"/>
    <n v="2"/>
    <n v="3.69"/>
  </r>
  <r>
    <x v="0"/>
    <s v="Convenience stores"/>
    <x v="7"/>
    <s v="Bonduelle"/>
    <s v="|62/03/26|"/>
    <n v="840"/>
    <n v="2.77"/>
    <n v="3.99"/>
  </r>
  <r>
    <x v="0"/>
    <s v="Convenience stores"/>
    <x v="7"/>
    <s v="Bonduelle"/>
    <s v="|62/03/27|"/>
    <n v="732"/>
    <n v="2.96"/>
    <n v="3.46"/>
  </r>
  <r>
    <x v="0"/>
    <s v="Convenience stores"/>
    <x v="7"/>
    <s v="Bonduelle"/>
    <s v="|62/03/28|"/>
    <n v="840"/>
    <n v="2.34"/>
    <n v="3.25"/>
  </r>
  <r>
    <x v="0"/>
    <s v="Convenience stores"/>
    <x v="7"/>
    <s v="Bonduelle"/>
    <s v="|62/03/29|"/>
    <n v="1152"/>
    <n v="2.4500000000000002"/>
    <n v="3.96"/>
  </r>
  <r>
    <x v="0"/>
    <s v="Convenience stores"/>
    <x v="7"/>
    <s v="Bonduelle"/>
    <s v="|62/03/30|"/>
    <n v="984"/>
    <n v="2.66"/>
    <n v="3.28"/>
  </r>
  <r>
    <x v="0"/>
    <s v="Convenience stores"/>
    <x v="7"/>
    <s v="Bonduelle"/>
    <s v="|62/03/31|"/>
    <n v="864"/>
    <n v="2.2799999999999998"/>
    <n v="3.85"/>
  </r>
  <r>
    <x v="0"/>
    <s v="Convenience stores"/>
    <x v="7"/>
    <s v="Bonduelle"/>
    <s v="|62/03/32|"/>
    <n v="852"/>
    <n v="2.0299999999999998"/>
    <n v="3.86"/>
  </r>
  <r>
    <x v="0"/>
    <s v="Convenience stores"/>
    <x v="7"/>
    <s v="Bonduelle"/>
    <s v="|62/03/33|"/>
    <n v="1116"/>
    <n v="2.2799999999999998"/>
    <n v="3.76"/>
  </r>
  <r>
    <x v="0"/>
    <s v="Convenience stores"/>
    <x v="7"/>
    <s v="Bonduelle"/>
    <s v="|62/03/34|"/>
    <n v="1080"/>
    <n v="2.02"/>
    <n v="3.59"/>
  </r>
  <r>
    <x v="0"/>
    <s v="Convenience stores"/>
    <x v="7"/>
    <s v="Bonduelle"/>
    <s v="|62/03/35|"/>
    <n v="804"/>
    <n v="2.34"/>
    <n v="3.88"/>
  </r>
  <r>
    <x v="0"/>
    <s v="Convenience stores"/>
    <x v="7"/>
    <s v="Bonduelle"/>
    <s v="|62/03/36|"/>
    <n v="660"/>
    <n v="2.59"/>
    <n v="3.97"/>
  </r>
  <r>
    <x v="0"/>
    <s v="Convenience stores"/>
    <x v="7"/>
    <s v="Bonduelle"/>
    <s v="|62/03/37|"/>
    <n v="1128"/>
    <n v="2.83"/>
    <n v="3.38"/>
  </r>
  <r>
    <x v="0"/>
    <s v="Convenience stores"/>
    <x v="7"/>
    <s v="Bonduelle"/>
    <s v="|62/03/38|"/>
    <n v="708"/>
    <n v="2.66"/>
    <n v="3.41"/>
  </r>
  <r>
    <x v="0"/>
    <s v="Convenience stores"/>
    <x v="7"/>
    <s v="Bonduelle"/>
    <s v="|62/03/39|"/>
    <n v="696"/>
    <n v="2.16"/>
    <n v="3.78"/>
  </r>
  <r>
    <x v="0"/>
    <s v="Convenience stores"/>
    <x v="7"/>
    <s v="Bonduelle"/>
    <s v="|62/03/40|"/>
    <n v="672"/>
    <n v="2.91"/>
    <n v="3.27"/>
  </r>
  <r>
    <x v="0"/>
    <s v="Convenience stores"/>
    <x v="7"/>
    <s v="Bonduelle"/>
    <s v="|62/03/41|"/>
    <n v="636"/>
    <n v="2.27"/>
    <n v="3.68"/>
  </r>
  <r>
    <x v="0"/>
    <s v="Convenience stores"/>
    <x v="7"/>
    <s v="Bonduelle"/>
    <s v="|62/03/42|"/>
    <n v="1020"/>
    <n v="2.66"/>
    <n v="3.97"/>
  </r>
  <r>
    <x v="0"/>
    <s v="Convenience stores"/>
    <x v="7"/>
    <s v="Bonduelle"/>
    <s v="|62/03/43|"/>
    <n v="1128"/>
    <n v="2.4"/>
    <n v="3.32"/>
  </r>
  <r>
    <x v="0"/>
    <s v="Convenience stores"/>
    <x v="7"/>
    <s v="Bonduelle"/>
    <s v="|62/03/44|"/>
    <n v="1188"/>
    <n v="2.0099999999999998"/>
    <n v="3.89"/>
  </r>
  <r>
    <x v="0"/>
    <s v="Convenience stores"/>
    <x v="7"/>
    <s v="Bonduelle"/>
    <s v="|62/03/45|"/>
    <n v="948"/>
    <n v="2.44"/>
    <n v="3.31"/>
  </r>
  <r>
    <x v="0"/>
    <s v="Convenience stores"/>
    <x v="7"/>
    <s v="Bonduelle"/>
    <s v="|62/03/46|"/>
    <n v="948"/>
    <n v="2.29"/>
    <n v="3.74"/>
  </r>
  <r>
    <x v="0"/>
    <s v="Convenience stores"/>
    <x v="7"/>
    <s v="Bonduelle"/>
    <s v="|62/03/47|"/>
    <n v="624"/>
    <n v="2.67"/>
    <n v="3.51"/>
  </r>
  <r>
    <x v="0"/>
    <s v="Convenience stores"/>
    <x v="7"/>
    <s v="Bonduelle"/>
    <s v="|62/03/48|"/>
    <n v="1152"/>
    <n v="2.99"/>
    <n v="3.92"/>
  </r>
  <r>
    <x v="0"/>
    <s v="Convenience stores"/>
    <x v="7"/>
    <s v="Bonduelle"/>
    <s v="|62/03/49|"/>
    <n v="1140"/>
    <n v="2.98"/>
    <n v="3.8"/>
  </r>
  <r>
    <x v="0"/>
    <s v="Convenience stores"/>
    <x v="7"/>
    <s v="Bonduelle"/>
    <s v="|62/03/50|"/>
    <n v="1152"/>
    <n v="2.89"/>
    <n v="3.98"/>
  </r>
  <r>
    <x v="0"/>
    <s v="Convenience stores"/>
    <x v="7"/>
    <s v="Bonduelle"/>
    <s v="|62/03/51|"/>
    <n v="1152"/>
    <n v="2.42"/>
    <n v="3.77"/>
  </r>
  <r>
    <x v="0"/>
    <s v="Convenience stores"/>
    <x v="7"/>
    <s v="Bonduelle"/>
    <s v="|62/03/52|"/>
    <n v="1104"/>
    <n v="2.68"/>
    <n v="3.29"/>
  </r>
  <r>
    <x v="0"/>
    <s v="Convenience stores"/>
    <x v="7"/>
    <s v="Bonduelle"/>
    <s v="|62/03/53|"/>
    <n v="1092"/>
    <n v="2.23"/>
    <n v="3.34"/>
  </r>
  <r>
    <x v="0"/>
    <s v="Convenience stores"/>
    <x v="7"/>
    <s v="Bonduelle"/>
    <s v="|62/03/54|"/>
    <n v="816"/>
    <n v="2.73"/>
    <n v="3.81"/>
  </r>
  <r>
    <x v="0"/>
    <s v="Convenience stores"/>
    <x v="7"/>
    <s v="Bonduelle"/>
    <s v="|62/03/55|"/>
    <n v="612"/>
    <n v="2.1"/>
    <n v="3.53"/>
  </r>
  <r>
    <x v="0"/>
    <s v="Convenience stores"/>
    <x v="7"/>
    <s v="Bonduelle"/>
    <s v="|62/03/56|"/>
    <n v="792"/>
    <n v="2.91"/>
    <n v="3.77"/>
  </r>
  <r>
    <x v="0"/>
    <s v="Convenience stores"/>
    <x v="7"/>
    <s v="Bonduelle"/>
    <s v="|62/03/57|"/>
    <n v="816"/>
    <n v="2.35"/>
    <n v="3.93"/>
  </r>
  <r>
    <x v="0"/>
    <s v="Convenience stores"/>
    <x v="7"/>
    <s v="Bonduelle"/>
    <s v="|62/03/58|"/>
    <n v="948"/>
    <n v="2.2200000000000002"/>
    <n v="3.75"/>
  </r>
  <r>
    <x v="0"/>
    <s v="Convenience stores"/>
    <x v="7"/>
    <s v="Bonduelle"/>
    <s v="|62/03/59|"/>
    <n v="1068"/>
    <n v="2.58"/>
    <n v="3.86"/>
  </r>
  <r>
    <x v="0"/>
    <s v="Convenience stores"/>
    <x v="7"/>
    <s v="Bonduelle"/>
    <s v="|62/03/60|"/>
    <n v="1152"/>
    <n v="2.2400000000000002"/>
    <n v="3.2"/>
  </r>
  <r>
    <x v="0"/>
    <s v="Convenience stores"/>
    <x v="7"/>
    <s v="Bonduelle"/>
    <s v="|62/03/61|"/>
    <n v="972"/>
    <n v="2.4300000000000002"/>
    <n v="3.3"/>
  </r>
  <r>
    <x v="0"/>
    <s v="Convenience stores"/>
    <x v="7"/>
    <s v="Bonduelle"/>
    <s v="|62/03/62|"/>
    <n v="792"/>
    <n v="2.4700000000000002"/>
    <n v="3.35"/>
  </r>
  <r>
    <x v="0"/>
    <s v="Convenience stores"/>
    <x v="7"/>
    <s v="Bonduelle"/>
    <s v="|62/03/63|"/>
    <n v="1020"/>
    <n v="2.97"/>
    <n v="3.57"/>
  </r>
  <r>
    <x v="0"/>
    <s v="Convenience stores"/>
    <x v="7"/>
    <s v="Bonduelle"/>
    <s v="|62/03/64|"/>
    <n v="1080"/>
    <n v="2.34"/>
    <n v="3.4"/>
  </r>
  <r>
    <x v="0"/>
    <s v="Convenience stores"/>
    <x v="7"/>
    <s v="Bonduelle"/>
    <s v="|62/03/66|"/>
    <n v="600"/>
    <n v="2.65"/>
    <n v="3.6"/>
  </r>
  <r>
    <x v="0"/>
    <s v="Convenience stores"/>
    <x v="7"/>
    <s v="Bonduelle"/>
    <s v="|62/03/68|"/>
    <n v="684"/>
    <n v="2.78"/>
    <n v="3.95"/>
  </r>
  <r>
    <x v="0"/>
    <s v="Convenience stores"/>
    <x v="7"/>
    <s v="Bonduelle"/>
    <s v="|62/03/69|"/>
    <n v="912"/>
    <n v="2.76"/>
    <n v="3.81"/>
  </r>
  <r>
    <x v="0"/>
    <s v="Convenience stores"/>
    <x v="7"/>
    <s v="Bonduelle"/>
    <s v="|62/03/72|"/>
    <n v="1008"/>
    <n v="2.66"/>
    <n v="3.22"/>
  </r>
  <r>
    <x v="0"/>
    <s v="Convenience stores"/>
    <x v="7"/>
    <s v="Bonduelle"/>
    <s v="|62/03/73|"/>
    <n v="672"/>
    <n v="2.0099999999999998"/>
    <n v="3.58"/>
  </r>
  <r>
    <x v="0"/>
    <s v="Convenience stores"/>
    <x v="7"/>
    <s v="Bonduelle"/>
    <s v="|62/03/74|"/>
    <n v="636"/>
    <n v="2.38"/>
    <n v="3.8"/>
  </r>
  <r>
    <x v="0"/>
    <s v="Convenience stores"/>
    <x v="7"/>
    <s v="Bonduelle"/>
    <s v="|62/03/75|"/>
    <n v="1116"/>
    <n v="2.08"/>
    <n v="3.24"/>
  </r>
  <r>
    <x v="0"/>
    <s v="Convenience stores"/>
    <x v="7"/>
    <s v="Bonduelle"/>
    <s v="|62/03/76|"/>
    <n v="1056"/>
    <n v="2.02"/>
    <n v="3.51"/>
  </r>
  <r>
    <x v="0"/>
    <s v="Convenience stores"/>
    <x v="7"/>
    <s v="Bonduelle"/>
    <s v="|62/03/77|"/>
    <n v="936"/>
    <n v="2.5099999999999998"/>
    <n v="3.4"/>
  </r>
  <r>
    <x v="0"/>
    <s v="Convenience stores"/>
    <x v="7"/>
    <s v="Bonduelle"/>
    <s v="|62/03/78|"/>
    <n v="828"/>
    <n v="2.2000000000000002"/>
    <n v="3.83"/>
  </r>
  <r>
    <x v="0"/>
    <s v="Convenience stores"/>
    <x v="7"/>
    <s v="Bonduelle"/>
    <s v="|62/03/79|"/>
    <n v="1032"/>
    <n v="2.12"/>
    <n v="3.69"/>
  </r>
  <r>
    <x v="0"/>
    <s v="Convenience stores"/>
    <x v="7"/>
    <s v="Bonduelle"/>
    <s v="|62/04/01|"/>
    <n v="840"/>
    <n v="2.88"/>
    <n v="3.3"/>
  </r>
  <r>
    <x v="0"/>
    <s v="Convenience stores"/>
    <x v="7"/>
    <s v="Bonduelle"/>
    <s v="|62/04/02|"/>
    <n v="732"/>
    <n v="2.0699999999999998"/>
    <n v="3.9"/>
  </r>
  <r>
    <x v="0"/>
    <s v="Convenience stores"/>
    <x v="7"/>
    <s v="Bonduelle"/>
    <s v="|62/04/03|"/>
    <n v="792"/>
    <n v="2.8"/>
    <n v="3.86"/>
  </r>
  <r>
    <x v="0"/>
    <s v="Convenience stores"/>
    <x v="7"/>
    <s v="Bonduelle"/>
    <s v="|62/04/04|"/>
    <n v="1140"/>
    <n v="2.81"/>
    <n v="3.45"/>
  </r>
  <r>
    <x v="0"/>
    <s v="Convenience stores"/>
    <x v="7"/>
    <s v="Bonduelle"/>
    <s v="|62/04/05|"/>
    <n v="636"/>
    <n v="2.25"/>
    <n v="3.4"/>
  </r>
  <r>
    <x v="0"/>
    <s v="Convenience stores"/>
    <x v="7"/>
    <s v="Bonduelle"/>
    <s v="|62/04/06|"/>
    <n v="888"/>
    <n v="2.44"/>
    <n v="3.52"/>
  </r>
  <r>
    <x v="0"/>
    <s v="Convenience stores"/>
    <x v="7"/>
    <s v="Bonduelle"/>
    <s v="|62/04/07|"/>
    <n v="780"/>
    <n v="2.48"/>
    <n v="3.26"/>
  </r>
  <r>
    <x v="0"/>
    <s v="Convenience stores"/>
    <x v="7"/>
    <s v="Bonduelle"/>
    <s v="|62/04/08|"/>
    <n v="624"/>
    <n v="2.83"/>
    <n v="3.62"/>
  </r>
  <r>
    <x v="0"/>
    <s v="Convenience stores"/>
    <x v="7"/>
    <s v="Bonduelle"/>
    <s v="|62/04/09|"/>
    <n v="624"/>
    <n v="2.8"/>
    <n v="3.4"/>
  </r>
  <r>
    <x v="0"/>
    <s v="Convenience stores"/>
    <x v="7"/>
    <s v="Bonduelle"/>
    <s v="|62/04/10|"/>
    <n v="1068"/>
    <n v="2.65"/>
    <n v="3.79"/>
  </r>
  <r>
    <x v="0"/>
    <s v="Convenience stores"/>
    <x v="7"/>
    <s v="Bonduelle"/>
    <s v="|62/04/11|"/>
    <n v="924"/>
    <n v="2.96"/>
    <n v="3.61"/>
  </r>
  <r>
    <x v="0"/>
    <s v="Convenience stores"/>
    <x v="7"/>
    <s v="Bonduelle"/>
    <s v="|62/04/13|"/>
    <n v="1104"/>
    <n v="2.72"/>
    <n v="3.2"/>
  </r>
  <r>
    <x v="0"/>
    <s v="Convenience stores"/>
    <x v="7"/>
    <s v="Bonduelle"/>
    <s v="|62/04/14|"/>
    <n v="1128"/>
    <n v="2.21"/>
    <n v="3.27"/>
  </r>
  <r>
    <x v="0"/>
    <s v="Convenience stores"/>
    <x v="7"/>
    <s v="Bonduelle"/>
    <s v="|62/04/15|"/>
    <n v="828"/>
    <n v="2.04"/>
    <n v="3.8"/>
  </r>
  <r>
    <x v="0"/>
    <s v="Convenience stores"/>
    <x v="7"/>
    <s v="Bonduelle"/>
    <s v="|62/04/16|"/>
    <n v="840"/>
    <n v="2.96"/>
    <n v="3.74"/>
  </r>
  <r>
    <x v="0"/>
    <s v="Convenience stores"/>
    <x v="7"/>
    <s v="Bonduelle"/>
    <s v="|62/04/17|"/>
    <n v="816"/>
    <n v="2.6"/>
    <n v="3.71"/>
  </r>
  <r>
    <x v="0"/>
    <s v="Convenience stores"/>
    <x v="7"/>
    <s v="Bonduelle"/>
    <s v="|62/04/18|"/>
    <n v="1116"/>
    <n v="2.0699999999999998"/>
    <n v="3.96"/>
  </r>
  <r>
    <x v="0"/>
    <s v="Convenience stores"/>
    <x v="7"/>
    <s v="Bonduelle"/>
    <s v="|62/04/19|"/>
    <n v="1032"/>
    <n v="2.15"/>
    <n v="3.92"/>
  </r>
  <r>
    <x v="0"/>
    <s v="Convenience stores"/>
    <x v="7"/>
    <s v="Bonduelle"/>
    <s v="|62/04/20|"/>
    <n v="1188"/>
    <n v="2.16"/>
    <n v="3.48"/>
  </r>
  <r>
    <x v="0"/>
    <s v="Convenience stores"/>
    <x v="7"/>
    <s v="Bonduelle"/>
    <s v="|62/04/21|"/>
    <n v="1116"/>
    <n v="2.25"/>
    <n v="3.24"/>
  </r>
  <r>
    <x v="0"/>
    <s v="Convenience stores"/>
    <x v="7"/>
    <s v="Bonduelle"/>
    <s v="|62/04/23|"/>
    <n v="948"/>
    <n v="2.94"/>
    <n v="3.24"/>
  </r>
  <r>
    <x v="0"/>
    <s v="Convenience stores"/>
    <x v="7"/>
    <s v="Bonduelle"/>
    <s v="|62/04/25|"/>
    <n v="1032"/>
    <n v="2.93"/>
    <n v="3.44"/>
  </r>
  <r>
    <x v="0"/>
    <s v="Convenience stores"/>
    <x v="7"/>
    <s v="Bonduelle"/>
    <s v="|62/04/26|"/>
    <n v="840"/>
    <n v="2.84"/>
    <n v="3.59"/>
  </r>
  <r>
    <x v="0"/>
    <s v="Convenience stores"/>
    <x v="7"/>
    <s v="Bonduelle"/>
    <s v="|62/04/27|"/>
    <n v="1020"/>
    <n v="2.14"/>
    <n v="3.31"/>
  </r>
  <r>
    <x v="0"/>
    <s v="Convenience stores"/>
    <x v="7"/>
    <s v="Bonduelle"/>
    <s v="|62/05/01|"/>
    <n v="972"/>
    <n v="2.83"/>
    <n v="3.23"/>
  </r>
  <r>
    <x v="0"/>
    <s v="Convenience stores"/>
    <x v="7"/>
    <s v="Bonduelle"/>
    <s v="|62/05/02|"/>
    <n v="792"/>
    <n v="2.99"/>
    <n v="3.8"/>
  </r>
  <r>
    <x v="0"/>
    <s v="Convenience stores"/>
    <x v="7"/>
    <s v="Bonduelle"/>
    <s v="|62/05/03|"/>
    <n v="1152"/>
    <n v="2.23"/>
    <n v="3.49"/>
  </r>
  <r>
    <x v="0"/>
    <s v="Convenience stores"/>
    <x v="7"/>
    <s v="Bonduelle"/>
    <s v="|62/05/04|"/>
    <n v="1020"/>
    <n v="2.64"/>
    <n v="3.75"/>
  </r>
  <r>
    <x v="0"/>
    <s v="Convenience stores"/>
    <x v="7"/>
    <s v="Bonduelle"/>
    <s v="|62/05/05|"/>
    <n v="840"/>
    <n v="2.85"/>
    <n v="3.27"/>
  </r>
  <r>
    <x v="0"/>
    <s v="Convenience stores"/>
    <x v="7"/>
    <s v="Bonduelle"/>
    <s v="|62/05/06|"/>
    <n v="1068"/>
    <n v="2.33"/>
    <n v="3.84"/>
  </r>
  <r>
    <x v="0"/>
    <s v="Convenience stores"/>
    <x v="7"/>
    <s v="Bonduelle"/>
    <s v="|62/09/01|"/>
    <n v="744"/>
    <n v="2.4900000000000002"/>
    <n v="3.83"/>
  </r>
  <r>
    <x v="0"/>
    <s v="Convenience stores"/>
    <x v="4"/>
    <s v="Veet"/>
    <s v="|55/01/01|"/>
    <n v="708"/>
    <n v="4.1900000000000004"/>
    <n v="5.08"/>
  </r>
  <r>
    <x v="0"/>
    <s v="Convenience stores"/>
    <x v="4"/>
    <s v="Veet"/>
    <s v="|55/01/02|"/>
    <n v="588"/>
    <n v="4.78"/>
    <n v="5.38"/>
  </r>
  <r>
    <x v="0"/>
    <s v="Convenience stores"/>
    <x v="4"/>
    <s v="Veet"/>
    <s v="|55/01/03|"/>
    <n v="624"/>
    <n v="4.0599999999999996"/>
    <n v="5.12"/>
  </r>
  <r>
    <x v="0"/>
    <s v="Convenience stores"/>
    <x v="4"/>
    <s v="Veet"/>
    <s v="|55/01/04|"/>
    <n v="648"/>
    <n v="4.25"/>
    <n v="5.22"/>
  </r>
  <r>
    <x v="0"/>
    <s v="Convenience stores"/>
    <x v="4"/>
    <s v="Veet"/>
    <s v="|55/01/05|"/>
    <n v="432"/>
    <n v="4.13"/>
    <n v="5.36"/>
  </r>
  <r>
    <x v="0"/>
    <s v="Convenience stores"/>
    <x v="4"/>
    <s v="Veet"/>
    <s v="|55/01/06|"/>
    <n v="624"/>
    <n v="4.55"/>
    <n v="5.0599999999999996"/>
  </r>
  <r>
    <x v="0"/>
    <s v="Convenience stores"/>
    <x v="4"/>
    <s v="Veet"/>
    <s v="|55/01/07|"/>
    <n v="660"/>
    <n v="4.92"/>
    <n v="5.31"/>
  </r>
  <r>
    <x v="0"/>
    <s v="Convenience stores"/>
    <x v="4"/>
    <s v="Veet"/>
    <s v="|55/01/08|"/>
    <n v="672"/>
    <n v="4.03"/>
    <n v="5.33"/>
  </r>
  <r>
    <x v="0"/>
    <s v="Convenience stores"/>
    <x v="4"/>
    <s v="Veet"/>
    <s v="|55/01/09|"/>
    <n v="288"/>
    <n v="4.74"/>
    <n v="5.08"/>
  </r>
  <r>
    <x v="0"/>
    <s v="Convenience stores"/>
    <x v="4"/>
    <s v="Veet"/>
    <s v="|55/01/10|"/>
    <n v="444"/>
    <n v="4.45"/>
    <n v="5.27"/>
  </r>
  <r>
    <x v="0"/>
    <s v="Convenience stores"/>
    <x v="4"/>
    <s v="Veet"/>
    <s v="|55/01/11|"/>
    <n v="576"/>
    <n v="4.54"/>
    <n v="5.29"/>
  </r>
  <r>
    <x v="0"/>
    <s v="Convenience stores"/>
    <x v="4"/>
    <s v="Veet"/>
    <s v="|55/01/12|"/>
    <n v="576"/>
    <n v="4.91"/>
    <n v="5.32"/>
  </r>
  <r>
    <x v="0"/>
    <s v="Convenience stores"/>
    <x v="4"/>
    <s v="Veet"/>
    <s v="|55/01/13|"/>
    <n v="468"/>
    <n v="4.8099999999999996"/>
    <n v="5.18"/>
  </r>
  <r>
    <x v="0"/>
    <s v="Convenience stores"/>
    <x v="4"/>
    <s v="Veet"/>
    <s v="|55/01/14|"/>
    <n v="612"/>
    <n v="4.1100000000000003"/>
    <n v="5.08"/>
  </r>
  <r>
    <x v="0"/>
    <s v="Convenience stores"/>
    <x v="4"/>
    <s v="Veet"/>
    <s v="|55/01/15|"/>
    <n v="480"/>
    <n v="4.3499999999999996"/>
    <n v="5.34"/>
  </r>
  <r>
    <x v="0"/>
    <s v="Convenience stores"/>
    <x v="4"/>
    <s v="Veet"/>
    <s v="|55/01/16|"/>
    <n v="696"/>
    <n v="4.8499999999999996"/>
    <n v="5.18"/>
  </r>
  <r>
    <x v="0"/>
    <s v="Convenience stores"/>
    <x v="4"/>
    <s v="Veet"/>
    <s v="|55/01/17|"/>
    <n v="360"/>
    <n v="4.09"/>
    <n v="5.3"/>
  </r>
  <r>
    <x v="0"/>
    <s v="Convenience stores"/>
    <x v="4"/>
    <s v="Veet"/>
    <s v="|55/01/18|"/>
    <n v="684"/>
    <n v="4.6100000000000003"/>
    <n v="5.15"/>
  </r>
  <r>
    <x v="0"/>
    <s v="Convenience stores"/>
    <x v="4"/>
    <s v="Veet"/>
    <s v="|55/01/19|"/>
    <n v="660"/>
    <n v="4.12"/>
    <n v="5.18"/>
  </r>
  <r>
    <x v="0"/>
    <s v="Convenience stores"/>
    <x v="4"/>
    <s v="Veet"/>
    <s v="|55/01/20|"/>
    <n v="696"/>
    <n v="4.9000000000000004"/>
    <n v="5.0199999999999996"/>
  </r>
  <r>
    <x v="0"/>
    <s v="Convenience stores"/>
    <x v="4"/>
    <s v="Veet"/>
    <s v="|55/01/21|"/>
    <n v="372"/>
    <n v="4.5199999999999996"/>
    <n v="5.37"/>
  </r>
  <r>
    <x v="0"/>
    <s v="Convenience stores"/>
    <x v="4"/>
    <s v="Veet"/>
    <s v="|55/01/22|"/>
    <n v="408"/>
    <n v="4.4800000000000004"/>
    <n v="5.01"/>
  </r>
  <r>
    <x v="0"/>
    <s v="Convenience stores"/>
    <x v="4"/>
    <s v="Veet"/>
    <s v="|55/01/23|"/>
    <n v="324"/>
    <n v="4.76"/>
    <n v="5.22"/>
  </r>
  <r>
    <x v="0"/>
    <s v="Convenience stores"/>
    <x v="4"/>
    <s v="Veet"/>
    <s v="|55/01/24|"/>
    <n v="492"/>
    <n v="4.54"/>
    <n v="5.0599999999999996"/>
  </r>
  <r>
    <x v="0"/>
    <s v="Convenience stores"/>
    <x v="4"/>
    <s v="Veet"/>
    <s v="|55/01/25|"/>
    <n v="696"/>
    <n v="4.96"/>
    <n v="5.12"/>
  </r>
  <r>
    <x v="0"/>
    <s v="Convenience stores"/>
    <x v="4"/>
    <s v="Veet"/>
    <s v="|55/01/26|"/>
    <n v="636"/>
    <n v="4.72"/>
    <n v="5.24"/>
  </r>
  <r>
    <x v="0"/>
    <s v="Convenience stores"/>
    <x v="4"/>
    <s v="Veet"/>
    <s v="|55/01/27|"/>
    <n v="660"/>
    <n v="4.47"/>
    <n v="5.13"/>
  </r>
  <r>
    <x v="0"/>
    <s v="Convenience stores"/>
    <x v="4"/>
    <s v="Veet"/>
    <s v="|55/01/28|"/>
    <n v="420"/>
    <n v="4.37"/>
    <n v="5.34"/>
  </r>
  <r>
    <x v="0"/>
    <s v="Convenience stores"/>
    <x v="4"/>
    <s v="Veet"/>
    <s v="|55/01/29|"/>
    <n v="600"/>
    <n v="4.95"/>
    <n v="5.23"/>
  </r>
  <r>
    <x v="0"/>
    <s v="Convenience stores"/>
    <x v="4"/>
    <s v="Veet"/>
    <s v="|55/01/30|"/>
    <n v="264"/>
    <n v="4.9800000000000004"/>
    <n v="5.21"/>
  </r>
  <r>
    <x v="0"/>
    <s v="Convenience stores"/>
    <x v="4"/>
    <s v="Veet"/>
    <s v="|55/01/31|"/>
    <n v="300"/>
    <n v="4.67"/>
    <n v="5.29"/>
  </r>
  <r>
    <x v="0"/>
    <s v="Convenience stores"/>
    <x v="4"/>
    <s v="Veet"/>
    <s v="|55/01/32|"/>
    <n v="552"/>
    <n v="4.12"/>
    <n v="5.05"/>
  </r>
  <r>
    <x v="0"/>
    <s v="Convenience stores"/>
    <x v="4"/>
    <s v="Veet"/>
    <s v="|55/01/33|"/>
    <n v="264"/>
    <n v="4.2699999999999996"/>
    <n v="5.34"/>
  </r>
  <r>
    <x v="0"/>
    <s v="Convenience stores"/>
    <x v="4"/>
    <s v="Veet"/>
    <s v="|55/01/34|"/>
    <n v="384"/>
    <n v="4.18"/>
    <n v="5.39"/>
  </r>
  <r>
    <x v="0"/>
    <s v="Convenience stores"/>
    <x v="4"/>
    <s v="Veet"/>
    <s v="|55/01/35|"/>
    <n v="432"/>
    <n v="4.51"/>
    <n v="5.31"/>
  </r>
  <r>
    <x v="0"/>
    <s v="Convenience stores"/>
    <x v="4"/>
    <s v="Veet"/>
    <s v="|55/01/36|"/>
    <n v="348"/>
    <n v="4"/>
    <n v="5.08"/>
  </r>
  <r>
    <x v="0"/>
    <s v="Convenience stores"/>
    <x v="4"/>
    <s v="Veet"/>
    <s v="|55/01/37|"/>
    <n v="552"/>
    <n v="4.9800000000000004"/>
    <n v="5.03"/>
  </r>
  <r>
    <x v="0"/>
    <s v="Convenience stores"/>
    <x v="4"/>
    <s v="Veet"/>
    <s v="|55/01/38|"/>
    <n v="264"/>
    <n v="4.8899999999999997"/>
    <n v="5.39"/>
  </r>
  <r>
    <x v="0"/>
    <s v="Convenience stores"/>
    <x v="4"/>
    <s v="Veet"/>
    <s v="|55/01/39|"/>
    <n v="540"/>
    <n v="4.75"/>
    <n v="5.1100000000000003"/>
  </r>
  <r>
    <x v="0"/>
    <s v="Convenience stores"/>
    <x v="4"/>
    <s v="Veet"/>
    <s v="|55/01/40|"/>
    <n v="648"/>
    <n v="4.71"/>
    <n v="5.23"/>
  </r>
  <r>
    <x v="0"/>
    <s v="Convenience stores"/>
    <x v="4"/>
    <s v="Veet"/>
    <s v="|55/01/41|"/>
    <n v="336"/>
    <n v="4.82"/>
    <n v="5.16"/>
  </r>
  <r>
    <x v="0"/>
    <s v="Convenience stores"/>
    <x v="4"/>
    <s v="Veet"/>
    <s v="|55/01/42|"/>
    <n v="396"/>
    <n v="4.41"/>
    <n v="5.27"/>
  </r>
  <r>
    <x v="0"/>
    <s v="Convenience stores"/>
    <x v="4"/>
    <s v="Veet"/>
    <s v="|55/01/43|"/>
    <n v="456"/>
    <n v="4.01"/>
    <n v="5.36"/>
  </r>
  <r>
    <x v="0"/>
    <s v="Convenience stores"/>
    <x v="4"/>
    <s v="Veet"/>
    <s v="|55/01/44|"/>
    <n v="324"/>
    <n v="4.93"/>
    <n v="5.36"/>
  </r>
  <r>
    <x v="0"/>
    <s v="Convenience stores"/>
    <x v="4"/>
    <s v="Veet"/>
    <s v="|55/01/45|"/>
    <n v="432"/>
    <n v="4.1100000000000003"/>
    <n v="5.0999999999999996"/>
  </r>
  <r>
    <x v="0"/>
    <s v="Convenience stores"/>
    <x v="4"/>
    <s v="Veet"/>
    <s v="|55/01/46|"/>
    <n v="288"/>
    <n v="4.59"/>
    <n v="5.26"/>
  </r>
  <r>
    <x v="0"/>
    <s v="Convenience stores"/>
    <x v="4"/>
    <s v="Veet"/>
    <s v="|55/01/47|"/>
    <n v="684"/>
    <n v="4.38"/>
    <n v="5.28"/>
  </r>
  <r>
    <x v="0"/>
    <s v="Convenience stores"/>
    <x v="4"/>
    <s v="Veet"/>
    <s v="|55/01/48|"/>
    <n v="336"/>
    <n v="4.96"/>
    <n v="5.08"/>
  </r>
  <r>
    <x v="0"/>
    <s v="Convenience stores"/>
    <x v="4"/>
    <s v="Veet"/>
    <s v="|55/01/60|"/>
    <n v="312"/>
    <n v="4.3499999999999996"/>
    <n v="5.13"/>
  </r>
  <r>
    <x v="0"/>
    <s v="Convenience stores"/>
    <x v="4"/>
    <s v="Veet"/>
    <s v="|55/01/61|"/>
    <n v="684"/>
    <n v="4.8899999999999997"/>
    <n v="5.07"/>
  </r>
  <r>
    <x v="0"/>
    <s v="Convenience stores"/>
    <x v="4"/>
    <s v="Veet"/>
    <s v="|55/01/62|"/>
    <n v="408"/>
    <n v="4.37"/>
    <n v="5.18"/>
  </r>
  <r>
    <x v="0"/>
    <s v="Convenience stores"/>
    <x v="4"/>
    <s v="Veet"/>
    <s v="|55/01/63|"/>
    <n v="564"/>
    <n v="4.32"/>
    <n v="5.08"/>
  </r>
  <r>
    <x v="0"/>
    <s v="Convenience stores"/>
    <x v="4"/>
    <s v="Veet"/>
    <s v="|55/01/64|"/>
    <n v="480"/>
    <n v="4.57"/>
    <n v="5.25"/>
  </r>
  <r>
    <x v="0"/>
    <s v="Convenience stores"/>
    <x v="1"/>
    <s v="North Cascade"/>
    <s v="|45/08/01|"/>
    <n v="576"/>
    <n v="5.4266666666666667"/>
    <n v="7.8866666666666667"/>
  </r>
  <r>
    <x v="0"/>
    <s v="Convenience stores"/>
    <x v="1"/>
    <s v="North Cascade"/>
    <s v="|45/30/01|"/>
    <n v="432"/>
    <n v="6.26"/>
    <n v="7.6866666666666665"/>
  </r>
  <r>
    <x v="0"/>
    <s v="Convenience stores"/>
    <x v="1"/>
    <s v="North Cascade"/>
    <s v="|45/50/01|"/>
    <n v="480"/>
    <n v="5.6933333333333334"/>
    <n v="7.8066666666666666"/>
  </r>
  <r>
    <x v="0"/>
    <s v="Convenience stores"/>
    <x v="1"/>
    <s v="North Cascade"/>
    <s v="|45/50/02|"/>
    <n v="612"/>
    <n v="5.7733333333333334"/>
    <n v="7.7733333333333334"/>
  </r>
  <r>
    <x v="0"/>
    <s v="Convenience stores"/>
    <x v="1"/>
    <s v="North Cascade"/>
    <s v="|45/50/03|"/>
    <n v="456"/>
    <n v="6.6333333333333337"/>
    <n v="7.5533333333333337"/>
  </r>
  <r>
    <x v="0"/>
    <s v="Convenience stores"/>
    <x v="1"/>
    <s v="North Cascade"/>
    <s v="|45/50/04|"/>
    <n v="492"/>
    <n v="5.753333333333333"/>
    <n v="8.413333333333334"/>
  </r>
  <r>
    <x v="0"/>
    <s v="Convenience stores"/>
    <x v="1"/>
    <s v="North Cascade"/>
    <s v="|45/50/05|"/>
    <n v="492"/>
    <n v="5.6133333333333333"/>
    <n v="8.26"/>
  </r>
  <r>
    <x v="0"/>
    <s v="Convenience stores"/>
    <x v="1"/>
    <s v="North Cascade"/>
    <s v="|45/50/06|"/>
    <n v="504"/>
    <n v="6.54"/>
    <n v="8.0933333333333337"/>
  </r>
  <r>
    <x v="0"/>
    <s v="Convenience stores"/>
    <x v="1"/>
    <s v="North Cascade"/>
    <s v="|45/50/07|"/>
    <n v="564"/>
    <n v="6.1733333333333329"/>
    <n v="7.4466666666666663"/>
  </r>
  <r>
    <x v="0"/>
    <s v="Convenience stores"/>
    <x v="1"/>
    <s v="North Cascade"/>
    <s v="|45/50/08|"/>
    <n v="600"/>
    <n v="6.36"/>
    <n v="8.6"/>
  </r>
  <r>
    <x v="0"/>
    <s v="Convenience stores"/>
    <x v="1"/>
    <s v="North Cascade"/>
    <s v="|45/50/09|"/>
    <n v="420"/>
    <n v="5.42"/>
    <n v="7.8666666666666663"/>
  </r>
  <r>
    <x v="0"/>
    <s v="Convenience stores"/>
    <x v="1"/>
    <s v="North Cascade"/>
    <s v="|45/50/10|"/>
    <n v="504"/>
    <n v="5.3733333333333331"/>
    <n v="8.0333333333333332"/>
  </r>
  <r>
    <x v="0"/>
    <s v="Convenience stores"/>
    <x v="1"/>
    <s v="North Cascade"/>
    <s v="|45/50/11|"/>
    <n v="444"/>
    <n v="6.0066666666666668"/>
    <n v="8.5933333333333337"/>
  </r>
  <r>
    <x v="0"/>
    <s v="Convenience stores"/>
    <x v="1"/>
    <s v="North Cascade"/>
    <s v="|45/50/12|"/>
    <n v="636"/>
    <n v="6.5733333333333333"/>
    <n v="7.96"/>
  </r>
  <r>
    <x v="0"/>
    <s v="Convenience stores"/>
    <x v="1"/>
    <s v="North Cascade"/>
    <s v="|45/50/13|"/>
    <n v="408"/>
    <n v="5.9266666666666667"/>
    <n v="8.4666666666666668"/>
  </r>
  <r>
    <x v="0"/>
    <s v="Convenience stores"/>
    <x v="1"/>
    <s v="North Cascade"/>
    <s v="|45/50/14|"/>
    <n v="588"/>
    <n v="6.4133333333333331"/>
    <n v="8.08"/>
  </r>
  <r>
    <x v="0"/>
    <s v="Convenience stores"/>
    <x v="1"/>
    <s v="North Cascade"/>
    <s v="|45/50/15|"/>
    <n v="480"/>
    <n v="6.0333333333333332"/>
    <n v="7.96"/>
  </r>
  <r>
    <x v="0"/>
    <s v="Convenience stores"/>
    <x v="1"/>
    <s v="North Cascade"/>
    <s v="|45/50/16|"/>
    <n v="600"/>
    <n v="6.34"/>
    <n v="7.44"/>
  </r>
  <r>
    <x v="0"/>
    <s v="Convenience stores"/>
    <x v="1"/>
    <s v="North Cascade"/>
    <s v="|45/50/17|"/>
    <n v="480"/>
    <n v="6.26"/>
    <n v="7.3866666666666667"/>
  </r>
  <r>
    <x v="0"/>
    <s v="Convenience stores"/>
    <x v="1"/>
    <s v="North Cascade"/>
    <s v="|45/50/19|"/>
    <n v="444"/>
    <n v="5.6"/>
    <n v="8.3266666666666662"/>
  </r>
  <r>
    <x v="0"/>
    <s v="Convenience stores"/>
    <x v="1"/>
    <s v="North Cascade"/>
    <s v="|45/50/20|"/>
    <n v="432"/>
    <n v="5.76"/>
    <n v="8.3800000000000008"/>
  </r>
  <r>
    <x v="0"/>
    <s v="Convenience stores"/>
    <x v="1"/>
    <s v="North Cascade"/>
    <s v="|45/50/21|"/>
    <n v="480"/>
    <n v="5.38"/>
    <n v="7.8066666666666666"/>
  </r>
  <r>
    <x v="0"/>
    <s v="Convenience stores"/>
    <x v="1"/>
    <s v="North Cascade"/>
    <s v="|45/50/22|"/>
    <n v="444"/>
    <n v="5.48"/>
    <n v="8.26"/>
  </r>
  <r>
    <x v="0"/>
    <s v="Convenience stores"/>
    <x v="1"/>
    <s v="North Cascade"/>
    <s v="|45/50/23|"/>
    <n v="588"/>
    <n v="6.2333333333333334"/>
    <n v="8.6666666666666661"/>
  </r>
  <r>
    <x v="0"/>
    <s v="Convenience stores"/>
    <x v="1"/>
    <s v="North Cascade"/>
    <s v="|45/50/24|"/>
    <n v="432"/>
    <n v="5.2666666666666666"/>
    <n v="7.54"/>
  </r>
  <r>
    <x v="0"/>
    <s v="Convenience stores"/>
    <x v="1"/>
    <s v="North Cascade"/>
    <s v="|45/50/25|"/>
    <n v="408"/>
    <n v="5.5266666666666664"/>
    <n v="7.72"/>
  </r>
  <r>
    <x v="0"/>
    <s v="Convenience stores"/>
    <x v="1"/>
    <s v="North Cascade"/>
    <s v="|45/50/26|"/>
    <n v="600"/>
    <n v="5.333333333333333"/>
    <n v="7.9066666666666663"/>
  </r>
  <r>
    <x v="0"/>
    <s v="Convenience stores"/>
    <x v="1"/>
    <s v="North Cascade"/>
    <s v="|45/50/27|"/>
    <n v="600"/>
    <n v="6.3533333333333335"/>
    <n v="8.5666666666666664"/>
  </r>
  <r>
    <x v="0"/>
    <s v="Convenience stores"/>
    <x v="1"/>
    <s v="North Cascade"/>
    <s v="|45/50/28|"/>
    <n v="588"/>
    <n v="5.6333333333333337"/>
    <n v="7.56"/>
  </r>
  <r>
    <x v="0"/>
    <s v="Convenience stores"/>
    <x v="1"/>
    <s v="North Cascade"/>
    <s v="|45/50/29|"/>
    <n v="480"/>
    <n v="5.833333333333333"/>
    <n v="7.6"/>
  </r>
  <r>
    <x v="0"/>
    <s v="Convenience stores"/>
    <x v="1"/>
    <s v="North Cascade"/>
    <s v="|45/50/30|"/>
    <n v="432"/>
    <n v="6.166666666666667"/>
    <n v="8.1999999999999993"/>
  </r>
  <r>
    <x v="0"/>
    <s v="Convenience stores"/>
    <x v="1"/>
    <s v="North Cascade"/>
    <s v="|45/50/31|"/>
    <n v="492"/>
    <n v="5.8733333333333331"/>
    <n v="8.2799999999999994"/>
  </r>
  <r>
    <x v="0"/>
    <s v="Convenience stores"/>
    <x v="1"/>
    <s v="North Cascade"/>
    <s v="|45/50/32|"/>
    <n v="468"/>
    <n v="5.58"/>
    <n v="8.2466666666666661"/>
  </r>
  <r>
    <x v="0"/>
    <s v="Convenience stores"/>
    <x v="1"/>
    <s v="North Cascade"/>
    <s v="|45/50/33|"/>
    <n v="504"/>
    <n v="5.3266666666666671"/>
    <n v="7.9066666666666663"/>
  </r>
  <r>
    <x v="0"/>
    <s v="Convenience stores"/>
    <x v="1"/>
    <s v="North Cascade"/>
    <s v="|45/50/34|"/>
    <n v="468"/>
    <n v="5.4733333333333336"/>
    <n v="8.5666666666666664"/>
  </r>
  <r>
    <x v="0"/>
    <s v="Convenience stores"/>
    <x v="1"/>
    <s v="North Cascade"/>
    <s v="|45/50/35|"/>
    <n v="420"/>
    <n v="5.793333333333333"/>
    <n v="7.5466666666666669"/>
  </r>
  <r>
    <x v="0"/>
    <s v="Convenience stores"/>
    <x v="1"/>
    <s v="North Cascade"/>
    <s v="|45/50/36|"/>
    <n v="444"/>
    <n v="6.3533333333333335"/>
    <n v="7.8733333333333331"/>
  </r>
  <r>
    <x v="0"/>
    <s v="Convenience stores"/>
    <x v="1"/>
    <s v="North Cascade"/>
    <s v="|45/50/37|"/>
    <n v="444"/>
    <n v="5.54"/>
    <n v="8.48"/>
  </r>
  <r>
    <x v="0"/>
    <s v="Convenience stores"/>
    <x v="1"/>
    <s v="North Cascade"/>
    <s v="|45/50/38|"/>
    <n v="624"/>
    <n v="5.4266666666666667"/>
    <n v="7.8866666666666667"/>
  </r>
  <r>
    <x v="0"/>
    <s v="Convenience stores"/>
    <x v="1"/>
    <s v="North Cascade"/>
    <s v="|45/50/39|"/>
    <n v="420"/>
    <n v="5.4733333333333336"/>
    <n v="7.9133333333333331"/>
  </r>
  <r>
    <x v="0"/>
    <s v="Convenience stores"/>
    <x v="1"/>
    <s v="North Cascade"/>
    <s v="|45/50/40|"/>
    <n v="492"/>
    <n v="5.7333333333333334"/>
    <n v="7.8133333333333335"/>
  </r>
  <r>
    <x v="0"/>
    <s v="Convenience stores"/>
    <x v="1"/>
    <s v="North Cascade"/>
    <s v="|45/50/40a|"/>
    <n v="516"/>
    <n v="6.54"/>
    <n v="7.3466666666666667"/>
  </r>
  <r>
    <x v="0"/>
    <s v="Convenience stores"/>
    <x v="1"/>
    <s v="North Cascade"/>
    <s v="|45/50/40b|"/>
    <n v="492"/>
    <n v="5.2733333333333334"/>
    <n v="7.8133333333333335"/>
  </r>
  <r>
    <x v="0"/>
    <s v="Convenience stores"/>
    <x v="1"/>
    <s v="North Cascade"/>
    <s v="|45/50/40c|"/>
    <n v="480"/>
    <n v="5.7666666666666666"/>
    <n v="8.02"/>
  </r>
  <r>
    <x v="0"/>
    <s v="Convenience stores"/>
    <x v="1"/>
    <s v="North Cascade"/>
    <s v="|45/50/40d|"/>
    <n v="564"/>
    <n v="6.2866666666666671"/>
    <n v="8.5"/>
  </r>
  <r>
    <x v="0"/>
    <s v="Convenience stores"/>
    <x v="1"/>
    <s v="North Cascade"/>
    <s v="|45/50/41|"/>
    <n v="600"/>
    <n v="5.7333333333333334"/>
    <n v="7.6533333333333333"/>
  </r>
  <r>
    <x v="0"/>
    <s v="Convenience stores"/>
    <x v="1"/>
    <s v="North Cascade"/>
    <s v="|45/50/42|"/>
    <n v="612"/>
    <n v="5.6466666666666665"/>
    <n v="7.62"/>
  </r>
  <r>
    <x v="0"/>
    <s v="Convenience stores"/>
    <x v="1"/>
    <s v="North Cascade"/>
    <s v="|45/50/98|"/>
    <n v="528"/>
    <n v="6.4333333333333336"/>
    <n v="8.1533333333333342"/>
  </r>
  <r>
    <x v="0"/>
    <s v="Convenience stores"/>
    <x v="1"/>
    <s v="North Cascade"/>
    <s v="|45/50/99|"/>
    <n v="576"/>
    <n v="5.6733333333333329"/>
    <n v="7.9733333333333336"/>
  </r>
  <r>
    <x v="0"/>
    <s v="Convenience stores"/>
    <x v="8"/>
    <s v="North Cascade"/>
    <s v="|45/01/01|"/>
    <n v="1692"/>
    <n v="5"/>
    <n v="6"/>
  </r>
  <r>
    <x v="0"/>
    <s v="Convenience stores"/>
    <x v="8"/>
    <s v="North Cascade"/>
    <s v="|45/01/02|"/>
    <n v="1512"/>
    <n v="4"/>
    <n v="6"/>
  </r>
  <r>
    <x v="0"/>
    <s v="Convenience stores"/>
    <x v="8"/>
    <s v="North Cascade"/>
    <s v="|45/01/03|"/>
    <n v="1560"/>
    <n v="5"/>
    <n v="6"/>
  </r>
  <r>
    <x v="0"/>
    <s v="Convenience stores"/>
    <x v="8"/>
    <s v="North Cascade"/>
    <s v="|45/01/04|"/>
    <n v="1512"/>
    <n v="4"/>
    <n v="7"/>
  </r>
  <r>
    <x v="0"/>
    <s v="Convenience stores"/>
    <x v="8"/>
    <s v="North Cascade"/>
    <s v="|45/01/05|"/>
    <n v="1800"/>
    <n v="5"/>
    <n v="7"/>
  </r>
  <r>
    <x v="0"/>
    <s v="Convenience stores"/>
    <x v="8"/>
    <s v="North Cascade"/>
    <s v="|45/01/11|"/>
    <n v="1788"/>
    <n v="5"/>
    <n v="6"/>
  </r>
  <r>
    <x v="0"/>
    <s v="Convenience stores"/>
    <x v="8"/>
    <s v="North Cascade"/>
    <s v="|45/01/12|"/>
    <n v="1728"/>
    <n v="4"/>
    <n v="6"/>
  </r>
  <r>
    <x v="0"/>
    <s v="Convenience stores"/>
    <x v="8"/>
    <s v="North Cascade"/>
    <s v="|45/01/13|"/>
    <n v="1644"/>
    <n v="5"/>
    <n v="6"/>
  </r>
  <r>
    <x v="0"/>
    <s v="Convenience stores"/>
    <x v="8"/>
    <s v="North Cascade"/>
    <s v="|45/01/14|"/>
    <n v="1728"/>
    <n v="5"/>
    <n v="6"/>
  </r>
  <r>
    <x v="0"/>
    <s v="Convenience stores"/>
    <x v="8"/>
    <s v="North Cascade"/>
    <s v="|45/01/15|"/>
    <n v="1524"/>
    <n v="5"/>
    <n v="6"/>
  </r>
  <r>
    <x v="0"/>
    <s v="Convenience stores"/>
    <x v="8"/>
    <s v="North Cascade"/>
    <s v="|45/01/16|"/>
    <n v="1632"/>
    <n v="4"/>
    <n v="7"/>
  </r>
  <r>
    <x v="0"/>
    <s v="Convenience stores"/>
    <x v="8"/>
    <s v="North Cascade"/>
    <s v="|45/01/20|"/>
    <n v="1680"/>
    <n v="5"/>
    <n v="6"/>
  </r>
  <r>
    <x v="0"/>
    <s v="Convenience stores"/>
    <x v="8"/>
    <s v="North Cascade"/>
    <s v="|45/01/21|"/>
    <n v="1512"/>
    <n v="4"/>
    <n v="6"/>
  </r>
  <r>
    <x v="0"/>
    <s v="Convenience stores"/>
    <x v="8"/>
    <s v="North Cascade"/>
    <s v="|45/01/22|"/>
    <n v="1788"/>
    <n v="5"/>
    <n v="7"/>
  </r>
  <r>
    <x v="0"/>
    <s v="Convenience stores"/>
    <x v="8"/>
    <s v="North Cascade"/>
    <s v="|45/02/01|"/>
    <n v="1620"/>
    <n v="5"/>
    <n v="6"/>
  </r>
  <r>
    <x v="0"/>
    <s v="Convenience stores"/>
    <x v="8"/>
    <s v="North Cascade"/>
    <s v="|45/02/02|"/>
    <n v="1512"/>
    <n v="4"/>
    <n v="6"/>
  </r>
  <r>
    <x v="0"/>
    <s v="Convenience stores"/>
    <x v="8"/>
    <s v="North Cascade"/>
    <s v="|45/02/03|"/>
    <n v="1524"/>
    <n v="5"/>
    <n v="6"/>
  </r>
  <r>
    <x v="0"/>
    <s v="Convenience stores"/>
    <x v="8"/>
    <s v="North Cascade"/>
    <s v="|45/02/04|"/>
    <n v="1632"/>
    <n v="4"/>
    <n v="6"/>
  </r>
  <r>
    <x v="0"/>
    <s v="Convenience stores"/>
    <x v="8"/>
    <s v="North Cascade"/>
    <s v="|45/02/05|"/>
    <n v="1668"/>
    <n v="4"/>
    <n v="7"/>
  </r>
  <r>
    <x v="0"/>
    <s v="Convenience stores"/>
    <x v="8"/>
    <s v="North Cascade"/>
    <s v="|45/02/11|"/>
    <n v="1584"/>
    <n v="4"/>
    <n v="6"/>
  </r>
  <r>
    <x v="0"/>
    <s v="Convenience stores"/>
    <x v="8"/>
    <s v="North Cascade"/>
    <s v="|45/02/12|"/>
    <n v="1608"/>
    <n v="5"/>
    <n v="6"/>
  </r>
  <r>
    <x v="0"/>
    <s v="Convenience stores"/>
    <x v="8"/>
    <s v="North Cascade"/>
    <s v="|45/02/13|"/>
    <n v="1536"/>
    <n v="5"/>
    <n v="6"/>
  </r>
  <r>
    <x v="0"/>
    <s v="Convenience stores"/>
    <x v="8"/>
    <s v="North Cascade"/>
    <s v="|45/02/21|"/>
    <n v="1572"/>
    <n v="4"/>
    <n v="7"/>
  </r>
  <r>
    <x v="0"/>
    <s v="Convenience stores"/>
    <x v="8"/>
    <s v="North Cascade"/>
    <s v="|45/02/22|"/>
    <n v="1800"/>
    <n v="4"/>
    <n v="6"/>
  </r>
  <r>
    <x v="0"/>
    <s v="Convenience stores"/>
    <x v="8"/>
    <s v="North Cascade"/>
    <s v="|45/02/23|"/>
    <n v="1692"/>
    <n v="4"/>
    <n v="7"/>
  </r>
  <r>
    <x v="0"/>
    <s v="Convenience stores"/>
    <x v="8"/>
    <s v="North Cascade"/>
    <s v="|45/02/31|"/>
    <n v="1500"/>
    <n v="4"/>
    <n v="6"/>
  </r>
  <r>
    <x v="0"/>
    <s v="Convenience stores"/>
    <x v="8"/>
    <s v="North Cascade"/>
    <s v="|45/03/01|"/>
    <n v="1608"/>
    <n v="4"/>
    <n v="7"/>
  </r>
  <r>
    <x v="0"/>
    <s v="Convenience stores"/>
    <x v="8"/>
    <s v="North Cascade"/>
    <s v="|45/03/03|"/>
    <n v="1728"/>
    <n v="4"/>
    <n v="7"/>
  </r>
  <r>
    <x v="0"/>
    <s v="Convenience stores"/>
    <x v="8"/>
    <s v="North Cascade"/>
    <s v="|45/03/04|"/>
    <n v="1800"/>
    <n v="5"/>
    <n v="7"/>
  </r>
  <r>
    <x v="0"/>
    <s v="Convenience stores"/>
    <x v="8"/>
    <s v="North Cascade"/>
    <s v="|45/03/05|"/>
    <n v="1500"/>
    <n v="4"/>
    <n v="6"/>
  </r>
  <r>
    <x v="0"/>
    <s v="Convenience stores"/>
    <x v="8"/>
    <s v="North Cascade"/>
    <s v="|45/04/01|"/>
    <n v="1728"/>
    <n v="5"/>
    <n v="6"/>
  </r>
  <r>
    <x v="0"/>
    <s v="Convenience stores"/>
    <x v="8"/>
    <s v="North Cascade"/>
    <s v="|45/04/02|"/>
    <n v="1596"/>
    <n v="5"/>
    <n v="7"/>
  </r>
  <r>
    <x v="0"/>
    <s v="Convenience stores"/>
    <x v="8"/>
    <s v="North Cascade"/>
    <s v="|45/04/03|"/>
    <n v="1572"/>
    <n v="4"/>
    <n v="7"/>
  </r>
  <r>
    <x v="0"/>
    <s v="Convenience stores"/>
    <x v="8"/>
    <s v="North Cascade"/>
    <s v="|45/04/04|"/>
    <n v="1608"/>
    <n v="5"/>
    <n v="6"/>
  </r>
  <r>
    <x v="0"/>
    <s v="Convenience stores"/>
    <x v="8"/>
    <s v="North Cascade"/>
    <s v="|45/04/08|"/>
    <n v="1608"/>
    <n v="5"/>
    <n v="6"/>
  </r>
  <r>
    <x v="0"/>
    <s v="Convenience stores"/>
    <x v="8"/>
    <s v="North Cascade"/>
    <s v="|45/04/09|"/>
    <n v="1596"/>
    <n v="5"/>
    <n v="6"/>
  </r>
  <r>
    <x v="0"/>
    <s v="Convenience stores"/>
    <x v="8"/>
    <s v="North Cascade"/>
    <s v="|45/04/10|"/>
    <n v="1560"/>
    <n v="4"/>
    <n v="7"/>
  </r>
  <r>
    <x v="0"/>
    <s v="Convenience stores"/>
    <x v="8"/>
    <s v="North Cascade"/>
    <s v="|45/04/11|"/>
    <n v="1668"/>
    <n v="4"/>
    <n v="7"/>
  </r>
  <r>
    <x v="0"/>
    <s v="Convenience stores"/>
    <x v="8"/>
    <s v="North Cascade"/>
    <s v="|45/04/12|"/>
    <n v="1704"/>
    <n v="5"/>
    <n v="6"/>
  </r>
  <r>
    <x v="0"/>
    <s v="Convenience stores"/>
    <x v="8"/>
    <s v="North Cascade"/>
    <s v="|45/04/13|"/>
    <n v="1584"/>
    <n v="4"/>
    <n v="7"/>
  </r>
  <r>
    <x v="0"/>
    <s v="Convenience stores"/>
    <x v="8"/>
    <s v="North Cascade"/>
    <s v="|45/04/14|"/>
    <n v="1632"/>
    <n v="4"/>
    <n v="7"/>
  </r>
  <r>
    <x v="0"/>
    <s v="Convenience stores"/>
    <x v="8"/>
    <s v="North Cascade"/>
    <s v="|45/04/21|"/>
    <n v="1704"/>
    <n v="4"/>
    <n v="6"/>
  </r>
  <r>
    <x v="0"/>
    <s v="Convenience stores"/>
    <x v="8"/>
    <s v="North Cascade"/>
    <s v="|45/04/22|"/>
    <n v="1608"/>
    <n v="4"/>
    <n v="7"/>
  </r>
  <r>
    <x v="0"/>
    <s v="Convenience stores"/>
    <x v="8"/>
    <s v="North Cascade"/>
    <s v="|45/04/23|"/>
    <n v="1656"/>
    <n v="4"/>
    <n v="7"/>
  </r>
  <r>
    <x v="0"/>
    <s v="Convenience stores"/>
    <x v="8"/>
    <s v="North Cascade"/>
    <s v="|45/04/31|"/>
    <n v="1752"/>
    <n v="5"/>
    <n v="7"/>
  </r>
  <r>
    <x v="0"/>
    <s v="Convenience stores"/>
    <x v="8"/>
    <s v="North Cascade"/>
    <s v="|45/04/32|"/>
    <n v="1632"/>
    <n v="4"/>
    <n v="7"/>
  </r>
  <r>
    <x v="0"/>
    <s v="Convenience stores"/>
    <x v="8"/>
    <s v="North Cascade"/>
    <s v="|45/04/33|"/>
    <n v="1512"/>
    <n v="4"/>
    <n v="7"/>
  </r>
  <r>
    <x v="0"/>
    <s v="Convenience stores"/>
    <x v="8"/>
    <s v="North Cascade"/>
    <s v="|45/05/01|"/>
    <n v="1524"/>
    <n v="5"/>
    <n v="7"/>
  </r>
  <r>
    <x v="0"/>
    <s v="Convenience stores"/>
    <x v="8"/>
    <s v="North Cascade"/>
    <s v="|45/05/02|"/>
    <n v="1632"/>
    <n v="4"/>
    <n v="7"/>
  </r>
  <r>
    <x v="0"/>
    <s v="Convenience stores"/>
    <x v="8"/>
    <s v="North Cascade"/>
    <s v="|45/05/03|"/>
    <n v="1560"/>
    <n v="4"/>
    <n v="7"/>
  </r>
  <r>
    <x v="0"/>
    <s v="Convenience stores"/>
    <x v="8"/>
    <s v="North Cascade"/>
    <s v="|45/05/04|"/>
    <n v="1572"/>
    <n v="4"/>
    <n v="6"/>
  </r>
  <r>
    <x v="0"/>
    <s v="Convenience stores"/>
    <x v="8"/>
    <s v="North Cascade"/>
    <s v="|45/05/05|"/>
    <n v="1656"/>
    <n v="5"/>
    <n v="7"/>
  </r>
  <r>
    <x v="0"/>
    <s v="Convenience stores"/>
    <x v="8"/>
    <s v="North Cascade"/>
    <s v="|45/05/06|"/>
    <n v="1680"/>
    <n v="5"/>
    <n v="6"/>
  </r>
  <r>
    <x v="0"/>
    <s v="Convenience stores"/>
    <x v="8"/>
    <s v="North Cascade"/>
    <s v="|45/05/07|"/>
    <n v="1716"/>
    <n v="4"/>
    <n v="7"/>
  </r>
  <r>
    <x v="0"/>
    <s v="Convenience stores"/>
    <x v="8"/>
    <s v="North Cascade"/>
    <s v="|45/06/01|"/>
    <n v="1644"/>
    <n v="5"/>
    <n v="7"/>
  </r>
  <r>
    <x v="0"/>
    <s v="Convenience stores"/>
    <x v="8"/>
    <s v="North Cascade"/>
    <s v="|45/06/03|"/>
    <n v="1800"/>
    <n v="4"/>
    <n v="6"/>
  </r>
  <r>
    <x v="0"/>
    <s v="Convenience stores"/>
    <x v="8"/>
    <s v="North Cascade"/>
    <s v="|45/06/04|"/>
    <n v="1740"/>
    <n v="5"/>
    <n v="7"/>
  </r>
  <r>
    <x v="0"/>
    <s v="Convenience stores"/>
    <x v="8"/>
    <s v="North Cascade"/>
    <s v="|45/06/05|"/>
    <n v="1596"/>
    <n v="4"/>
    <n v="6"/>
  </r>
  <r>
    <x v="0"/>
    <s v="Convenience stores"/>
    <x v="8"/>
    <s v="North Cascade"/>
    <s v="|45/07/01|"/>
    <n v="1668"/>
    <n v="5"/>
    <n v="7"/>
  </r>
  <r>
    <x v="0"/>
    <s v="Convenience stores"/>
    <x v="8"/>
    <s v="North Cascade"/>
    <s v="|45/07/02|"/>
    <n v="1572"/>
    <n v="5"/>
    <n v="7"/>
  </r>
  <r>
    <x v="0"/>
    <s v="Convenience stores"/>
    <x v="8"/>
    <s v="North Cascade"/>
    <s v="|45/07/03|"/>
    <n v="1632"/>
    <n v="4"/>
    <n v="6"/>
  </r>
  <r>
    <x v="0"/>
    <s v="Convenience stores"/>
    <x v="8"/>
    <s v="North Cascade"/>
    <s v="|45/07/04|"/>
    <n v="1596"/>
    <n v="5"/>
    <n v="6"/>
  </r>
  <r>
    <x v="0"/>
    <s v="Convenience stores"/>
    <x v="8"/>
    <s v="North Cascade"/>
    <s v="|45/07/05|"/>
    <n v="1764"/>
    <n v="5"/>
    <n v="6"/>
  </r>
  <r>
    <x v="0"/>
    <s v="Convenience stores"/>
    <x v="8"/>
    <s v="North Cascade"/>
    <s v="|45/07/06|"/>
    <n v="1512"/>
    <n v="5"/>
    <n v="7"/>
  </r>
  <r>
    <x v="0"/>
    <s v="Convenience stores"/>
    <x v="8"/>
    <s v="North Cascade"/>
    <s v="|45/07/07|"/>
    <n v="1572"/>
    <n v="5"/>
    <n v="6"/>
  </r>
  <r>
    <x v="0"/>
    <s v="Convenience stores"/>
    <x v="8"/>
    <s v="North Cascade"/>
    <s v="|45/07/08|"/>
    <n v="1776"/>
    <n v="4"/>
    <n v="6"/>
  </r>
  <r>
    <x v="0"/>
    <s v="Convenience stores"/>
    <x v="8"/>
    <s v="North Cascade"/>
    <s v="|45/07/09|"/>
    <n v="1644"/>
    <n v="5"/>
    <n v="6"/>
  </r>
  <r>
    <x v="0"/>
    <s v="Convenience stores"/>
    <x v="8"/>
    <s v="North Cascade"/>
    <s v="|45/07/10|"/>
    <n v="1512"/>
    <n v="4"/>
    <n v="7"/>
  </r>
  <r>
    <x v="0"/>
    <s v="Convenience stores"/>
    <x v="8"/>
    <s v="North Cascade"/>
    <s v="|45/20/01|"/>
    <n v="1596"/>
    <n v="5"/>
    <n v="6"/>
  </r>
  <r>
    <x v="0"/>
    <s v="Convenience stores"/>
    <x v="8"/>
    <s v="North Cascade"/>
    <s v="|45/20/02|"/>
    <n v="1608"/>
    <n v="5"/>
    <n v="6"/>
  </r>
  <r>
    <x v="0"/>
    <s v="Convenience stores"/>
    <x v="8"/>
    <s v="North Cascade"/>
    <s v="|45/20/03|"/>
    <n v="1536"/>
    <n v="5"/>
    <n v="7"/>
  </r>
  <r>
    <x v="0"/>
    <s v="Convenience stores"/>
    <x v="8"/>
    <s v="North Cascade"/>
    <s v="|45/20/04|"/>
    <n v="1548"/>
    <n v="5"/>
    <n v="7"/>
  </r>
  <r>
    <x v="0"/>
    <s v="Convenience stores"/>
    <x v="8"/>
    <s v="North Cascade"/>
    <s v="|45/20/05|"/>
    <n v="1716"/>
    <n v="4"/>
    <n v="7"/>
  </r>
  <r>
    <x v="0"/>
    <s v="Convenience stores"/>
    <x v="8"/>
    <s v="North Cascade"/>
    <s v="|45/20/06|"/>
    <n v="1512"/>
    <n v="4"/>
    <n v="7"/>
  </r>
  <r>
    <x v="0"/>
    <s v="Convenience stores"/>
    <x v="8"/>
    <s v="North Cascade"/>
    <s v="|45/20/07|"/>
    <n v="1524"/>
    <n v="5"/>
    <n v="7"/>
  </r>
  <r>
    <x v="0"/>
    <s v="Convenience stores"/>
    <x v="8"/>
    <s v="North Cascade"/>
    <s v="|45/20/08|"/>
    <n v="1704"/>
    <n v="5"/>
    <n v="7"/>
  </r>
  <r>
    <x v="0"/>
    <s v="Convenience stores"/>
    <x v="8"/>
    <s v="North Cascade"/>
    <s v="|45/20/09|"/>
    <n v="1548"/>
    <n v="4"/>
    <n v="7"/>
  </r>
  <r>
    <x v="0"/>
    <s v="Convenience stores"/>
    <x v="8"/>
    <s v="North Cascade"/>
    <s v="|45/20/10|"/>
    <n v="1644"/>
    <n v="4"/>
    <n v="6"/>
  </r>
  <r>
    <x v="0"/>
    <s v="Convenience stores"/>
    <x v="8"/>
    <s v="North Cascade"/>
    <s v="|45/20/11|"/>
    <n v="1692"/>
    <n v="4"/>
    <n v="7"/>
  </r>
  <r>
    <x v="0"/>
    <s v="Convenience stores"/>
    <x v="8"/>
    <s v="North Cascade"/>
    <s v="|45/20/12|"/>
    <n v="1716"/>
    <n v="4"/>
    <n v="7"/>
  </r>
  <r>
    <x v="0"/>
    <s v="Convenience stores"/>
    <x v="8"/>
    <s v="North Cascade"/>
    <s v="|45/20/13|"/>
    <n v="1620"/>
    <n v="5"/>
    <n v="7"/>
  </r>
  <r>
    <x v="0"/>
    <s v="Convenience stores"/>
    <x v="8"/>
    <s v="North Cascade"/>
    <s v="|45/20/14|"/>
    <n v="1668"/>
    <n v="4"/>
    <n v="7"/>
  </r>
  <r>
    <x v="0"/>
    <s v="Convenience stores"/>
    <x v="8"/>
    <s v="North Cascade"/>
    <s v="|45/20/15|"/>
    <n v="1524"/>
    <n v="4"/>
    <n v="6"/>
  </r>
  <r>
    <x v="0"/>
    <s v="Convenience stores"/>
    <x v="8"/>
    <s v="North Cascade"/>
    <s v="|45/20/16|"/>
    <n v="1644"/>
    <n v="5"/>
    <n v="6"/>
  </r>
  <r>
    <x v="0"/>
    <s v="Convenience stores"/>
    <x v="8"/>
    <s v="North Cascade"/>
    <s v="|45/20/17|"/>
    <n v="1656"/>
    <n v="4"/>
    <n v="7"/>
  </r>
  <r>
    <x v="0"/>
    <s v="Convenience stores"/>
    <x v="8"/>
    <s v="North Cascade"/>
    <s v="|45/20/18|"/>
    <n v="1716"/>
    <n v="4"/>
    <n v="7"/>
  </r>
  <r>
    <x v="0"/>
    <s v="Convenience stores"/>
    <x v="8"/>
    <s v="North Cascade"/>
    <s v="|45/20/19|"/>
    <n v="1788"/>
    <n v="4"/>
    <n v="7"/>
  </r>
  <r>
    <x v="0"/>
    <s v="Convenience stores"/>
    <x v="8"/>
    <s v="North Cascade"/>
    <s v="|45/20/20|"/>
    <n v="1620"/>
    <n v="5"/>
    <n v="7"/>
  </r>
  <r>
    <x v="0"/>
    <s v="Convenience stores"/>
    <x v="8"/>
    <s v="North Cascade"/>
    <s v="|45/20/21|"/>
    <n v="1536"/>
    <n v="5"/>
    <n v="6"/>
  </r>
  <r>
    <x v="0"/>
    <s v="Convenience stores"/>
    <x v="8"/>
    <s v="North Cascade"/>
    <s v="|45/20/22|"/>
    <n v="1740"/>
    <n v="5"/>
    <n v="7"/>
  </r>
  <r>
    <x v="0"/>
    <s v="Convenience stores"/>
    <x v="8"/>
    <s v="North Cascade"/>
    <s v="|45/20/23|"/>
    <n v="1776"/>
    <n v="5"/>
    <n v="7"/>
  </r>
  <r>
    <x v="0"/>
    <s v="Convenience stores"/>
    <x v="8"/>
    <s v="North Cascade"/>
    <s v="|45/20/24|"/>
    <n v="1716"/>
    <n v="5"/>
    <n v="7"/>
  </r>
  <r>
    <x v="0"/>
    <s v="Convenience stores"/>
    <x v="8"/>
    <s v="North Cascade"/>
    <s v="|45/20/25|"/>
    <n v="1572"/>
    <n v="5"/>
    <n v="6"/>
  </r>
  <r>
    <x v="0"/>
    <s v="Convenience stores"/>
    <x v="8"/>
    <s v="North Cascade"/>
    <s v="|45/20/26|"/>
    <n v="1560"/>
    <n v="5"/>
    <n v="7"/>
  </r>
  <r>
    <x v="0"/>
    <s v="Convenience stores"/>
    <x v="8"/>
    <s v="North Cascade"/>
    <s v="|45/20/27|"/>
    <n v="1512"/>
    <n v="4"/>
    <n v="7"/>
  </r>
  <r>
    <x v="0"/>
    <s v="Convenience stores"/>
    <x v="8"/>
    <s v="North Cascade"/>
    <s v="|45/20/28|"/>
    <n v="1512"/>
    <n v="4"/>
    <n v="7"/>
  </r>
  <r>
    <x v="0"/>
    <s v="Convenience stores"/>
    <x v="8"/>
    <s v="North Cascade"/>
    <s v="|45/20/29|"/>
    <n v="1668"/>
    <n v="4"/>
    <n v="6"/>
  </r>
  <r>
    <x v="0"/>
    <s v="Convenience stores"/>
    <x v="8"/>
    <s v="North Cascade"/>
    <s v="|45/20/30|"/>
    <n v="1776"/>
    <n v="5"/>
    <n v="6"/>
  </r>
  <r>
    <x v="0"/>
    <s v="Convenience stores"/>
    <x v="8"/>
    <s v="North Cascade"/>
    <s v="|45/20/31|"/>
    <n v="1620"/>
    <n v="4"/>
    <n v="7"/>
  </r>
  <r>
    <x v="0"/>
    <s v="Convenience stores"/>
    <x v="8"/>
    <s v="North Cascade"/>
    <s v="|45/20/32|"/>
    <n v="1788"/>
    <n v="4"/>
    <n v="7"/>
  </r>
  <r>
    <x v="0"/>
    <s v="Convenience stores"/>
    <x v="8"/>
    <s v="North Cascade"/>
    <s v="|45/20/33|"/>
    <n v="1668"/>
    <n v="4"/>
    <n v="7"/>
  </r>
  <r>
    <x v="0"/>
    <s v="Convenience stores"/>
    <x v="8"/>
    <s v="North Cascade"/>
    <s v="|45/20/34|"/>
    <n v="1692"/>
    <n v="5"/>
    <n v="7"/>
  </r>
  <r>
    <x v="0"/>
    <s v="Convenience stores"/>
    <x v="8"/>
    <s v="North Cascade"/>
    <s v="|45/20/36|"/>
    <n v="1716"/>
    <n v="4"/>
    <n v="7"/>
  </r>
  <r>
    <x v="0"/>
    <s v="Convenience stores"/>
    <x v="8"/>
    <s v="North Cascade"/>
    <s v="|45/20/37|"/>
    <n v="1512"/>
    <n v="5"/>
    <n v="6"/>
  </r>
  <r>
    <x v="0"/>
    <s v="Convenience stores"/>
    <x v="8"/>
    <s v="North Cascade"/>
    <s v="|45/20/38|"/>
    <n v="1800"/>
    <n v="5"/>
    <n v="7"/>
  </r>
  <r>
    <x v="0"/>
    <s v="Convenience stores"/>
    <x v="8"/>
    <s v="North Cascade"/>
    <s v="|45/20/39|"/>
    <n v="1752"/>
    <n v="4"/>
    <n v="7"/>
  </r>
  <r>
    <x v="0"/>
    <s v="Convenience stores"/>
    <x v="8"/>
    <s v="North Cascade"/>
    <s v="|45/20/40|"/>
    <n v="1560"/>
    <n v="5"/>
    <n v="7"/>
  </r>
  <r>
    <x v="0"/>
    <s v="Convenience stores"/>
    <x v="8"/>
    <s v="North Cascade"/>
    <s v="|45/20/41|"/>
    <n v="1524"/>
    <n v="4"/>
    <n v="7"/>
  </r>
  <r>
    <x v="0"/>
    <s v="Convenience stores"/>
    <x v="8"/>
    <s v="North Cascade"/>
    <s v="|45/20/42|"/>
    <n v="1500"/>
    <n v="5"/>
    <n v="7"/>
  </r>
  <r>
    <x v="0"/>
    <s v="Convenience stores"/>
    <x v="8"/>
    <s v="North Cascade"/>
    <s v="|45/20/43|"/>
    <n v="1716"/>
    <n v="4"/>
    <n v="7"/>
  </r>
  <r>
    <x v="0"/>
    <s v="Convenience stores"/>
    <x v="8"/>
    <s v="North Cascade"/>
    <s v="|45/20/45|"/>
    <n v="1728"/>
    <n v="5"/>
    <n v="7"/>
  </r>
  <r>
    <x v="0"/>
    <s v="Convenience stores"/>
    <x v="8"/>
    <s v="North Cascade"/>
    <s v="|45/20/46|"/>
    <n v="1632"/>
    <n v="5"/>
    <n v="6"/>
  </r>
  <r>
    <x v="0"/>
    <s v="Convenience stores"/>
    <x v="8"/>
    <s v="North Cascade"/>
    <s v="|45/20/47|"/>
    <n v="1668"/>
    <n v="4"/>
    <n v="7"/>
  </r>
  <r>
    <x v="0"/>
    <s v="Convenience stores"/>
    <x v="8"/>
    <s v="North Cascade"/>
    <s v="|45/20/48|"/>
    <n v="1524"/>
    <n v="4"/>
    <n v="7"/>
  </r>
  <r>
    <x v="0"/>
    <s v="Convenience stores"/>
    <x v="8"/>
    <s v="North Cascade"/>
    <s v="|45/20/49|"/>
    <n v="1548"/>
    <n v="5"/>
    <n v="6"/>
  </r>
  <r>
    <x v="0"/>
    <s v="Convenience stores"/>
    <x v="8"/>
    <s v="North Cascade"/>
    <s v="|45/20/50|"/>
    <n v="1560"/>
    <n v="4"/>
    <n v="7"/>
  </r>
  <r>
    <x v="0"/>
    <s v="Convenience stores"/>
    <x v="8"/>
    <s v="North Cascade"/>
    <s v="|45/20/51|"/>
    <n v="1776"/>
    <n v="4"/>
    <n v="7"/>
  </r>
  <r>
    <x v="0"/>
    <s v="Convenience stores"/>
    <x v="8"/>
    <s v="North Cascade"/>
    <s v="|45/20/52|"/>
    <n v="1500"/>
    <n v="5"/>
    <n v="6"/>
  </r>
  <r>
    <x v="0"/>
    <s v="Convenience stores"/>
    <x v="8"/>
    <s v="North Cascade"/>
    <s v="|45/20/53|"/>
    <n v="1716"/>
    <n v="5"/>
    <n v="6"/>
  </r>
  <r>
    <x v="0"/>
    <s v="Convenience stores"/>
    <x v="8"/>
    <s v="North Cascade"/>
    <s v="|45/20/54|"/>
    <n v="1512"/>
    <n v="5"/>
    <n v="6"/>
  </r>
  <r>
    <x v="0"/>
    <s v="Convenience stores"/>
    <x v="8"/>
    <s v="North Cascade"/>
    <s v="|45/20/55|"/>
    <n v="1704"/>
    <n v="5"/>
    <n v="7"/>
  </r>
  <r>
    <x v="0"/>
    <s v="Convenience stores"/>
    <x v="8"/>
    <s v="North Cascade"/>
    <s v="|45/20/56|"/>
    <n v="1512"/>
    <n v="4"/>
    <n v="7"/>
  </r>
  <r>
    <x v="0"/>
    <s v="Convenience stores"/>
    <x v="8"/>
    <s v="North Cascade"/>
    <s v="|45/20/57|"/>
    <n v="1572"/>
    <n v="5"/>
    <n v="7"/>
  </r>
  <r>
    <x v="0"/>
    <s v="Convenience stores"/>
    <x v="8"/>
    <s v="North Cascade"/>
    <s v="|45/20/58|"/>
    <n v="1788"/>
    <n v="5"/>
    <n v="6"/>
  </r>
  <r>
    <x v="0"/>
    <s v="Convenience stores"/>
    <x v="8"/>
    <s v="North Cascade"/>
    <s v="|45/20/59|"/>
    <n v="1704"/>
    <n v="5"/>
    <n v="7"/>
  </r>
  <r>
    <x v="0"/>
    <s v="Convenience stores"/>
    <x v="8"/>
    <s v="North Cascade"/>
    <s v="|45/20/60|"/>
    <n v="1788"/>
    <n v="4"/>
    <n v="6"/>
  </r>
  <r>
    <x v="0"/>
    <s v="Convenience stores"/>
    <x v="8"/>
    <s v="North Cascade"/>
    <s v="|45/20/61|"/>
    <n v="1512"/>
    <n v="4"/>
    <n v="7"/>
  </r>
  <r>
    <x v="0"/>
    <s v="Convenience stores"/>
    <x v="8"/>
    <s v="North Cascade"/>
    <s v="|45/20/62|"/>
    <n v="1740"/>
    <n v="4"/>
    <n v="6"/>
  </r>
  <r>
    <x v="0"/>
    <s v="Convenience stores"/>
    <x v="8"/>
    <s v="North Cascade"/>
    <s v="|45/20/63|"/>
    <n v="1572"/>
    <n v="5"/>
    <n v="7"/>
  </r>
  <r>
    <x v="0"/>
    <s v="Convenience stores"/>
    <x v="8"/>
    <s v="North Cascade"/>
    <s v="|45/20/64|"/>
    <n v="1752"/>
    <n v="5"/>
    <n v="7"/>
  </r>
  <r>
    <x v="0"/>
    <s v="Convenience stores"/>
    <x v="8"/>
    <s v="North Cascade"/>
    <s v="|45/20/65|"/>
    <n v="1776"/>
    <n v="4"/>
    <n v="6"/>
  </r>
  <r>
    <x v="0"/>
    <s v="Convenience stores"/>
    <x v="8"/>
    <s v="North Cascade"/>
    <s v="|45/20/66|"/>
    <n v="1680"/>
    <n v="5"/>
    <n v="7"/>
  </r>
  <r>
    <x v="0"/>
    <s v="Convenience stores"/>
    <x v="8"/>
    <s v="North Cascade"/>
    <s v="|45/20/67|"/>
    <n v="1656"/>
    <n v="4"/>
    <n v="7"/>
  </r>
  <r>
    <x v="0"/>
    <s v="Convenience stores"/>
    <x v="8"/>
    <s v="North Cascade"/>
    <s v="|45/20/68|"/>
    <n v="1584"/>
    <n v="4"/>
    <n v="7"/>
  </r>
  <r>
    <x v="0"/>
    <s v="Convenience stores"/>
    <x v="8"/>
    <s v="North Cascade"/>
    <s v="|45/20/69|"/>
    <n v="1704"/>
    <n v="4"/>
    <n v="6"/>
  </r>
  <r>
    <x v="0"/>
    <s v="Convenience stores"/>
    <x v="8"/>
    <s v="North Cascade"/>
    <s v="|45/50/49|"/>
    <n v="1536"/>
    <n v="4"/>
    <n v="6"/>
  </r>
  <r>
    <x v="0"/>
    <s v="Convenience stores"/>
    <x v="7"/>
    <s v="Earthbound"/>
    <s v="|99/04/01|"/>
    <n v="1164"/>
    <n v="2.77"/>
    <n v="3.23"/>
  </r>
  <r>
    <x v="0"/>
    <s v="Convenience stores"/>
    <x v="7"/>
    <s v="Earthbound"/>
    <s v="|99/04/02|"/>
    <n v="1188"/>
    <n v="2.61"/>
    <n v="3.91"/>
  </r>
  <r>
    <x v="0"/>
    <s v="Convenience stores"/>
    <x v="7"/>
    <s v="Earthbound"/>
    <s v="|99/04/03|"/>
    <n v="612"/>
    <n v="2.99"/>
    <n v="3.24"/>
  </r>
  <r>
    <x v="0"/>
    <s v="Convenience stores"/>
    <x v="7"/>
    <s v="Earthbound"/>
    <s v="|99/04/04|"/>
    <n v="912"/>
    <n v="2.3199999999999998"/>
    <n v="3.89"/>
  </r>
  <r>
    <x v="0"/>
    <s v="Convenience stores"/>
    <x v="7"/>
    <s v="Earthbound"/>
    <s v="|99/04/07|"/>
    <n v="744"/>
    <n v="2.8"/>
    <n v="3.24"/>
  </r>
  <r>
    <x v="0"/>
    <s v="Convenience stores"/>
    <x v="7"/>
    <s v="Earthbound"/>
    <s v="|99/04/08|"/>
    <n v="1020"/>
    <n v="2.4500000000000002"/>
    <n v="3.22"/>
  </r>
  <r>
    <x v="0"/>
    <s v="Convenience stores"/>
    <x v="7"/>
    <s v="Earthbound"/>
    <s v="|99/04/09|"/>
    <n v="1056"/>
    <n v="2.13"/>
    <n v="3.94"/>
  </r>
  <r>
    <x v="0"/>
    <s v="Convenience stores"/>
    <x v="1"/>
    <s v="Green lamb"/>
    <s v="|70/00/00|"/>
    <n v="588"/>
    <n v="5.7"/>
    <n v="8.2333333333333325"/>
  </r>
  <r>
    <x v="0"/>
    <s v="Convenience stores"/>
    <x v="1"/>
    <s v="Green lamb"/>
    <s v="|70/00/01|"/>
    <n v="456"/>
    <n v="6.12"/>
    <n v="8.6333333333333329"/>
  </r>
  <r>
    <x v="0"/>
    <s v="Convenience stores"/>
    <x v="1"/>
    <s v="Green lamb"/>
    <s v="|70/00/02|"/>
    <n v="480"/>
    <n v="5.2666666666666666"/>
    <n v="7.36"/>
  </r>
  <r>
    <x v="0"/>
    <s v="Convenience stores"/>
    <x v="1"/>
    <s v="Green lamb"/>
    <s v="|70/00/03|"/>
    <n v="504"/>
    <n v="5.2666666666666666"/>
    <n v="7.4066666666666663"/>
  </r>
  <r>
    <x v="0"/>
    <s v="Convenience stores"/>
    <x v="1"/>
    <s v="Green lamb"/>
    <s v="|70/00/04|"/>
    <n v="480"/>
    <n v="5.88"/>
    <n v="7.4666666666666668"/>
  </r>
  <r>
    <x v="0"/>
    <s v="Convenience stores"/>
    <x v="1"/>
    <s v="Green lamb"/>
    <s v="|70/00/05|"/>
    <n v="564"/>
    <n v="6.3266666666666671"/>
    <n v="7.66"/>
  </r>
  <r>
    <x v="0"/>
    <s v="Convenience stores"/>
    <x v="1"/>
    <s v="Green lamb"/>
    <s v="|70/00/06|"/>
    <n v="600"/>
    <n v="5.4533333333333331"/>
    <n v="8.26"/>
  </r>
  <r>
    <x v="0"/>
    <s v="Convenience stores"/>
    <x v="1"/>
    <s v="Green lamb"/>
    <s v="|70/00/07|"/>
    <n v="480"/>
    <n v="5.4133333333333331"/>
    <n v="7.74"/>
  </r>
  <r>
    <x v="0"/>
    <s v="Convenience stores"/>
    <x v="1"/>
    <s v="Green lamb"/>
    <s v="|70/00/08|"/>
    <n v="552"/>
    <n v="5.9866666666666664"/>
    <n v="7.34"/>
  </r>
  <r>
    <x v="0"/>
    <s v="Convenience stores"/>
    <x v="1"/>
    <s v="Green lamb"/>
    <s v="|70/00/09|"/>
    <n v="468"/>
    <n v="5.86"/>
    <n v="7.58"/>
  </r>
  <r>
    <x v="0"/>
    <s v="Convenience stores"/>
    <x v="1"/>
    <s v="Green lamb"/>
    <s v="|70/00/11|"/>
    <n v="624"/>
    <n v="6.0333333333333332"/>
    <n v="8.206666666666667"/>
  </r>
  <r>
    <x v="0"/>
    <s v="Convenience stores"/>
    <x v="1"/>
    <s v="Green lamb"/>
    <s v="|70/00/12|"/>
    <n v="612"/>
    <n v="6.4333333333333336"/>
    <n v="8.1999999999999993"/>
  </r>
  <r>
    <x v="0"/>
    <s v="Convenience stores"/>
    <x v="1"/>
    <s v="Green lamb"/>
    <s v="|70/00/13|"/>
    <n v="564"/>
    <n v="5.68"/>
    <n v="7.5066666666666668"/>
  </r>
  <r>
    <x v="0"/>
    <s v="Convenience stores"/>
    <x v="1"/>
    <s v="Green lamb"/>
    <s v="|70/00/14|"/>
    <n v="624"/>
    <n v="6.36"/>
    <n v="8.0266666666666673"/>
  </r>
  <r>
    <x v="0"/>
    <s v="Convenience stores"/>
    <x v="1"/>
    <s v="Green lamb"/>
    <s v="|70/00/15|"/>
    <n v="408"/>
    <n v="6.5"/>
    <n v="8.6333333333333329"/>
  </r>
  <r>
    <x v="0"/>
    <s v="Convenience stores"/>
    <x v="1"/>
    <s v="Green lamb"/>
    <s v="|70/00/16|"/>
    <n v="468"/>
    <n v="6.6533333333333333"/>
    <n v="8.48"/>
  </r>
  <r>
    <x v="0"/>
    <s v="Convenience stores"/>
    <x v="1"/>
    <s v="Green lamb"/>
    <s v="|70/00/17|"/>
    <n v="408"/>
    <n v="6.3933333333333335"/>
    <n v="8.06"/>
  </r>
  <r>
    <x v="0"/>
    <s v="Convenience stores"/>
    <x v="1"/>
    <s v="Green lamb"/>
    <s v="|70/00/18|"/>
    <n v="492"/>
    <n v="6.0933333333333337"/>
    <n v="7.746666666666667"/>
  </r>
  <r>
    <x v="0"/>
    <s v="Convenience stores"/>
    <x v="1"/>
    <s v="Green lamb"/>
    <s v="|70/00/19|"/>
    <n v="516"/>
    <n v="5.8933333333333335"/>
    <n v="7.8866666666666667"/>
  </r>
  <r>
    <x v="0"/>
    <s v="Convenience stores"/>
    <x v="1"/>
    <s v="Green lamb"/>
    <s v="|70/00/20|"/>
    <n v="480"/>
    <n v="5.7333333333333334"/>
    <n v="8.1999999999999993"/>
  </r>
  <r>
    <x v="0"/>
    <s v="Convenience stores"/>
    <x v="1"/>
    <s v="Green lamb"/>
    <s v="|70/01/01|"/>
    <n v="468"/>
    <n v="6.06"/>
    <n v="8.4266666666666659"/>
  </r>
  <r>
    <x v="0"/>
    <s v="Convenience stores"/>
    <x v="1"/>
    <s v="Green lamb"/>
    <s v="|70/01/04|"/>
    <n v="456"/>
    <n v="6.1"/>
    <n v="8.08"/>
  </r>
  <r>
    <x v="0"/>
    <s v="Convenience stores"/>
    <x v="1"/>
    <s v="Green lamb"/>
    <s v="|70/01/05|"/>
    <n v="420"/>
    <n v="5.7333333333333334"/>
    <n v="7.6333333333333337"/>
  </r>
  <r>
    <x v="0"/>
    <s v="Convenience stores"/>
    <x v="1"/>
    <s v="Green lamb"/>
    <s v="|70/01/12|"/>
    <n v="600"/>
    <n v="6.24"/>
    <n v="8.34"/>
  </r>
  <r>
    <x v="0"/>
    <s v="Convenience stores"/>
    <x v="1"/>
    <s v="Green lamb"/>
    <s v="|70/01/13|"/>
    <n v="576"/>
    <n v="5.7333333333333334"/>
    <n v="8.1266666666666669"/>
  </r>
  <r>
    <x v="0"/>
    <s v="Convenience stores"/>
    <x v="1"/>
    <s v="Green lamb"/>
    <s v="|70/01/14|"/>
    <n v="636"/>
    <n v="6.4066666666666663"/>
    <n v="7.5066666666666668"/>
  </r>
  <r>
    <x v="0"/>
    <s v="Convenience stores"/>
    <x v="1"/>
    <s v="Green lamb"/>
    <s v="|70/02/01|"/>
    <n v="456"/>
    <n v="5.7133333333333329"/>
    <n v="8.4733333333333327"/>
  </r>
  <r>
    <x v="0"/>
    <s v="Convenience stores"/>
    <x v="1"/>
    <s v="Green lamb"/>
    <s v="|70/02/02|"/>
    <n v="600"/>
    <n v="6.6333333333333337"/>
    <n v="8.3666666666666671"/>
  </r>
  <r>
    <x v="0"/>
    <s v="Convenience stores"/>
    <x v="1"/>
    <s v="Green lamb"/>
    <s v="|70/02/03|"/>
    <n v="444"/>
    <n v="5.9733333333333336"/>
    <n v="8.5466666666666669"/>
  </r>
  <r>
    <x v="0"/>
    <s v="Convenience stores"/>
    <x v="1"/>
    <s v="Green lamb"/>
    <s v="|70/02/04|"/>
    <n v="552"/>
    <n v="5.4066666666666663"/>
    <n v="8.58"/>
  </r>
  <r>
    <x v="0"/>
    <s v="Convenience stores"/>
    <x v="1"/>
    <s v="Green lamb"/>
    <s v="|70/02/05|"/>
    <n v="612"/>
    <n v="6.56"/>
    <n v="8.0066666666666659"/>
  </r>
  <r>
    <x v="0"/>
    <s v="Convenience stores"/>
    <x v="1"/>
    <s v="Green lamb"/>
    <s v="|70/02/06|"/>
    <n v="552"/>
    <n v="6.44"/>
    <n v="8.6666666666666661"/>
  </r>
  <r>
    <x v="0"/>
    <s v="Convenience stores"/>
    <x v="1"/>
    <s v="Green lamb"/>
    <s v="|70/02/07|"/>
    <n v="624"/>
    <n v="6.6"/>
    <n v="7.4933333333333332"/>
  </r>
  <r>
    <x v="0"/>
    <s v="Convenience stores"/>
    <x v="1"/>
    <s v="Green lamb"/>
    <s v="|70/02/08|"/>
    <n v="480"/>
    <n v="6.66"/>
    <n v="8.1933333333333334"/>
  </r>
  <r>
    <x v="0"/>
    <s v="Convenience stores"/>
    <x v="1"/>
    <s v="Green lamb"/>
    <s v="|70/02/09|"/>
    <n v="588"/>
    <n v="5.7866666666666671"/>
    <n v="7.8"/>
  </r>
  <r>
    <x v="0"/>
    <s v="Convenience stores"/>
    <x v="1"/>
    <s v="Green lamb"/>
    <s v="|70/02/10|"/>
    <n v="528"/>
    <n v="6.12"/>
    <n v="7.5266666666666664"/>
  </r>
  <r>
    <x v="0"/>
    <s v="Convenience stores"/>
    <x v="1"/>
    <s v="Green lamb"/>
    <s v="|70/03/01|"/>
    <n v="636"/>
    <n v="5.5533333333333337"/>
    <n v="8.52"/>
  </r>
  <r>
    <x v="0"/>
    <s v="Convenience stores"/>
    <x v="1"/>
    <s v="Green lamb"/>
    <s v="|70/03/02|"/>
    <n v="600"/>
    <n v="5.4733333333333336"/>
    <n v="8.56"/>
  </r>
  <r>
    <x v="0"/>
    <s v="Convenience stores"/>
    <x v="1"/>
    <s v="Green lamb"/>
    <s v="|70/03/03|"/>
    <n v="576"/>
    <n v="6.4866666666666664"/>
    <n v="7.6866666666666665"/>
  </r>
  <r>
    <x v="0"/>
    <s v="Convenience stores"/>
    <x v="1"/>
    <s v="Green lamb"/>
    <s v="|70/03/04|"/>
    <n v="588"/>
    <n v="5.78"/>
    <n v="8.34"/>
  </r>
  <r>
    <x v="0"/>
    <s v="Convenience stores"/>
    <x v="1"/>
    <s v="Green lamb"/>
    <s v="|70/03/05|"/>
    <n v="636"/>
    <n v="5.833333333333333"/>
    <n v="8.1"/>
  </r>
  <r>
    <x v="0"/>
    <s v="Convenience stores"/>
    <x v="1"/>
    <s v="Green lamb"/>
    <s v="|70/03/06|"/>
    <n v="612"/>
    <n v="6.1333333333333337"/>
    <n v="8.32"/>
  </r>
  <r>
    <x v="0"/>
    <s v="Convenience stores"/>
    <x v="1"/>
    <s v="Green lamb"/>
    <s v="|70/03/07|"/>
    <n v="504"/>
    <n v="5.7866666666666671"/>
    <n v="7.98"/>
  </r>
  <r>
    <x v="0"/>
    <s v="Convenience stores"/>
    <x v="1"/>
    <s v="Green lamb"/>
    <s v="|70/03/08|"/>
    <n v="468"/>
    <n v="6.1866666666666665"/>
    <n v="7.78"/>
  </r>
  <r>
    <x v="0"/>
    <s v="Convenience stores"/>
    <x v="1"/>
    <s v="Green lamb"/>
    <s v="|70/03/09|"/>
    <n v="624"/>
    <n v="6.0133333333333336"/>
    <n v="8.5399999999999991"/>
  </r>
  <r>
    <x v="0"/>
    <s v="Convenience stores"/>
    <x v="1"/>
    <s v="Green lamb"/>
    <s v="|70/03/10|"/>
    <n v="588"/>
    <n v="5.833333333333333"/>
    <n v="7.8466666666666667"/>
  </r>
  <r>
    <x v="0"/>
    <s v="Convenience stores"/>
    <x v="1"/>
    <s v="Green lamb"/>
    <s v="|70/03/11|"/>
    <n v="504"/>
    <n v="6.5066666666666668"/>
    <n v="7.4066666666666663"/>
  </r>
  <r>
    <x v="0"/>
    <s v="Convenience stores"/>
    <x v="1"/>
    <s v="Green lamb"/>
    <s v="|70/03/12|"/>
    <n v="444"/>
    <n v="6.0066666666666668"/>
    <n v="8.5133333333333336"/>
  </r>
  <r>
    <x v="0"/>
    <s v="Convenience stores"/>
    <x v="1"/>
    <s v="Green lamb"/>
    <s v="|70/03/17|"/>
    <n v="612"/>
    <n v="5.793333333333333"/>
    <n v="7.88"/>
  </r>
  <r>
    <x v="0"/>
    <s v="Convenience stores"/>
    <x v="1"/>
    <s v="Green lamb"/>
    <s v="|70/04/18|"/>
    <n v="528"/>
    <n v="5.293333333333333"/>
    <n v="7.5666666666666664"/>
  </r>
  <r>
    <x v="0"/>
    <s v="Convenience stores"/>
    <x v="3"/>
    <s v="Red Bull"/>
    <s v="|42/01/01|"/>
    <n v="168"/>
    <n v="1.1000000000000001"/>
    <n v="1.32"/>
  </r>
  <r>
    <x v="0"/>
    <s v="Convenience stores"/>
    <x v="3"/>
    <s v="Red Bull"/>
    <s v="|42/01/02|"/>
    <n v="108"/>
    <n v="1"/>
    <n v="1.23"/>
  </r>
  <r>
    <x v="0"/>
    <s v="Convenience stores"/>
    <x v="3"/>
    <s v="Red Bull"/>
    <s v="|42/01/03|"/>
    <n v="156"/>
    <n v="1.0900000000000001"/>
    <n v="1.34"/>
  </r>
  <r>
    <x v="0"/>
    <s v="Convenience stores"/>
    <x v="3"/>
    <s v="Red Bull"/>
    <s v="|42/01/04|"/>
    <n v="108"/>
    <n v="1.01"/>
    <n v="1.27"/>
  </r>
  <r>
    <x v="0"/>
    <s v="Convenience stores"/>
    <x v="3"/>
    <s v="Red Bull"/>
    <s v="|42/01/05|"/>
    <n v="120"/>
    <n v="1.1499999999999999"/>
    <n v="1.27"/>
  </r>
  <r>
    <x v="0"/>
    <s v="Convenience stores"/>
    <x v="3"/>
    <s v="San Pellegrino"/>
    <s v="|21/00/01|"/>
    <n v="120"/>
    <n v="1.2"/>
    <n v="1.34"/>
  </r>
  <r>
    <x v="0"/>
    <s v="Convenience stores"/>
    <x v="3"/>
    <s v="San Pellegrino"/>
    <s v="|21/00/02|"/>
    <n v="120"/>
    <n v="1.1299999999999999"/>
    <n v="1.23"/>
  </r>
  <r>
    <x v="0"/>
    <s v="Convenience stores"/>
    <x v="3"/>
    <s v="San Pellegrino"/>
    <s v="|21/00/03|"/>
    <n v="96"/>
    <n v="1.05"/>
    <n v="1.36"/>
  </r>
  <r>
    <x v="0"/>
    <s v="Convenience stores"/>
    <x v="3"/>
    <s v="San Pellegrino"/>
    <s v="|21/00/04|"/>
    <n v="120"/>
    <n v="1.1200000000000001"/>
    <n v="1.36"/>
  </r>
  <r>
    <x v="0"/>
    <s v="Convenience stores"/>
    <x v="3"/>
    <s v="San Pellegrino"/>
    <s v="|21/00/11|"/>
    <n v="72"/>
    <n v="1.18"/>
    <n v="1.37"/>
  </r>
  <r>
    <x v="0"/>
    <s v="Convenience stores"/>
    <x v="3"/>
    <s v="San Pellegrino"/>
    <s v="|21/00/12|"/>
    <n v="168"/>
    <n v="1.1299999999999999"/>
    <n v="1.27"/>
  </r>
  <r>
    <x v="0"/>
    <s v="Convenience stores"/>
    <x v="3"/>
    <s v="San Pellegrino"/>
    <s v="|21/00/13|"/>
    <n v="60"/>
    <n v="1.03"/>
    <n v="1.29"/>
  </r>
  <r>
    <x v="0"/>
    <s v="Convenience stores"/>
    <x v="3"/>
    <s v="San Pellegrino"/>
    <s v="|21/00/14|"/>
    <n v="96"/>
    <n v="1.07"/>
    <n v="1.2"/>
  </r>
  <r>
    <x v="0"/>
    <s v="Convenience stores"/>
    <x v="3"/>
    <s v="San Pellegrino"/>
    <s v="|21/00/15|"/>
    <n v="96"/>
    <n v="1.1599999999999999"/>
    <n v="1.23"/>
  </r>
  <r>
    <x v="0"/>
    <s v="Convenience stores"/>
    <x v="3"/>
    <s v="San Pellegrino"/>
    <s v="|21/00/16|"/>
    <n v="48"/>
    <n v="1.1499999999999999"/>
    <n v="1.3"/>
  </r>
  <r>
    <x v="0"/>
    <s v="Convenience stores"/>
    <x v="3"/>
    <s v="San Pellegrino"/>
    <s v="|21/00/17|"/>
    <n v="144"/>
    <n v="1.18"/>
    <n v="1.34"/>
  </r>
  <r>
    <x v="0"/>
    <s v="Convenience stores"/>
    <x v="3"/>
    <s v="San Pellegrino"/>
    <s v="|21/00/18|"/>
    <n v="72"/>
    <n v="1.02"/>
    <n v="1.27"/>
  </r>
  <r>
    <x v="0"/>
    <s v="Convenience stores"/>
    <x v="3"/>
    <s v="San Pellegrino"/>
    <s v="|21/00/19|"/>
    <n v="72"/>
    <n v="1.1399999999999999"/>
    <n v="1.2"/>
  </r>
  <r>
    <x v="0"/>
    <s v="Convenience stores"/>
    <x v="3"/>
    <s v="San Pellegrino"/>
    <s v="|21/00/20|"/>
    <n v="132"/>
    <n v="1.1100000000000001"/>
    <n v="1.2"/>
  </r>
  <r>
    <x v="0"/>
    <s v="Convenience stores"/>
    <x v="3"/>
    <s v="San Pellegrino"/>
    <s v="|21/00/30|"/>
    <n v="132"/>
    <n v="1.05"/>
    <n v="1.36"/>
  </r>
  <r>
    <x v="0"/>
    <s v="Convenience stores"/>
    <x v="3"/>
    <s v="San Pellegrino"/>
    <s v="|21/00/31|"/>
    <n v="48"/>
    <n v="1.01"/>
    <n v="1.3"/>
  </r>
  <r>
    <x v="0"/>
    <s v="Convenience stores"/>
    <x v="3"/>
    <s v="San Pellegrino"/>
    <s v="|21/00/32|"/>
    <n v="120"/>
    <n v="1.01"/>
    <n v="1.3"/>
  </r>
  <r>
    <x v="0"/>
    <s v="Convenience stores"/>
    <x v="3"/>
    <s v="San Pellegrino"/>
    <s v="|21/00/33|"/>
    <n v="84"/>
    <n v="1.03"/>
    <n v="1.24"/>
  </r>
  <r>
    <x v="0"/>
    <s v="Convenience stores"/>
    <x v="3"/>
    <s v="San Pellegrino"/>
    <s v="|21/00/34|"/>
    <n v="132"/>
    <n v="1.08"/>
    <n v="1.38"/>
  </r>
  <r>
    <x v="0"/>
    <s v="Convenience stores"/>
    <x v="3"/>
    <s v="San Pellegrino"/>
    <s v="|21/00/40|"/>
    <n v="168"/>
    <n v="1.1100000000000001"/>
    <n v="1.24"/>
  </r>
  <r>
    <x v="0"/>
    <s v="Convenience stores"/>
    <x v="3"/>
    <s v="San Pellegrino"/>
    <s v="|21/00/50|"/>
    <n v="108"/>
    <n v="1"/>
    <n v="1.36"/>
  </r>
  <r>
    <x v="0"/>
    <s v="Convenience stores"/>
    <x v="3"/>
    <s v="San Pellegrino"/>
    <s v="|21/00/51|"/>
    <n v="120"/>
    <n v="1.04"/>
    <n v="1.2"/>
  </r>
  <r>
    <x v="0"/>
    <s v="Convenience stores"/>
    <x v="3"/>
    <s v="San Pellegrino"/>
    <s v="|21/00/52|"/>
    <n v="144"/>
    <n v="1.06"/>
    <n v="1.2"/>
  </r>
  <r>
    <x v="0"/>
    <s v="Convenience stores"/>
    <x v="3"/>
    <s v="San Pellegrino"/>
    <s v="|21/00/53|"/>
    <n v="72"/>
    <n v="1.17"/>
    <n v="1.37"/>
  </r>
  <r>
    <x v="0"/>
    <s v="Convenience stores"/>
    <x v="3"/>
    <s v="San Pellegrino"/>
    <s v="|21/00/54|"/>
    <n v="156"/>
    <n v="1.03"/>
    <n v="1.36"/>
  </r>
  <r>
    <x v="0"/>
    <s v="Convenience stores"/>
    <x v="3"/>
    <s v="San Pellegrino"/>
    <s v="|21/00/55|"/>
    <n v="144"/>
    <n v="1.1100000000000001"/>
    <n v="1.4"/>
  </r>
  <r>
    <x v="0"/>
    <s v="Convenience stores"/>
    <x v="3"/>
    <s v="San Pellegrino"/>
    <s v="|21/00/60|"/>
    <n v="144"/>
    <n v="1.0900000000000001"/>
    <n v="1.4"/>
  </r>
  <r>
    <x v="0"/>
    <s v="Convenience stores"/>
    <x v="3"/>
    <s v="San Pellegrino"/>
    <s v="|21/00/61|"/>
    <n v="156"/>
    <n v="1.0900000000000001"/>
    <n v="1.4"/>
  </r>
  <r>
    <x v="0"/>
    <s v="Convenience stores"/>
    <x v="3"/>
    <s v="San Pellegrino"/>
    <s v="|21/00/62|"/>
    <n v="144"/>
    <n v="1.1200000000000001"/>
    <n v="1.2"/>
  </r>
  <r>
    <x v="0"/>
    <s v="Convenience stores"/>
    <x v="3"/>
    <s v="San Pellegrino"/>
    <s v="|21/00/63|"/>
    <n v="108"/>
    <n v="1.1100000000000001"/>
    <n v="1.23"/>
  </r>
  <r>
    <x v="0"/>
    <s v="Convenience stores"/>
    <x v="3"/>
    <s v="San Pellegrino"/>
    <s v="|21/00/64|"/>
    <n v="120"/>
    <n v="1.19"/>
    <n v="1.32"/>
  </r>
  <r>
    <x v="0"/>
    <s v="Convenience stores"/>
    <x v="3"/>
    <s v="San Pellegrino"/>
    <s v="|21/00/65|"/>
    <n v="132"/>
    <n v="1.08"/>
    <n v="1.38"/>
  </r>
  <r>
    <x v="0"/>
    <s v="Convenience stores"/>
    <x v="3"/>
    <s v="San Pellegrino"/>
    <s v="|21/00/71|"/>
    <n v="156"/>
    <n v="1.1399999999999999"/>
    <n v="1.31"/>
  </r>
  <r>
    <x v="0"/>
    <s v="Convenience stores"/>
    <x v="3"/>
    <s v="San Pellegrino"/>
    <s v="|21/00/72|"/>
    <n v="144"/>
    <n v="1.07"/>
    <n v="1.32"/>
  </r>
  <r>
    <x v="0"/>
    <s v="Convenience stores"/>
    <x v="3"/>
    <s v="San Pellegrino"/>
    <s v="|21/00/73|"/>
    <n v="108"/>
    <n v="1.17"/>
    <n v="1.29"/>
  </r>
  <r>
    <x v="0"/>
    <s v="Convenience stores"/>
    <x v="3"/>
    <s v="San Pellegrino"/>
    <s v="|21/00/74|"/>
    <n v="168"/>
    <n v="1.03"/>
    <n v="1.27"/>
  </r>
  <r>
    <x v="0"/>
    <s v="Convenience stores"/>
    <x v="3"/>
    <s v="San Pellegrino"/>
    <s v="|21/00/81|"/>
    <n v="72"/>
    <n v="1.1299999999999999"/>
    <n v="1.22"/>
  </r>
  <r>
    <x v="0"/>
    <s v="Convenience stores"/>
    <x v="3"/>
    <s v="San Pellegrino"/>
    <s v="|21/00/82|"/>
    <n v="48"/>
    <n v="1.1299999999999999"/>
    <n v="1.31"/>
  </r>
  <r>
    <x v="0"/>
    <s v="Convenience stores"/>
    <x v="3"/>
    <s v="San Pellegrino"/>
    <s v="|21/00/83|"/>
    <n v="108"/>
    <n v="1"/>
    <n v="1.36"/>
  </r>
  <r>
    <x v="0"/>
    <s v="Convenience stores"/>
    <x v="3"/>
    <s v="San Pellegrino"/>
    <s v="|21/00/84|"/>
    <n v="156"/>
    <n v="1.1100000000000001"/>
    <n v="1.23"/>
  </r>
  <r>
    <x v="0"/>
    <s v="Convenience stores"/>
    <x v="3"/>
    <s v="San Pellegrino"/>
    <s v="|21/00/85|"/>
    <n v="156"/>
    <n v="1.02"/>
    <n v="1.36"/>
  </r>
  <r>
    <x v="0"/>
    <s v="Convenience stores"/>
    <x v="3"/>
    <s v="San Pellegrino"/>
    <s v="|21/00/86|"/>
    <n v="60"/>
    <n v="1.1000000000000001"/>
    <n v="1.32"/>
  </r>
  <r>
    <x v="0"/>
    <s v="Convenience stores"/>
    <x v="3"/>
    <s v="San Pellegrino"/>
    <s v="|21/00/87|"/>
    <n v="60"/>
    <n v="1.1100000000000001"/>
    <n v="1.2"/>
  </r>
  <r>
    <x v="0"/>
    <s v="Convenience stores"/>
    <x v="3"/>
    <s v="San Pellegrino"/>
    <s v="|21/00/88|"/>
    <n v="168"/>
    <n v="1.03"/>
    <n v="1.27"/>
  </r>
  <r>
    <x v="0"/>
    <s v="Convenience stores"/>
    <x v="3"/>
    <s v="San Pellegrino"/>
    <s v="|21/00/89|"/>
    <n v="120"/>
    <n v="1.0900000000000001"/>
    <n v="1.36"/>
  </r>
  <r>
    <x v="0"/>
    <s v="Convenience stores"/>
    <x v="3"/>
    <s v="San Pellegrino"/>
    <s v="|21/00/90|"/>
    <n v="72"/>
    <n v="1.1200000000000001"/>
    <n v="1.26"/>
  </r>
  <r>
    <x v="0"/>
    <s v="Convenience stores"/>
    <x v="3"/>
    <s v="San Pellegrino"/>
    <s v="|21/00/91|"/>
    <n v="132"/>
    <n v="1.03"/>
    <n v="1.33"/>
  </r>
  <r>
    <x v="0"/>
    <s v="Convenience stores"/>
    <x v="3"/>
    <s v="San Pellegrino"/>
    <s v="|21/00/92|"/>
    <n v="168"/>
    <n v="1.1200000000000001"/>
    <n v="1.3"/>
  </r>
  <r>
    <x v="0"/>
    <s v="Convenience stores"/>
    <x v="3"/>
    <s v="San Pellegrino"/>
    <s v="|21/00/93|"/>
    <n v="144"/>
    <n v="1.02"/>
    <n v="1.36"/>
  </r>
  <r>
    <x v="0"/>
    <s v="Convenience stores"/>
    <x v="3"/>
    <s v="San Pellegrino"/>
    <s v="|21/00/94|"/>
    <n v="132"/>
    <n v="1.06"/>
    <n v="1.25"/>
  </r>
  <r>
    <x v="0"/>
    <s v="Convenience stores"/>
    <x v="3"/>
    <s v="San Pellegrino"/>
    <s v="|21/00/95|"/>
    <n v="144"/>
    <n v="1.2"/>
    <n v="1.33"/>
  </r>
  <r>
    <x v="0"/>
    <s v="Convenience stores"/>
    <x v="3"/>
    <s v="San Pellegrino"/>
    <s v="|21/00/96|"/>
    <n v="96"/>
    <n v="1.01"/>
    <n v="1.21"/>
  </r>
  <r>
    <x v="0"/>
    <s v="Convenience stores"/>
    <x v="3"/>
    <s v="San Pellegrino"/>
    <s v="|21/01/01|"/>
    <n v="48"/>
    <n v="1.05"/>
    <n v="1.32"/>
  </r>
  <r>
    <x v="0"/>
    <s v="Convenience stores"/>
    <x v="3"/>
    <s v="San Pellegrino"/>
    <s v="|21/01/02|"/>
    <n v="48"/>
    <n v="1.1499999999999999"/>
    <n v="1.4"/>
  </r>
  <r>
    <x v="0"/>
    <s v="Convenience stores"/>
    <x v="3"/>
    <s v="San Pellegrino"/>
    <s v="|21/01/03|"/>
    <n v="120"/>
    <n v="1.07"/>
    <n v="1.38"/>
  </r>
  <r>
    <x v="0"/>
    <s v="Convenience stores"/>
    <x v="3"/>
    <s v="San Pellegrino"/>
    <s v="|21/01/04|"/>
    <n v="120"/>
    <n v="1.1399999999999999"/>
    <n v="1.31"/>
  </r>
  <r>
    <x v="0"/>
    <s v="Convenience stores"/>
    <x v="3"/>
    <s v="San Pellegrino"/>
    <s v="|21/01/05|"/>
    <n v="120"/>
    <n v="1.17"/>
    <n v="1.2"/>
  </r>
  <r>
    <x v="0"/>
    <s v="Convenience stores"/>
    <x v="3"/>
    <s v="San Pellegrino"/>
    <s v="|21/01/06|"/>
    <n v="132"/>
    <n v="1.1100000000000001"/>
    <n v="1.3"/>
  </r>
  <r>
    <x v="0"/>
    <s v="Convenience stores"/>
    <x v="3"/>
    <s v="San Pellegrino"/>
    <s v="|21/01/07|"/>
    <n v="48"/>
    <n v="1.19"/>
    <n v="1.37"/>
  </r>
  <r>
    <x v="0"/>
    <s v="Convenience stores"/>
    <x v="3"/>
    <s v="San Pellegrino"/>
    <s v="|21/01/08|"/>
    <n v="84"/>
    <n v="1.2"/>
    <n v="1.4"/>
  </r>
  <r>
    <x v="0"/>
    <s v="Convenience stores"/>
    <x v="3"/>
    <s v="San Pellegrino"/>
    <s v="|21/01/09|"/>
    <n v="168"/>
    <n v="1.06"/>
    <n v="1.22"/>
  </r>
  <r>
    <x v="0"/>
    <s v="Convenience stores"/>
    <x v="3"/>
    <s v="San Pellegrino"/>
    <s v="|21/01/10|"/>
    <n v="60"/>
    <n v="1"/>
    <n v="1.3"/>
  </r>
  <r>
    <x v="0"/>
    <s v="Convenience stores"/>
    <x v="3"/>
    <s v="San Pellegrino"/>
    <s v="|21/01/11|"/>
    <n v="156"/>
    <n v="1.1100000000000001"/>
    <n v="1.37"/>
  </r>
  <r>
    <x v="0"/>
    <s v="Convenience stores"/>
    <x v="3"/>
    <s v="San Pellegrino"/>
    <s v="|21/01/12|"/>
    <n v="84"/>
    <n v="1.06"/>
    <n v="1.39"/>
  </r>
  <r>
    <x v="0"/>
    <s v="Convenience stores"/>
    <x v="3"/>
    <s v="San Pellegrino"/>
    <s v="|21/01/13|"/>
    <n v="108"/>
    <n v="1.01"/>
    <n v="1.4"/>
  </r>
  <r>
    <x v="0"/>
    <s v="Convenience stores"/>
    <x v="3"/>
    <s v="San Pellegrino"/>
    <s v="|21/01/14|"/>
    <n v="96"/>
    <n v="1.2"/>
    <n v="1.27"/>
  </r>
  <r>
    <x v="0"/>
    <s v="Convenience stores"/>
    <x v="3"/>
    <s v="San Pellegrino"/>
    <s v="|21/01/15|"/>
    <n v="84"/>
    <n v="1.02"/>
    <n v="1.4"/>
  </r>
  <r>
    <x v="0"/>
    <s v="Convenience stores"/>
    <x v="3"/>
    <s v="San Pellegrino"/>
    <s v="|21/01/16|"/>
    <n v="72"/>
    <n v="1.1599999999999999"/>
    <n v="1.35"/>
  </r>
  <r>
    <x v="0"/>
    <s v="Convenience stores"/>
    <x v="3"/>
    <s v="San Pellegrino"/>
    <s v="|21/01/17|"/>
    <n v="60"/>
    <n v="1.05"/>
    <n v="1.28"/>
  </r>
  <r>
    <x v="0"/>
    <s v="Convenience stores"/>
    <x v="3"/>
    <s v="San Pellegrino"/>
    <s v="|21/01/18|"/>
    <n v="60"/>
    <n v="1.1100000000000001"/>
    <n v="1.25"/>
  </r>
  <r>
    <x v="0"/>
    <s v="Convenience stores"/>
    <x v="3"/>
    <s v="San Pellegrino"/>
    <s v="|21/01/19|"/>
    <n v="84"/>
    <n v="1.2"/>
    <n v="1.3"/>
  </r>
  <r>
    <x v="0"/>
    <s v="Convenience stores"/>
    <x v="3"/>
    <s v="San Pellegrino"/>
    <s v="|21/01/20|"/>
    <n v="144"/>
    <n v="1.1399999999999999"/>
    <n v="1.28"/>
  </r>
  <r>
    <x v="0"/>
    <s v="Convenience stores"/>
    <x v="3"/>
    <s v="San Pellegrino"/>
    <s v="|21/01/21|"/>
    <n v="168"/>
    <n v="1.07"/>
    <n v="1.36"/>
  </r>
  <r>
    <x v="0"/>
    <s v="Convenience stores"/>
    <x v="3"/>
    <s v="San Pellegrino"/>
    <s v="|21/01/22|"/>
    <n v="96"/>
    <n v="1.17"/>
    <n v="1.33"/>
  </r>
  <r>
    <x v="0"/>
    <s v="Convenience stores"/>
    <x v="3"/>
    <s v="San Pellegrino"/>
    <s v="|21/01/23|"/>
    <n v="108"/>
    <n v="1.1299999999999999"/>
    <n v="1.28"/>
  </r>
  <r>
    <x v="0"/>
    <s v="Convenience stores"/>
    <x v="3"/>
    <s v="San Pellegrino"/>
    <s v="|21/01/24|"/>
    <n v="168"/>
    <n v="1.03"/>
    <n v="1.24"/>
  </r>
  <r>
    <x v="0"/>
    <s v="Convenience stores"/>
    <x v="3"/>
    <s v="San Pellegrino"/>
    <s v="|21/01/25|"/>
    <n v="156"/>
    <n v="1.08"/>
    <n v="1.26"/>
  </r>
  <r>
    <x v="0"/>
    <s v="Convenience stores"/>
    <x v="3"/>
    <s v="San Pellegrino"/>
    <s v="|21/01/26|"/>
    <n v="144"/>
    <n v="1"/>
    <n v="1.26"/>
  </r>
  <r>
    <x v="0"/>
    <s v="Convenience stores"/>
    <x v="3"/>
    <s v="San Pellegrino"/>
    <s v="|21/01/27|"/>
    <n v="144"/>
    <n v="1.1299999999999999"/>
    <n v="1.2"/>
  </r>
  <r>
    <x v="0"/>
    <s v="Convenience stores"/>
    <x v="3"/>
    <s v="San Pellegrino"/>
    <s v="|21/01/28|"/>
    <n v="132"/>
    <n v="1.1000000000000001"/>
    <n v="1.39"/>
  </r>
  <r>
    <x v="0"/>
    <s v="Convenience stores"/>
    <x v="3"/>
    <s v="San Pellegrino"/>
    <s v="|21/01/29|"/>
    <n v="144"/>
    <n v="1.1599999999999999"/>
    <n v="1.38"/>
  </r>
  <r>
    <x v="0"/>
    <s v="Convenience stores"/>
    <x v="3"/>
    <s v="San Pellegrino"/>
    <s v="|21/01/30|"/>
    <n v="108"/>
    <n v="1.05"/>
    <n v="1.26"/>
  </r>
  <r>
    <x v="0"/>
    <s v="Convenience stores"/>
    <x v="3"/>
    <s v="San Pellegrino"/>
    <s v="|21/01/31|"/>
    <n v="144"/>
    <n v="1.06"/>
    <n v="1.38"/>
  </r>
  <r>
    <x v="0"/>
    <s v="Convenience stores"/>
    <x v="3"/>
    <s v="San Pellegrino"/>
    <s v="|21/01/32|"/>
    <n v="120"/>
    <n v="1.1100000000000001"/>
    <n v="1.27"/>
  </r>
  <r>
    <x v="0"/>
    <s v="Convenience stores"/>
    <x v="3"/>
    <s v="San Pellegrino"/>
    <s v="|21/01/33|"/>
    <n v="96"/>
    <n v="1.08"/>
    <n v="1.23"/>
  </r>
  <r>
    <x v="0"/>
    <s v="Convenience stores"/>
    <x v="3"/>
    <s v="San Pellegrino"/>
    <s v="|21/01/34|"/>
    <n v="72"/>
    <n v="1"/>
    <n v="1.21"/>
  </r>
  <r>
    <x v="0"/>
    <s v="Convenience stores"/>
    <x v="3"/>
    <s v="San Pellegrino"/>
    <s v="|21/01/35|"/>
    <n v="156"/>
    <n v="1.0900000000000001"/>
    <n v="1.36"/>
  </r>
  <r>
    <x v="0"/>
    <s v="Convenience stores"/>
    <x v="3"/>
    <s v="San Pellegrino"/>
    <s v="|21/01/36|"/>
    <n v="156"/>
    <n v="1.05"/>
    <n v="1.37"/>
  </r>
  <r>
    <x v="0"/>
    <s v="Convenience stores"/>
    <x v="3"/>
    <s v="San Pellegrino"/>
    <s v="|21/01/37|"/>
    <n v="108"/>
    <n v="1.04"/>
    <n v="1.23"/>
  </r>
  <r>
    <x v="0"/>
    <s v="Convenience stores"/>
    <x v="3"/>
    <s v="San Pellegrino"/>
    <s v="|21/01/38|"/>
    <n v="132"/>
    <n v="1.1000000000000001"/>
    <n v="1.4"/>
  </r>
  <r>
    <x v="0"/>
    <s v="Convenience stores"/>
    <x v="3"/>
    <s v="San Pellegrino"/>
    <s v="|21/01/39|"/>
    <n v="144"/>
    <n v="1.02"/>
    <n v="1.24"/>
  </r>
  <r>
    <x v="0"/>
    <s v="Convenience stores"/>
    <x v="3"/>
    <s v="San Pellegrino"/>
    <s v="|21/01/40|"/>
    <n v="156"/>
    <n v="1"/>
    <n v="1.38"/>
  </r>
  <r>
    <x v="0"/>
    <s v="Convenience stores"/>
    <x v="3"/>
    <s v="San Pellegrino"/>
    <s v="|21/01/41|"/>
    <n v="84"/>
    <n v="1.01"/>
    <n v="1.2"/>
  </r>
  <r>
    <x v="0"/>
    <s v="Convenience stores"/>
    <x v="3"/>
    <s v="San Pellegrino"/>
    <s v="|21/01/42|"/>
    <n v="144"/>
    <n v="1.1299999999999999"/>
    <n v="1.38"/>
  </r>
  <r>
    <x v="0"/>
    <s v="Convenience stores"/>
    <x v="3"/>
    <s v="San Pellegrino"/>
    <s v="|21/01/43|"/>
    <n v="120"/>
    <n v="1.1100000000000001"/>
    <n v="1.38"/>
  </r>
  <r>
    <x v="0"/>
    <s v="Convenience stores"/>
    <x v="3"/>
    <s v="San Pellegrino"/>
    <s v="|21/01/44|"/>
    <n v="48"/>
    <n v="1.04"/>
    <n v="1.23"/>
  </r>
  <r>
    <x v="0"/>
    <s v="Convenience stores"/>
    <x v="3"/>
    <s v="San Pellegrino"/>
    <s v="|21/01/45|"/>
    <n v="168"/>
    <n v="1.01"/>
    <n v="1.34"/>
  </r>
  <r>
    <x v="0"/>
    <s v="Convenience stores"/>
    <x v="3"/>
    <s v="San Pellegrino"/>
    <s v="|21/01/46|"/>
    <n v="108"/>
    <n v="1.1399999999999999"/>
    <n v="1.32"/>
  </r>
  <r>
    <x v="0"/>
    <s v="Convenience stores"/>
    <x v="3"/>
    <s v="San Pellegrino"/>
    <s v="|21/01/47|"/>
    <n v="48"/>
    <n v="1.0900000000000001"/>
    <n v="1.24"/>
  </r>
  <r>
    <x v="0"/>
    <s v="Convenience stores"/>
    <x v="3"/>
    <s v="San Pellegrino"/>
    <s v="|21/01/48|"/>
    <n v="168"/>
    <n v="1.02"/>
    <n v="1.32"/>
  </r>
  <r>
    <x v="0"/>
    <s v="Convenience stores"/>
    <x v="3"/>
    <s v="San Pellegrino"/>
    <s v="|21/01/49|"/>
    <n v="72"/>
    <n v="1.2"/>
    <n v="1.22"/>
  </r>
  <r>
    <x v="0"/>
    <s v="Convenience stores"/>
    <x v="3"/>
    <s v="San Pellegrino"/>
    <s v="|21/01/50|"/>
    <n v="96"/>
    <n v="1.1299999999999999"/>
    <n v="1.2"/>
  </r>
  <r>
    <x v="0"/>
    <s v="Convenience stores"/>
    <x v="3"/>
    <s v="San Pellegrino"/>
    <s v="|21/01/51|"/>
    <n v="84"/>
    <n v="1.08"/>
    <n v="1.22"/>
  </r>
  <r>
    <x v="0"/>
    <s v="Convenience stores"/>
    <x v="3"/>
    <s v="San Pellegrino"/>
    <s v="|21/01/52|"/>
    <n v="168"/>
    <n v="1.18"/>
    <n v="1.21"/>
  </r>
  <r>
    <x v="0"/>
    <s v="Convenience stores"/>
    <x v="3"/>
    <s v="San Pellegrino"/>
    <s v="|21/01/53|"/>
    <n v="48"/>
    <n v="1.05"/>
    <n v="1.4"/>
  </r>
  <r>
    <x v="0"/>
    <s v="Convenience stores"/>
    <x v="3"/>
    <s v="San Pellegrino"/>
    <s v="|21/01/54|"/>
    <n v="132"/>
    <n v="1.06"/>
    <n v="1.34"/>
  </r>
  <r>
    <x v="0"/>
    <s v="Convenience stores"/>
    <x v="3"/>
    <s v="San Pellegrino"/>
    <s v="|21/01/55|"/>
    <n v="84"/>
    <n v="1.18"/>
    <n v="1.28"/>
  </r>
  <r>
    <x v="0"/>
    <s v="Convenience stores"/>
    <x v="3"/>
    <s v="San Pellegrino"/>
    <s v="|21/01/56|"/>
    <n v="48"/>
    <n v="1.08"/>
    <n v="1.33"/>
  </r>
  <r>
    <x v="0"/>
    <s v="Convenience stores"/>
    <x v="3"/>
    <s v="San Pellegrino"/>
    <s v="|21/01/57|"/>
    <n v="168"/>
    <n v="1.18"/>
    <n v="1.29"/>
  </r>
  <r>
    <x v="0"/>
    <s v="Convenience stores"/>
    <x v="3"/>
    <s v="San Pellegrino"/>
    <s v="|21/01/58|"/>
    <n v="96"/>
    <n v="1.19"/>
    <n v="1.36"/>
  </r>
  <r>
    <x v="0"/>
    <s v="Convenience stores"/>
    <x v="3"/>
    <s v="San Pellegrino"/>
    <s v="|21/01/59|"/>
    <n v="84"/>
    <n v="1.06"/>
    <n v="1.38"/>
  </r>
  <r>
    <x v="0"/>
    <s v="Convenience stores"/>
    <x v="3"/>
    <s v="San Pellegrino"/>
    <s v="|21/01/60|"/>
    <n v="60"/>
    <n v="1.05"/>
    <n v="1.32"/>
  </r>
  <r>
    <x v="0"/>
    <s v="Convenience stores"/>
    <x v="3"/>
    <s v="San Pellegrino"/>
    <s v="|21/01/61|"/>
    <n v="168"/>
    <n v="1.03"/>
    <n v="1.33"/>
  </r>
  <r>
    <x v="0"/>
    <s v="Convenience stores"/>
    <x v="3"/>
    <s v="San Pellegrino"/>
    <s v="|21/01/62|"/>
    <n v="132"/>
    <n v="1.01"/>
    <n v="1.35"/>
  </r>
  <r>
    <x v="0"/>
    <s v="Convenience stores"/>
    <x v="3"/>
    <s v="San Pellegrino"/>
    <s v="|21/01/63|"/>
    <n v="60"/>
    <n v="1.0900000000000001"/>
    <n v="1.27"/>
  </r>
  <r>
    <x v="0"/>
    <s v="Convenience stores"/>
    <x v="3"/>
    <s v="San Pellegrino"/>
    <s v="|21/01/64|"/>
    <n v="84"/>
    <n v="1.1599999999999999"/>
    <n v="1.32"/>
  </r>
  <r>
    <x v="0"/>
    <s v="Convenience stores"/>
    <x v="3"/>
    <s v="San Pellegrino"/>
    <s v="|21/01/65|"/>
    <n v="60"/>
    <n v="1.18"/>
    <n v="1.2"/>
  </r>
  <r>
    <x v="0"/>
    <s v="Convenience stores"/>
    <x v="3"/>
    <s v="San Pellegrino"/>
    <s v="|21/01/66|"/>
    <n v="108"/>
    <n v="1.18"/>
    <n v="1.33"/>
  </r>
  <r>
    <x v="0"/>
    <s v="Convenience stores"/>
    <x v="3"/>
    <s v="San Pellegrino"/>
    <s v="|21/01/67|"/>
    <n v="48"/>
    <n v="1.1100000000000001"/>
    <n v="1.28"/>
  </r>
  <r>
    <x v="0"/>
    <s v="Convenience stores"/>
    <x v="3"/>
    <s v="San Pellegrino"/>
    <s v="|21/01/68|"/>
    <n v="84"/>
    <n v="1.01"/>
    <n v="1.24"/>
  </r>
  <r>
    <x v="0"/>
    <s v="Convenience stores"/>
    <x v="3"/>
    <s v="San Pellegrino"/>
    <s v="|21/01/69|"/>
    <n v="120"/>
    <n v="1.1200000000000001"/>
    <n v="1.4"/>
  </r>
  <r>
    <x v="0"/>
    <s v="Convenience stores"/>
    <x v="3"/>
    <s v="San Pellegrino"/>
    <s v="|21/01/70|"/>
    <n v="120"/>
    <n v="1.2"/>
    <n v="1.21"/>
  </r>
  <r>
    <x v="0"/>
    <s v="Convenience stores"/>
    <x v="3"/>
    <s v="San Pellegrino"/>
    <s v="|21/01/71|"/>
    <n v="168"/>
    <n v="1.01"/>
    <n v="1.28"/>
  </r>
  <r>
    <x v="0"/>
    <s v="Convenience stores"/>
    <x v="3"/>
    <s v="San Pellegrino"/>
    <s v="|21/01/72|"/>
    <n v="60"/>
    <n v="1.1200000000000001"/>
    <n v="1.28"/>
  </r>
  <r>
    <x v="0"/>
    <s v="Convenience stores"/>
    <x v="3"/>
    <s v="San Pellegrino"/>
    <s v="|21/01/73|"/>
    <n v="84"/>
    <n v="1.06"/>
    <n v="1.33"/>
  </r>
  <r>
    <x v="0"/>
    <s v="Convenience stores"/>
    <x v="3"/>
    <s v="San Pellegrino"/>
    <s v="|21/01/74|"/>
    <n v="132"/>
    <n v="1.1499999999999999"/>
    <n v="1.26"/>
  </r>
  <r>
    <x v="0"/>
    <s v="Convenience stores"/>
    <x v="3"/>
    <s v="San Pellegrino"/>
    <s v="|21/01/75|"/>
    <n v="72"/>
    <n v="1.06"/>
    <n v="1.37"/>
  </r>
  <r>
    <x v="0"/>
    <s v="Convenience stores"/>
    <x v="3"/>
    <s v="San Pellegrino"/>
    <s v="|21/01/76|"/>
    <n v="60"/>
    <n v="1.08"/>
    <n v="1.36"/>
  </r>
  <r>
    <x v="0"/>
    <s v="Convenience stores"/>
    <x v="3"/>
    <s v="San Pellegrino"/>
    <s v="|21/01/77|"/>
    <n v="156"/>
    <n v="1.19"/>
    <n v="1.32"/>
  </r>
  <r>
    <x v="0"/>
    <s v="Convenience stores"/>
    <x v="3"/>
    <s v="San Pellegrino"/>
    <s v="|21/01/78|"/>
    <n v="108"/>
    <n v="1.1399999999999999"/>
    <n v="1.26"/>
  </r>
  <r>
    <x v="0"/>
    <s v="Convenience stores"/>
    <x v="3"/>
    <s v="San Pellegrino"/>
    <s v="|21/01/79|"/>
    <n v="144"/>
    <n v="1.1399999999999999"/>
    <n v="1.34"/>
  </r>
  <r>
    <x v="0"/>
    <s v="Convenience stores"/>
    <x v="3"/>
    <s v="San Pellegrino"/>
    <s v="|21/01/80|"/>
    <n v="72"/>
    <n v="1.07"/>
    <n v="1.29"/>
  </r>
  <r>
    <x v="0"/>
    <s v="Convenience stores"/>
    <x v="3"/>
    <s v="San Pellegrino"/>
    <s v="|21/01/81|"/>
    <n v="48"/>
    <n v="1.18"/>
    <n v="1.32"/>
  </r>
  <r>
    <x v="0"/>
    <s v="Convenience stores"/>
    <x v="3"/>
    <s v="San Pellegrino"/>
    <s v="|21/01/82|"/>
    <n v="60"/>
    <n v="1.1599999999999999"/>
    <n v="1.3"/>
  </r>
  <r>
    <x v="0"/>
    <s v="Convenience stores"/>
    <x v="3"/>
    <s v="San Pellegrino"/>
    <s v="|21/01/83|"/>
    <n v="96"/>
    <n v="1.07"/>
    <n v="1.2"/>
  </r>
  <r>
    <x v="0"/>
    <s v="Convenience stores"/>
    <x v="3"/>
    <s v="San Pellegrino"/>
    <s v="|21/01/84|"/>
    <n v="72"/>
    <n v="1.07"/>
    <n v="1.39"/>
  </r>
  <r>
    <x v="0"/>
    <s v="Convenience stores"/>
    <x v="3"/>
    <s v="San Pellegrino"/>
    <s v="|21/01/85|"/>
    <n v="156"/>
    <n v="1.03"/>
    <n v="1.28"/>
  </r>
  <r>
    <x v="0"/>
    <s v="Convenience stores"/>
    <x v="3"/>
    <s v="San Pellegrino"/>
    <s v="|21/01/86|"/>
    <n v="132"/>
    <n v="1.05"/>
    <n v="1.21"/>
  </r>
  <r>
    <x v="0"/>
    <s v="Convenience stores"/>
    <x v="3"/>
    <s v="San Pellegrino"/>
    <s v="|21/01/87|"/>
    <n v="72"/>
    <n v="1.1599999999999999"/>
    <n v="1.23"/>
  </r>
  <r>
    <x v="0"/>
    <s v="Convenience stores"/>
    <x v="3"/>
    <s v="San Pellegrino"/>
    <s v="|21/01/90|"/>
    <n v="84"/>
    <n v="1.1100000000000001"/>
    <n v="1.38"/>
  </r>
  <r>
    <x v="0"/>
    <s v="Convenience stores"/>
    <x v="3"/>
    <s v="San Pellegrino"/>
    <s v="|21/01/91|"/>
    <n v="48"/>
    <n v="1.07"/>
    <n v="1.4"/>
  </r>
  <r>
    <x v="0"/>
    <s v="Convenience stores"/>
    <x v="3"/>
    <s v="San Pellegrino"/>
    <s v="|21/10/01|"/>
    <n v="168"/>
    <n v="1.05"/>
    <n v="1.35"/>
  </r>
  <r>
    <x v="0"/>
    <s v="Convenience stores"/>
    <x v="3"/>
    <s v="San Pellegrino"/>
    <s v="|21/10/10|"/>
    <n v="60"/>
    <n v="1.04"/>
    <n v="1.34"/>
  </r>
  <r>
    <x v="0"/>
    <s v="Convenience stores"/>
    <x v="3"/>
    <s v="San Pellegrino"/>
    <s v="|21/10/11|"/>
    <n v="84"/>
    <n v="1.2"/>
    <n v="1.27"/>
  </r>
  <r>
    <x v="0"/>
    <s v="Convenience stores"/>
    <x v="3"/>
    <s v="San Pellegrino"/>
    <s v="|21/10/12|"/>
    <n v="72"/>
    <n v="1.03"/>
    <n v="1.35"/>
  </r>
  <r>
    <x v="0"/>
    <s v="Convenience stores"/>
    <x v="3"/>
    <s v="San Pellegrino"/>
    <s v="|21/10/13|"/>
    <n v="108"/>
    <n v="1.07"/>
    <n v="1.39"/>
  </r>
  <r>
    <x v="0"/>
    <s v="Convenience stores"/>
    <x v="3"/>
    <s v="San Pellegrino"/>
    <s v="|21/10/14|"/>
    <n v="144"/>
    <n v="1.1200000000000001"/>
    <n v="1.32"/>
  </r>
  <r>
    <x v="0"/>
    <s v="Convenience stores"/>
    <x v="3"/>
    <s v="San Pellegrino"/>
    <s v="|21/10/15|"/>
    <n v="132"/>
    <n v="1.1299999999999999"/>
    <n v="1.29"/>
  </r>
  <r>
    <x v="0"/>
    <s v="Convenience stores"/>
    <x v="3"/>
    <s v="San Pellegrino"/>
    <s v="|21/10/16|"/>
    <n v="84"/>
    <n v="1.06"/>
    <n v="1.23"/>
  </r>
  <r>
    <x v="0"/>
    <s v="Convenience stores"/>
    <x v="3"/>
    <s v="San Pellegrino"/>
    <s v="|21/10/17|"/>
    <n v="168"/>
    <n v="1.05"/>
    <n v="1.37"/>
  </r>
  <r>
    <x v="0"/>
    <s v="Convenience stores"/>
    <x v="3"/>
    <s v="San Pellegrino"/>
    <s v="|21/10/18|"/>
    <n v="96"/>
    <n v="1.1399999999999999"/>
    <n v="1.32"/>
  </r>
  <r>
    <x v="0"/>
    <s v="Convenience stores"/>
    <x v="3"/>
    <s v="San Pellegrino"/>
    <s v="|21/10/19|"/>
    <n v="84"/>
    <n v="1.17"/>
    <n v="1.3"/>
  </r>
  <r>
    <x v="0"/>
    <s v="Convenience stores"/>
    <x v="3"/>
    <s v="San Pellegrino"/>
    <s v="|21/10/20|"/>
    <n v="108"/>
    <n v="1.0900000000000001"/>
    <n v="1.3"/>
  </r>
  <r>
    <x v="0"/>
    <s v="Convenience stores"/>
    <x v="3"/>
    <s v="San Pellegrino"/>
    <s v="|21/10/21|"/>
    <n v="108"/>
    <n v="1.1399999999999999"/>
    <n v="1.39"/>
  </r>
  <r>
    <x v="0"/>
    <s v="Convenience stores"/>
    <x v="3"/>
    <s v="San Pellegrino"/>
    <s v="|21/10/22|"/>
    <n v="96"/>
    <n v="1.03"/>
    <n v="1.29"/>
  </r>
  <r>
    <x v="0"/>
    <s v="Convenience stores"/>
    <x v="3"/>
    <s v="San Pellegrino"/>
    <s v="|21/11/01|"/>
    <n v="156"/>
    <n v="1.17"/>
    <n v="1.38"/>
  </r>
  <r>
    <x v="0"/>
    <s v="Convenience stores"/>
    <x v="3"/>
    <s v="San Pellegrino"/>
    <s v="|21/11/02|"/>
    <n v="132"/>
    <n v="1.1599999999999999"/>
    <n v="1.4"/>
  </r>
  <r>
    <x v="0"/>
    <s v="Convenience stores"/>
    <x v="3"/>
    <s v="San Pellegrino"/>
    <s v="|21/11/03|"/>
    <n v="60"/>
    <n v="1.1599999999999999"/>
    <n v="1.28"/>
  </r>
  <r>
    <x v="0"/>
    <s v="Convenience stores"/>
    <x v="3"/>
    <s v="San Pellegrino"/>
    <s v="|21/11/04|"/>
    <n v="144"/>
    <n v="1.1200000000000001"/>
    <n v="1.39"/>
  </r>
  <r>
    <x v="0"/>
    <s v="Convenience stores"/>
    <x v="3"/>
    <s v="San Pellegrino"/>
    <s v="|21/11/05|"/>
    <n v="84"/>
    <n v="1.1200000000000001"/>
    <n v="1.2"/>
  </r>
  <r>
    <x v="0"/>
    <s v="Convenience stores"/>
    <x v="3"/>
    <s v="San Pellegrino"/>
    <s v="|21/11/06|"/>
    <n v="72"/>
    <n v="1.18"/>
    <n v="1.38"/>
  </r>
  <r>
    <x v="0"/>
    <s v="Convenience stores"/>
    <x v="3"/>
    <s v="San Pellegrino"/>
    <s v="|21/11/07|"/>
    <n v="120"/>
    <n v="1.17"/>
    <n v="1.23"/>
  </r>
  <r>
    <x v="0"/>
    <s v="Convenience stores"/>
    <x v="3"/>
    <s v="San Pellegrino"/>
    <s v="|21/11/08|"/>
    <n v="84"/>
    <n v="1.1299999999999999"/>
    <n v="1.38"/>
  </r>
  <r>
    <x v="0"/>
    <s v="Convenience stores"/>
    <x v="3"/>
    <s v="San Pellegrino"/>
    <s v="|21/11/09|"/>
    <n v="48"/>
    <n v="1.2"/>
    <n v="1.25"/>
  </r>
  <r>
    <x v="0"/>
    <s v="Convenience stores"/>
    <x v="3"/>
    <s v="San Pellegrino"/>
    <s v="|21/11/10|"/>
    <n v="60"/>
    <n v="1.01"/>
    <n v="1.33"/>
  </r>
  <r>
    <x v="0"/>
    <s v="Convenience stores"/>
    <x v="3"/>
    <s v="San Pellegrino"/>
    <s v="|21/11/11|"/>
    <n v="156"/>
    <n v="1.01"/>
    <n v="1.21"/>
  </r>
  <r>
    <x v="0"/>
    <s v="Convenience stores"/>
    <x v="3"/>
    <s v="San Pellegrino"/>
    <s v="|21/11/13|"/>
    <n v="96"/>
    <n v="1.03"/>
    <n v="1.38"/>
  </r>
  <r>
    <x v="0"/>
    <s v="Convenience stores"/>
    <x v="3"/>
    <s v="San Pellegrino"/>
    <s v="|21/11/15|"/>
    <n v="144"/>
    <n v="1.02"/>
    <n v="1.29"/>
  </r>
  <r>
    <x v="0"/>
    <s v="Convenience stores"/>
    <x v="7"/>
    <s v="Greener salads"/>
    <s v="|131/01/01|"/>
    <n v="1068"/>
    <n v="2.77"/>
    <n v="3.65"/>
  </r>
  <r>
    <x v="0"/>
    <s v="Convenience stores"/>
    <x v="7"/>
    <s v="Greener salads"/>
    <s v="|131/01/07|"/>
    <n v="996"/>
    <n v="2.52"/>
    <n v="3.3"/>
  </r>
  <r>
    <x v="0"/>
    <s v="Convenience stores"/>
    <x v="7"/>
    <s v="Greener salads"/>
    <s v="|131/01/14|"/>
    <n v="840"/>
    <n v="2.68"/>
    <n v="3.95"/>
  </r>
  <r>
    <x v="0"/>
    <s v="Convenience stores"/>
    <x v="7"/>
    <s v="Greener salads"/>
    <s v="|131/01/15|"/>
    <n v="960"/>
    <n v="2.19"/>
    <n v="3.24"/>
  </r>
  <r>
    <x v="0"/>
    <s v="Convenience stores"/>
    <x v="7"/>
    <s v="Greener salads"/>
    <s v="|131/01/16|"/>
    <n v="696"/>
    <n v="2.87"/>
    <n v="3.67"/>
  </r>
  <r>
    <x v="0"/>
    <s v="Convenience stores"/>
    <x v="7"/>
    <s v="Greener salads"/>
    <s v="|131/01/17|"/>
    <n v="720"/>
    <n v="2.0099999999999998"/>
    <n v="3.8"/>
  </r>
  <r>
    <x v="0"/>
    <s v="Convenience stores"/>
    <x v="7"/>
    <s v="Greener salads"/>
    <s v="|131/01/20|"/>
    <n v="732"/>
    <n v="2.4500000000000002"/>
    <n v="3.91"/>
  </r>
  <r>
    <x v="0"/>
    <s v="Convenience stores"/>
    <x v="7"/>
    <s v="Greener salads"/>
    <s v="|131/01/21|"/>
    <n v="696"/>
    <n v="2.94"/>
    <n v="3.67"/>
  </r>
  <r>
    <x v="0"/>
    <s v="Convenience stores"/>
    <x v="7"/>
    <s v="Greener salads"/>
    <s v="|131/01/24|"/>
    <n v="1092"/>
    <n v="2.48"/>
    <n v="3.27"/>
  </r>
  <r>
    <x v="0"/>
    <s v="Convenience stores"/>
    <x v="7"/>
    <s v="Greener salads"/>
    <s v="|131/01/27|"/>
    <n v="756"/>
    <n v="2.84"/>
    <n v="3.93"/>
  </r>
  <r>
    <x v="0"/>
    <s v="Convenience stores"/>
    <x v="7"/>
    <s v="Greener salads"/>
    <s v="|131/01/28|"/>
    <n v="900"/>
    <n v="2.0499999999999998"/>
    <n v="3.51"/>
  </r>
  <r>
    <x v="0"/>
    <s v="Convenience stores"/>
    <x v="7"/>
    <s v="Greener salads"/>
    <s v="|131/01/29|"/>
    <n v="1080"/>
    <n v="2.96"/>
    <n v="3.63"/>
  </r>
  <r>
    <x v="0"/>
    <s v="Convenience stores"/>
    <x v="7"/>
    <s v="Greener salads"/>
    <s v="|131/01/30|"/>
    <n v="744"/>
    <n v="2.86"/>
    <n v="3.38"/>
  </r>
  <r>
    <x v="0"/>
    <s v="Convenience stores"/>
    <x v="7"/>
    <s v="Greener salads"/>
    <s v="|131/01/31|"/>
    <n v="1188"/>
    <n v="2.5"/>
    <n v="3.75"/>
  </r>
  <r>
    <x v="0"/>
    <s v="Convenience stores"/>
    <x v="7"/>
    <s v="Greener salads"/>
    <s v="|131/01/34|"/>
    <n v="1140"/>
    <n v="2.81"/>
    <n v="3.73"/>
  </r>
  <r>
    <x v="0"/>
    <s v="Convenience stores"/>
    <x v="7"/>
    <s v="Greener salads"/>
    <s v="|131/01/35|"/>
    <n v="924"/>
    <n v="2.2599999999999998"/>
    <n v="3.82"/>
  </r>
  <r>
    <x v="0"/>
    <s v="Convenience stores"/>
    <x v="7"/>
    <s v="Greener salads"/>
    <s v="|131/01/36|"/>
    <n v="1056"/>
    <n v="2.08"/>
    <n v="3.78"/>
  </r>
  <r>
    <x v="0"/>
    <s v="Convenience stores"/>
    <x v="7"/>
    <s v="Greener salads"/>
    <s v="|131/01/37|"/>
    <n v="624"/>
    <n v="2.97"/>
    <n v="3.59"/>
  </r>
  <r>
    <x v="0"/>
    <s v="Convenience stores"/>
    <x v="7"/>
    <s v="Greener salads"/>
    <s v="|131/01/54|"/>
    <n v="744"/>
    <n v="2.86"/>
    <n v="3.96"/>
  </r>
  <r>
    <x v="0"/>
    <s v="Convenience stores"/>
    <x v="7"/>
    <s v="Greener salads"/>
    <s v="|131/01/55|"/>
    <n v="1188"/>
    <n v="2.37"/>
    <n v="3.99"/>
  </r>
  <r>
    <x v="0"/>
    <s v="Convenience stores"/>
    <x v="7"/>
    <s v="Greener salads"/>
    <s v="|131/01/57|"/>
    <n v="732"/>
    <n v="2.06"/>
    <n v="3.81"/>
  </r>
  <r>
    <x v="0"/>
    <s v="Convenience stores"/>
    <x v="7"/>
    <s v="Greener salads"/>
    <s v="|131/01/58|"/>
    <n v="1068"/>
    <n v="2.41"/>
    <n v="3.44"/>
  </r>
  <r>
    <x v="0"/>
    <s v="Convenience stores"/>
    <x v="7"/>
    <s v="Greener salads"/>
    <s v="|131/01/62|"/>
    <n v="1176"/>
    <n v="2.5"/>
    <n v="3.36"/>
  </r>
  <r>
    <x v="0"/>
    <s v="Convenience stores"/>
    <x v="7"/>
    <s v="Greener salads"/>
    <s v="|131/01/63|"/>
    <n v="852"/>
    <n v="2.97"/>
    <n v="3.32"/>
  </r>
  <r>
    <x v="0"/>
    <s v="Convenience stores"/>
    <x v="7"/>
    <s v="Greener salads"/>
    <s v="|131/01/69|"/>
    <n v="924"/>
    <n v="2.42"/>
    <n v="3.28"/>
  </r>
  <r>
    <x v="0"/>
    <s v="Convenience stores"/>
    <x v="7"/>
    <s v="Greener salads"/>
    <s v="|131/01/70|"/>
    <n v="660"/>
    <n v="2.56"/>
    <n v="3.93"/>
  </r>
  <r>
    <x v="0"/>
    <s v="Convenience stores"/>
    <x v="7"/>
    <s v="Greener salads"/>
    <s v="|131/01/72|"/>
    <n v="1008"/>
    <n v="2.56"/>
    <n v="3.7"/>
  </r>
  <r>
    <x v="0"/>
    <s v="Convenience stores"/>
    <x v="7"/>
    <s v="Greener salads"/>
    <s v="|131/01/73|"/>
    <n v="600"/>
    <n v="2.8"/>
    <n v="3.96"/>
  </r>
  <r>
    <x v="0"/>
    <s v="Convenience stores"/>
    <x v="7"/>
    <s v="Greener salads"/>
    <s v="|131/01/76|"/>
    <n v="852"/>
    <n v="2.04"/>
    <n v="3.93"/>
  </r>
  <r>
    <x v="0"/>
    <s v="Convenience stores"/>
    <x v="7"/>
    <s v="Greener salads"/>
    <s v="|131/01/80|"/>
    <n v="1080"/>
    <n v="2.57"/>
    <n v="3.86"/>
  </r>
  <r>
    <x v="0"/>
    <s v="Convenience stores"/>
    <x v="7"/>
    <s v="Greener salads"/>
    <s v="|131/02/36|"/>
    <n v="636"/>
    <n v="2.5"/>
    <n v="3.24"/>
  </r>
  <r>
    <x v="0"/>
    <s v="Convenience stores"/>
    <x v="3"/>
    <s v="San Benedetto"/>
    <s v="|49/01/01|"/>
    <n v="156"/>
    <n v="1.19"/>
    <n v="1.2"/>
  </r>
  <r>
    <x v="0"/>
    <s v="Convenience stores"/>
    <x v="3"/>
    <s v="San Benedetto"/>
    <s v="|49/01/02|"/>
    <n v="132"/>
    <n v="1.1100000000000001"/>
    <n v="1.28"/>
  </r>
  <r>
    <x v="0"/>
    <s v="Convenience stores"/>
    <x v="3"/>
    <s v="San Benedetto"/>
    <s v="|49/01/03|"/>
    <n v="144"/>
    <n v="1.0900000000000001"/>
    <n v="1.34"/>
  </r>
  <r>
    <x v="0"/>
    <s v="Convenience stores"/>
    <x v="3"/>
    <s v="San Benedetto"/>
    <s v="|49/01/04|"/>
    <n v="48"/>
    <n v="1.1399999999999999"/>
    <n v="1.35"/>
  </r>
  <r>
    <x v="0"/>
    <s v="Convenience stores"/>
    <x v="3"/>
    <s v="San Benedetto"/>
    <s v="|49/01/05|"/>
    <n v="96"/>
    <n v="1.1599999999999999"/>
    <n v="1.3"/>
  </r>
  <r>
    <x v="0"/>
    <s v="Convenience stores"/>
    <x v="3"/>
    <s v="San Benedetto"/>
    <s v="|49/01/06|"/>
    <n v="156"/>
    <n v="1.1000000000000001"/>
    <n v="1.32"/>
  </r>
  <r>
    <x v="0"/>
    <s v="Convenience stores"/>
    <x v="3"/>
    <s v="San Benedetto"/>
    <s v="|49/01/07|"/>
    <n v="60"/>
    <n v="1.01"/>
    <n v="1.39"/>
  </r>
  <r>
    <x v="0"/>
    <s v="Convenience stores"/>
    <x v="3"/>
    <s v="San Benedetto"/>
    <s v="|49/01/08|"/>
    <n v="60"/>
    <n v="1.2"/>
    <n v="1.35"/>
  </r>
  <r>
    <x v="0"/>
    <s v="Convenience stores"/>
    <x v="3"/>
    <s v="San Benedetto"/>
    <s v="|49/01/09|"/>
    <n v="84"/>
    <n v="1.1299999999999999"/>
    <n v="1.38"/>
  </r>
  <r>
    <x v="0"/>
    <s v="Convenience stores"/>
    <x v="3"/>
    <s v="San Benedetto"/>
    <s v="|49/01/10|"/>
    <n v="168"/>
    <n v="1.18"/>
    <n v="1.36"/>
  </r>
  <r>
    <x v="0"/>
    <s v="Convenience stores"/>
    <x v="3"/>
    <s v="San Benedetto"/>
    <s v="|49/01/11|"/>
    <n v="108"/>
    <n v="1.05"/>
    <n v="1.35"/>
  </r>
  <r>
    <x v="0"/>
    <s v="Convenience stores"/>
    <x v="3"/>
    <s v="San Benedetto"/>
    <s v="|49/01/12|"/>
    <n v="60"/>
    <n v="1"/>
    <n v="1.38"/>
  </r>
  <r>
    <x v="0"/>
    <s v="Convenience stores"/>
    <x v="3"/>
    <s v="San Benedetto"/>
    <s v="|49/01/13|"/>
    <n v="168"/>
    <n v="1.03"/>
    <n v="1.37"/>
  </r>
  <r>
    <x v="0"/>
    <s v="Convenience stores"/>
    <x v="3"/>
    <s v="Campari"/>
    <s v="|118/01/01|"/>
    <n v="120"/>
    <n v="1.1499999999999999"/>
    <n v="1.36"/>
  </r>
  <r>
    <x v="0"/>
    <s v="Convenience stores"/>
    <x v="3"/>
    <s v="Campari"/>
    <s v="|118/01/02|"/>
    <n v="72"/>
    <n v="1.07"/>
    <n v="1.31"/>
  </r>
  <r>
    <x v="0"/>
    <s v="Convenience stores"/>
    <x v="3"/>
    <s v="Campari"/>
    <s v="|118/01/03|"/>
    <n v="120"/>
    <n v="1.19"/>
    <n v="1.4"/>
  </r>
  <r>
    <x v="0"/>
    <s v="Convenience stores"/>
    <x v="2"/>
    <s v="Lavazza"/>
    <s v="|34/01/01|"/>
    <n v="8892"/>
    <n v="1"/>
    <n v="0.9"/>
  </r>
  <r>
    <x v="0"/>
    <s v="Convenience stores"/>
    <x v="2"/>
    <s v="Lavazza"/>
    <s v="|34/01/02|"/>
    <n v="5148"/>
    <n v="0.79"/>
    <n v="1.1499999999999999"/>
  </r>
  <r>
    <x v="0"/>
    <s v="Convenience stores"/>
    <x v="2"/>
    <s v="Lavazza"/>
    <s v="|34/01/03|"/>
    <n v="8616"/>
    <n v="0.51"/>
    <n v="1.1100000000000001"/>
  </r>
  <r>
    <x v="0"/>
    <s v="Convenience stores"/>
    <x v="2"/>
    <s v="Lavazza"/>
    <s v="|34/01/10|"/>
    <n v="6372"/>
    <n v="1.1200000000000001"/>
    <n v="1.01"/>
  </r>
  <r>
    <x v="0"/>
    <s v="Convenience stores"/>
    <x v="2"/>
    <s v="Lavazza"/>
    <s v="|34/01/11|"/>
    <n v="8124"/>
    <n v="0.98"/>
    <n v="0.91"/>
  </r>
  <r>
    <x v="0"/>
    <s v="Convenience stores"/>
    <x v="2"/>
    <s v="Lavazza"/>
    <s v="|34/01/12|"/>
    <n v="7068"/>
    <n v="1.03"/>
    <n v="1.18"/>
  </r>
  <r>
    <x v="0"/>
    <s v="Convenience stores"/>
    <x v="9"/>
    <s v="Garofalo"/>
    <s v="|110/00/20|"/>
    <n v="540"/>
    <n v="2.44"/>
    <n v="2.95"/>
  </r>
  <r>
    <x v="0"/>
    <s v="Convenience stores"/>
    <x v="9"/>
    <s v="Garofalo"/>
    <s v="|110/00/21|"/>
    <n v="1152"/>
    <n v="1.57"/>
    <n v="3.25"/>
  </r>
  <r>
    <x v="0"/>
    <s v="Convenience stores"/>
    <x v="9"/>
    <s v="J&amp;J"/>
    <s v="|23/23/00|"/>
    <n v="1032"/>
    <n v="1.81"/>
    <n v="2.15"/>
  </r>
  <r>
    <x v="0"/>
    <s v="Convenience stores"/>
    <x v="9"/>
    <s v="J&amp;J"/>
    <s v="|23/23/01|"/>
    <n v="912"/>
    <n v="2.14"/>
    <n v="2.81"/>
  </r>
  <r>
    <x v="0"/>
    <s v="Convenience stores"/>
    <x v="9"/>
    <s v="J&amp;J"/>
    <s v="|23/23/02|"/>
    <n v="624"/>
    <n v="2.02"/>
    <n v="2.97"/>
  </r>
  <r>
    <x v="0"/>
    <s v="Convenience stores"/>
    <x v="9"/>
    <s v="J&amp;J"/>
    <s v="|23/23/03|"/>
    <n v="444"/>
    <n v="2.11"/>
    <n v="3.47"/>
  </r>
  <r>
    <x v="0"/>
    <s v="Convenience stores"/>
    <x v="9"/>
    <s v="J&amp;J"/>
    <s v="|23/23/04|"/>
    <n v="1152"/>
    <n v="1.49"/>
    <n v="2.14"/>
  </r>
  <r>
    <x v="0"/>
    <s v="Convenience stores"/>
    <x v="9"/>
    <s v="J&amp;J"/>
    <s v="|23/23/05|"/>
    <n v="612"/>
    <n v="1.46"/>
    <n v="3.3"/>
  </r>
  <r>
    <x v="0"/>
    <s v="Convenience stores"/>
    <x v="9"/>
    <s v="J&amp;J"/>
    <s v="|23/23/06|"/>
    <n v="996"/>
    <n v="2.34"/>
    <n v="3.36"/>
  </r>
  <r>
    <x v="0"/>
    <s v="Convenience stores"/>
    <x v="9"/>
    <s v="J&amp;J"/>
    <s v="|23/23/07|"/>
    <n v="792"/>
    <n v="1.5"/>
    <n v="2.17"/>
  </r>
  <r>
    <x v="0"/>
    <s v="Convenience stores"/>
    <x v="9"/>
    <s v="J&amp;J"/>
    <s v="|23/23/08|"/>
    <n v="480"/>
    <n v="1.63"/>
    <n v="2.23"/>
  </r>
  <r>
    <x v="0"/>
    <s v="Convenience stores"/>
    <x v="9"/>
    <s v="J&amp;J"/>
    <s v="|23/23/09|"/>
    <n v="1116"/>
    <n v="1.53"/>
    <n v="2.62"/>
  </r>
  <r>
    <x v="0"/>
    <s v="Convenience stores"/>
    <x v="9"/>
    <s v="J&amp;J"/>
    <s v="|23/23/10|"/>
    <n v="384"/>
    <n v="1.77"/>
    <n v="2.44"/>
  </r>
  <r>
    <x v="0"/>
    <s v="Convenience stores"/>
    <x v="9"/>
    <s v="J&amp;J"/>
    <s v="|23/23/100|"/>
    <n v="960"/>
    <n v="1.69"/>
    <n v="2.86"/>
  </r>
  <r>
    <x v="0"/>
    <s v="Convenience stores"/>
    <x v="9"/>
    <s v="J&amp;J"/>
    <s v="|23/23/101|"/>
    <n v="540"/>
    <n v="2.4300000000000002"/>
    <n v="3.08"/>
  </r>
  <r>
    <x v="0"/>
    <s v="Convenience stores"/>
    <x v="9"/>
    <s v="J&amp;J"/>
    <s v="|23/23/103|"/>
    <n v="468"/>
    <n v="1.59"/>
    <n v="2.2999999999999998"/>
  </r>
  <r>
    <x v="0"/>
    <s v="Convenience stores"/>
    <x v="9"/>
    <s v="J&amp;J"/>
    <s v="|23/23/11|"/>
    <n v="384"/>
    <n v="2.17"/>
    <n v="2.85"/>
  </r>
  <r>
    <x v="0"/>
    <s v="Convenience stores"/>
    <x v="9"/>
    <s v="J&amp;J"/>
    <s v="|23/23/12|"/>
    <n v="792"/>
    <n v="1.78"/>
    <n v="3.36"/>
  </r>
  <r>
    <x v="0"/>
    <s v="Convenience stores"/>
    <x v="9"/>
    <s v="J&amp;J"/>
    <s v="|23/23/13|"/>
    <n v="960"/>
    <n v="2.1"/>
    <n v="3.31"/>
  </r>
  <r>
    <x v="0"/>
    <s v="Convenience stores"/>
    <x v="9"/>
    <s v="J&amp;J"/>
    <s v="|23/23/14|"/>
    <n v="396"/>
    <n v="1.28"/>
    <n v="3.33"/>
  </r>
  <r>
    <x v="0"/>
    <s v="Convenience stores"/>
    <x v="9"/>
    <s v="J&amp;J"/>
    <s v="|23/23/15|"/>
    <n v="636"/>
    <n v="2.15"/>
    <n v="2.15"/>
  </r>
  <r>
    <x v="0"/>
    <s v="Convenience stores"/>
    <x v="9"/>
    <s v="J&amp;J"/>
    <s v="|23/23/16|"/>
    <n v="696"/>
    <n v="1.39"/>
    <n v="2.4900000000000002"/>
  </r>
  <r>
    <x v="0"/>
    <s v="Convenience stores"/>
    <x v="9"/>
    <s v="J&amp;J"/>
    <s v="|23/23/17|"/>
    <n v="408"/>
    <n v="1.68"/>
    <n v="3.5"/>
  </r>
  <r>
    <x v="0"/>
    <s v="Convenience stores"/>
    <x v="9"/>
    <s v="J&amp;J"/>
    <s v="|23/23/18|"/>
    <n v="924"/>
    <n v="1.57"/>
    <n v="2.0299999999999998"/>
  </r>
  <r>
    <x v="0"/>
    <s v="Convenience stores"/>
    <x v="9"/>
    <s v="J&amp;J"/>
    <s v="|23/23/19|"/>
    <n v="1140"/>
    <n v="2.29"/>
    <n v="2.16"/>
  </r>
  <r>
    <x v="0"/>
    <s v="Convenience stores"/>
    <x v="9"/>
    <s v="J&amp;J"/>
    <s v="|23/23/20|"/>
    <n v="564"/>
    <n v="1.74"/>
    <n v="3.11"/>
  </r>
  <r>
    <x v="0"/>
    <s v="Convenience stores"/>
    <x v="9"/>
    <s v="J&amp;J"/>
    <s v="|23/23/21|"/>
    <n v="840"/>
    <n v="2.2999999999999998"/>
    <n v="2.2400000000000002"/>
  </r>
  <r>
    <x v="0"/>
    <s v="Convenience stores"/>
    <x v="9"/>
    <s v="J&amp;J"/>
    <s v="|23/23/22|"/>
    <n v="432"/>
    <n v="1.55"/>
    <n v="2.2599999999999998"/>
  </r>
  <r>
    <x v="0"/>
    <s v="Convenience stores"/>
    <x v="9"/>
    <s v="J&amp;J"/>
    <s v="|23/23/23|"/>
    <n v="552"/>
    <n v="1.42"/>
    <n v="2.99"/>
  </r>
  <r>
    <x v="0"/>
    <s v="Convenience stores"/>
    <x v="9"/>
    <s v="J&amp;J"/>
    <s v="|23/23/24|"/>
    <n v="600"/>
    <n v="1.94"/>
    <n v="2.5499999999999998"/>
  </r>
  <r>
    <x v="0"/>
    <s v="Convenience stores"/>
    <x v="9"/>
    <s v="J&amp;J"/>
    <s v="|23/23/25|"/>
    <n v="864"/>
    <n v="1.29"/>
    <n v="2.0499999999999998"/>
  </r>
  <r>
    <x v="0"/>
    <s v="Convenience stores"/>
    <x v="9"/>
    <s v="J&amp;J"/>
    <s v="|23/23/26|"/>
    <n v="576"/>
    <n v="1.98"/>
    <n v="3.27"/>
  </r>
  <r>
    <x v="0"/>
    <s v="Convenience stores"/>
    <x v="9"/>
    <s v="J&amp;J"/>
    <s v="|23/23/27|"/>
    <n v="588"/>
    <n v="2.19"/>
    <n v="2.57"/>
  </r>
  <r>
    <x v="0"/>
    <s v="Convenience stores"/>
    <x v="9"/>
    <s v="J&amp;J"/>
    <s v="|23/23/28|"/>
    <n v="768"/>
    <n v="1.97"/>
    <n v="2.81"/>
  </r>
  <r>
    <x v="0"/>
    <s v="Convenience stores"/>
    <x v="9"/>
    <s v="J&amp;J"/>
    <s v="|23/23/29|"/>
    <n v="1152"/>
    <n v="1.48"/>
    <n v="3.15"/>
  </r>
  <r>
    <x v="0"/>
    <s v="Convenience stores"/>
    <x v="9"/>
    <s v="J&amp;J"/>
    <s v="|23/23/30|"/>
    <n v="612"/>
    <n v="1.81"/>
    <n v="3.17"/>
  </r>
  <r>
    <x v="0"/>
    <s v="Convenience stores"/>
    <x v="9"/>
    <s v="J&amp;J"/>
    <s v="|23/23/31|"/>
    <n v="1044"/>
    <n v="1.85"/>
    <n v="3.31"/>
  </r>
  <r>
    <x v="0"/>
    <s v="Convenience stores"/>
    <x v="9"/>
    <s v="J&amp;J"/>
    <s v="|23/23/32|"/>
    <n v="1008"/>
    <n v="1.82"/>
    <n v="2.41"/>
  </r>
  <r>
    <x v="0"/>
    <s v="Convenience stores"/>
    <x v="9"/>
    <s v="J&amp;J"/>
    <s v="|23/23/33|"/>
    <n v="360"/>
    <n v="1.66"/>
    <n v="3.11"/>
  </r>
  <r>
    <x v="0"/>
    <s v="Convenience stores"/>
    <x v="9"/>
    <s v="J&amp;J"/>
    <s v="|23/23/34|"/>
    <n v="708"/>
    <n v="1.46"/>
    <n v="2.56"/>
  </r>
  <r>
    <x v="0"/>
    <s v="Convenience stores"/>
    <x v="9"/>
    <s v="J&amp;J"/>
    <s v="|23/23/35|"/>
    <n v="624"/>
    <n v="2.15"/>
    <n v="3.47"/>
  </r>
  <r>
    <x v="0"/>
    <s v="Convenience stores"/>
    <x v="9"/>
    <s v="J&amp;J"/>
    <s v="|23/23/36|"/>
    <n v="396"/>
    <n v="2.12"/>
    <n v="3.03"/>
  </r>
  <r>
    <x v="0"/>
    <s v="Convenience stores"/>
    <x v="9"/>
    <s v="J&amp;J"/>
    <s v="|23/23/37|"/>
    <n v="720"/>
    <n v="1.74"/>
    <n v="3.33"/>
  </r>
  <r>
    <x v="0"/>
    <s v="Convenience stores"/>
    <x v="9"/>
    <s v="J&amp;J"/>
    <s v="|23/23/38|"/>
    <n v="1080"/>
    <n v="2"/>
    <n v="2.4500000000000002"/>
  </r>
  <r>
    <x v="0"/>
    <s v="Convenience stores"/>
    <x v="9"/>
    <s v="J&amp;J"/>
    <s v="|23/23/39|"/>
    <n v="852"/>
    <n v="1.29"/>
    <n v="2.4300000000000002"/>
  </r>
  <r>
    <x v="0"/>
    <s v="Convenience stores"/>
    <x v="9"/>
    <s v="J&amp;J"/>
    <s v="|23/23/40|"/>
    <n v="1116"/>
    <n v="2"/>
    <n v="2.08"/>
  </r>
  <r>
    <x v="0"/>
    <s v="Convenience stores"/>
    <x v="9"/>
    <s v="J&amp;J"/>
    <s v="|23/23/41|"/>
    <n v="816"/>
    <n v="2.0499999999999998"/>
    <n v="2.12"/>
  </r>
  <r>
    <x v="0"/>
    <s v="Convenience stores"/>
    <x v="9"/>
    <s v="J&amp;J"/>
    <s v="|23/23/42|"/>
    <n v="1008"/>
    <n v="1.78"/>
    <n v="3.39"/>
  </r>
  <r>
    <x v="0"/>
    <s v="Convenience stores"/>
    <x v="9"/>
    <s v="J&amp;J"/>
    <s v="|23/23/43|"/>
    <n v="420"/>
    <n v="2.1800000000000002"/>
    <n v="2.11"/>
  </r>
  <r>
    <x v="0"/>
    <s v="Convenience stores"/>
    <x v="9"/>
    <s v="J&amp;J"/>
    <s v="|23/23/44|"/>
    <n v="1128"/>
    <n v="1.2"/>
    <n v="3.27"/>
  </r>
  <r>
    <x v="0"/>
    <s v="Convenience stores"/>
    <x v="9"/>
    <s v="J&amp;J"/>
    <s v="|23/23/45|"/>
    <n v="1140"/>
    <n v="2.41"/>
    <n v="2.27"/>
  </r>
  <r>
    <x v="0"/>
    <s v="Convenience stores"/>
    <x v="9"/>
    <s v="J&amp;J"/>
    <s v="|23/23/46|"/>
    <n v="984"/>
    <n v="1.67"/>
    <n v="2.64"/>
  </r>
  <r>
    <x v="0"/>
    <s v="Convenience stores"/>
    <x v="9"/>
    <s v="J&amp;J"/>
    <s v="|23/23/47|"/>
    <n v="1104"/>
    <n v="1.69"/>
    <n v="3.37"/>
  </r>
  <r>
    <x v="0"/>
    <s v="Convenience stores"/>
    <x v="9"/>
    <s v="J&amp;J"/>
    <s v="|23/23/48|"/>
    <n v="828"/>
    <n v="2.39"/>
    <n v="3.3"/>
  </r>
  <r>
    <x v="0"/>
    <s v="Convenience stores"/>
    <x v="9"/>
    <s v="J&amp;J"/>
    <s v="|23/23/49|"/>
    <n v="576"/>
    <n v="2.2200000000000002"/>
    <n v="3.18"/>
  </r>
  <r>
    <x v="0"/>
    <s v="Convenience stores"/>
    <x v="9"/>
    <s v="J&amp;J"/>
    <s v="|23/23/50|"/>
    <n v="1164"/>
    <n v="2.44"/>
    <n v="3.36"/>
  </r>
  <r>
    <x v="0"/>
    <s v="Convenience stores"/>
    <x v="9"/>
    <s v="J&amp;J"/>
    <s v="|23/23/51|"/>
    <n v="1128"/>
    <n v="2.4"/>
    <n v="2.2599999999999998"/>
  </r>
  <r>
    <x v="0"/>
    <s v="Convenience stores"/>
    <x v="9"/>
    <s v="J&amp;J"/>
    <s v="|23/23/53|"/>
    <n v="1068"/>
    <n v="1.53"/>
    <n v="2.41"/>
  </r>
  <r>
    <x v="0"/>
    <s v="Convenience stores"/>
    <x v="9"/>
    <s v="J&amp;J"/>
    <s v="|23/23/56|"/>
    <n v="792"/>
    <n v="1.74"/>
    <n v="2.95"/>
  </r>
  <r>
    <x v="0"/>
    <s v="Convenience stores"/>
    <x v="9"/>
    <s v="J&amp;J"/>
    <s v="|23/23/62|"/>
    <n v="1044"/>
    <n v="1.46"/>
    <n v="2.6"/>
  </r>
  <r>
    <x v="0"/>
    <s v="Convenience stores"/>
    <x v="9"/>
    <s v="J&amp;J"/>
    <s v="|23/23/63|"/>
    <n v="600"/>
    <n v="1.73"/>
    <n v="2.0499999999999998"/>
  </r>
  <r>
    <x v="0"/>
    <s v="Convenience stores"/>
    <x v="9"/>
    <s v="J&amp;J"/>
    <s v="|23/23/64|"/>
    <n v="696"/>
    <n v="2.4300000000000002"/>
    <n v="2.52"/>
  </r>
  <r>
    <x v="0"/>
    <s v="Convenience stores"/>
    <x v="9"/>
    <s v="J&amp;J"/>
    <s v="|23/23/65|"/>
    <n v="372"/>
    <n v="1.61"/>
    <n v="2.2000000000000002"/>
  </r>
  <r>
    <x v="0"/>
    <s v="Convenience stores"/>
    <x v="9"/>
    <s v="J&amp;J"/>
    <s v="|23/23/68|"/>
    <n v="768"/>
    <n v="1.88"/>
    <n v="2.56"/>
  </r>
  <r>
    <x v="0"/>
    <s v="Convenience stores"/>
    <x v="9"/>
    <s v="J&amp;J"/>
    <s v="|23/23/69|"/>
    <n v="780"/>
    <n v="1.85"/>
    <n v="2.98"/>
  </r>
  <r>
    <x v="0"/>
    <s v="Convenience stores"/>
    <x v="9"/>
    <s v="J&amp;J"/>
    <s v="|23/23/71|"/>
    <n v="576"/>
    <n v="1.96"/>
    <n v="2.91"/>
  </r>
  <r>
    <x v="0"/>
    <s v="Convenience stores"/>
    <x v="9"/>
    <s v="J&amp;J"/>
    <s v="|23/23/72|"/>
    <n v="528"/>
    <n v="1.86"/>
    <n v="2.99"/>
  </r>
  <r>
    <x v="0"/>
    <s v="Convenience stores"/>
    <x v="9"/>
    <s v="J&amp;J"/>
    <s v="|23/23/76|"/>
    <n v="1092"/>
    <n v="1.96"/>
    <n v="2.88"/>
  </r>
  <r>
    <x v="0"/>
    <s v="Convenience stores"/>
    <x v="9"/>
    <s v="J&amp;J"/>
    <s v="|23/23/77|"/>
    <n v="1068"/>
    <n v="1.6"/>
    <n v="3.42"/>
  </r>
  <r>
    <x v="0"/>
    <s v="Convenience stores"/>
    <x v="9"/>
    <s v="J&amp;J"/>
    <s v="|23/23/78|"/>
    <n v="1176"/>
    <n v="2.0299999999999998"/>
    <n v="3.48"/>
  </r>
  <r>
    <x v="0"/>
    <s v="Convenience stores"/>
    <x v="9"/>
    <s v="J&amp;J"/>
    <s v="|23/23/79|"/>
    <n v="816"/>
    <n v="2.37"/>
    <n v="3.31"/>
  </r>
  <r>
    <x v="0"/>
    <s v="Convenience stores"/>
    <x v="9"/>
    <s v="J&amp;J"/>
    <s v="|23/23/80|"/>
    <n v="1044"/>
    <n v="1.78"/>
    <n v="2.52"/>
  </r>
  <r>
    <x v="0"/>
    <s v="Convenience stores"/>
    <x v="9"/>
    <s v="J&amp;J"/>
    <s v="|23/23/81|"/>
    <n v="972"/>
    <n v="1.38"/>
    <n v="2.38"/>
  </r>
  <r>
    <x v="0"/>
    <s v="Convenience stores"/>
    <x v="9"/>
    <s v="J&amp;J"/>
    <s v="|23/23/82|"/>
    <n v="492"/>
    <n v="2.14"/>
    <n v="3.41"/>
  </r>
  <r>
    <x v="0"/>
    <s v="Convenience stores"/>
    <x v="9"/>
    <s v="J&amp;J"/>
    <s v="|23/23/83|"/>
    <n v="972"/>
    <n v="1.92"/>
    <n v="2.0099999999999998"/>
  </r>
  <r>
    <x v="0"/>
    <s v="Convenience stores"/>
    <x v="9"/>
    <s v="J&amp;J"/>
    <s v="|23/23/84|"/>
    <n v="780"/>
    <n v="1.35"/>
    <n v="3.46"/>
  </r>
  <r>
    <x v="0"/>
    <s v="Convenience stores"/>
    <x v="9"/>
    <s v="J&amp;J"/>
    <s v="|23/23/98|"/>
    <n v="1104"/>
    <n v="1.61"/>
    <n v="2.59"/>
  </r>
  <r>
    <x v="0"/>
    <s v="Convenience stores"/>
    <x v="9"/>
    <s v="J&amp;J"/>
    <s v="|23/23/99|"/>
    <n v="936"/>
    <n v="2.04"/>
    <n v="3.26"/>
  </r>
  <r>
    <x v="0"/>
    <s v="Convenience stores"/>
    <x v="2"/>
    <s v="H&amp;I"/>
    <s v="|13/01/11|"/>
    <n v="5928"/>
    <n v="0.44"/>
    <n v="0.95"/>
  </r>
  <r>
    <x v="0"/>
    <s v="Convenience stores"/>
    <x v="2"/>
    <s v="H&amp;I"/>
    <s v="|13/01/12|"/>
    <n v="8232"/>
    <n v="0.52"/>
    <n v="0.93"/>
  </r>
  <r>
    <x v="0"/>
    <s v="Convenience stores"/>
    <x v="2"/>
    <s v="H&amp;I"/>
    <s v="|13/01/13|"/>
    <n v="5088"/>
    <n v="0.77"/>
    <n v="1.04"/>
  </r>
  <r>
    <x v="0"/>
    <s v="Convenience stores"/>
    <x v="2"/>
    <s v="H&amp;I"/>
    <s v="|13/01/14|"/>
    <n v="8916"/>
    <n v="1.19"/>
    <n v="0.94"/>
  </r>
  <r>
    <x v="0"/>
    <s v="Convenience stores"/>
    <x v="2"/>
    <s v="H&amp;I"/>
    <s v="|13/01/20|"/>
    <n v="4884"/>
    <n v="0.92"/>
    <n v="1.1100000000000001"/>
  </r>
  <r>
    <x v="0"/>
    <s v="Convenience stores"/>
    <x v="2"/>
    <s v="H&amp;I"/>
    <s v="|13/02/01|"/>
    <n v="6468"/>
    <n v="0.91"/>
    <n v="1.01"/>
  </r>
  <r>
    <x v="0"/>
    <s v="Convenience stores"/>
    <x v="2"/>
    <s v="H&amp;I"/>
    <s v="|13/02/02|"/>
    <n v="5160"/>
    <n v="1.05"/>
    <n v="0.95"/>
  </r>
  <r>
    <x v="0"/>
    <s v="Convenience stores"/>
    <x v="2"/>
    <s v="H&amp;I"/>
    <s v="|13/02/03|"/>
    <n v="7560"/>
    <n v="0.64"/>
    <n v="0.96"/>
  </r>
  <r>
    <x v="0"/>
    <s v="Convenience stores"/>
    <x v="2"/>
    <s v="H&amp;I"/>
    <s v="|13/02/04|"/>
    <n v="6132"/>
    <n v="0.86"/>
    <n v="1.1000000000000001"/>
  </r>
  <r>
    <x v="0"/>
    <s v="Convenience stores"/>
    <x v="2"/>
    <s v="H&amp;I"/>
    <s v="|13/02/10|"/>
    <n v="7932"/>
    <n v="0.97"/>
    <n v="1"/>
  </r>
  <r>
    <x v="0"/>
    <s v="Convenience stores"/>
    <x v="2"/>
    <s v="H&amp;I"/>
    <s v="|13/99/50|"/>
    <n v="4812"/>
    <n v="0.62"/>
    <n v="0.94"/>
  </r>
  <r>
    <x v="0"/>
    <s v="Convenience stores"/>
    <x v="2"/>
    <s v="H&amp;I"/>
    <s v="|13/99/52|"/>
    <n v="8124"/>
    <n v="0.48"/>
    <n v="1.05"/>
  </r>
  <r>
    <x v="0"/>
    <s v="Convenience stores"/>
    <x v="5"/>
    <s v="H&amp;I"/>
    <s v="|13/01/21|"/>
    <n v="852"/>
    <n v="1.33"/>
    <n v="1.77"/>
  </r>
  <r>
    <x v="0"/>
    <s v="Convenience stores"/>
    <x v="5"/>
    <s v="H&amp;I"/>
    <s v="|13/01/22|"/>
    <n v="672"/>
    <n v="1.1299999999999999"/>
    <n v="1.88"/>
  </r>
  <r>
    <x v="0"/>
    <s v="Convenience stores"/>
    <x v="5"/>
    <s v="H&amp;I"/>
    <s v="|13/01/23|"/>
    <n v="1188"/>
    <n v="1.41"/>
    <n v="1.78"/>
  </r>
  <r>
    <x v="0"/>
    <s v="Convenience stores"/>
    <x v="5"/>
    <s v="H&amp;I"/>
    <s v="|13/01/24|"/>
    <n v="708"/>
    <n v="1.23"/>
    <n v="1.73"/>
  </r>
  <r>
    <x v="0"/>
    <s v="Convenience stores"/>
    <x v="5"/>
    <s v="H&amp;I"/>
    <s v="|13/01/25|"/>
    <n v="852"/>
    <n v="1.17"/>
    <n v="1.86"/>
  </r>
  <r>
    <x v="0"/>
    <s v="Convenience stores"/>
    <x v="5"/>
    <s v="H&amp;I"/>
    <s v="|13/01/26|"/>
    <n v="960"/>
    <n v="1.18"/>
    <n v="1.73"/>
  </r>
  <r>
    <x v="0"/>
    <s v="Convenience stores"/>
    <x v="5"/>
    <s v="H&amp;I"/>
    <s v="|13/01/27|"/>
    <n v="828"/>
    <n v="1.39"/>
    <n v="1.78"/>
  </r>
  <r>
    <x v="0"/>
    <s v="Convenience stores"/>
    <x v="5"/>
    <s v="H&amp;I"/>
    <s v="|13/01/28|"/>
    <n v="696"/>
    <n v="1.1599999999999999"/>
    <n v="1.68"/>
  </r>
  <r>
    <x v="0"/>
    <s v="Convenience stores"/>
    <x v="5"/>
    <s v="H&amp;I"/>
    <s v="|13/01/80|"/>
    <n v="1104"/>
    <n v="1.48"/>
    <n v="1.67"/>
  </r>
  <r>
    <x v="0"/>
    <s v="Convenience stores"/>
    <x v="5"/>
    <s v="H&amp;I"/>
    <s v="|13/01/81|"/>
    <n v="792"/>
    <n v="1.27"/>
    <n v="1.9"/>
  </r>
  <r>
    <x v="0"/>
    <s v="Convenience stores"/>
    <x v="5"/>
    <s v="H&amp;I"/>
    <s v="|13/01/82|"/>
    <n v="1308"/>
    <n v="1.5"/>
    <n v="1.89"/>
  </r>
  <r>
    <x v="0"/>
    <s v="Convenience stores"/>
    <x v="5"/>
    <s v="H&amp;I"/>
    <s v="|13/01/83|"/>
    <n v="972"/>
    <n v="1.41"/>
    <n v="1.76"/>
  </r>
  <r>
    <x v="0"/>
    <s v="Convenience stores"/>
    <x v="5"/>
    <s v="H&amp;I"/>
    <s v="|13/01/84|"/>
    <n v="1308"/>
    <n v="1.1200000000000001"/>
    <n v="1.82"/>
  </r>
  <r>
    <x v="0"/>
    <s v="Convenience stores"/>
    <x v="5"/>
    <s v="H&amp;I"/>
    <s v="|13/01/85|"/>
    <n v="696"/>
    <n v="1.28"/>
    <n v="1.85"/>
  </r>
  <r>
    <x v="0"/>
    <s v="Convenience stores"/>
    <x v="5"/>
    <s v="H&amp;I"/>
    <s v="|13/02/05|"/>
    <n v="948"/>
    <n v="1.1599999999999999"/>
    <n v="1.76"/>
  </r>
  <r>
    <x v="0"/>
    <s v="Convenience stores"/>
    <x v="5"/>
    <s v="H&amp;I"/>
    <s v="|13/02/06|"/>
    <n v="1248"/>
    <n v="1.34"/>
    <n v="1.82"/>
  </r>
  <r>
    <x v="0"/>
    <s v="Convenience stores"/>
    <x v="5"/>
    <s v="H&amp;I"/>
    <s v="|13/02/07|"/>
    <n v="756"/>
    <n v="1.1399999999999999"/>
    <n v="1.71"/>
  </r>
  <r>
    <x v="0"/>
    <s v="Convenience stores"/>
    <x v="5"/>
    <s v="H&amp;I"/>
    <s v="|13/02/08|"/>
    <n v="972"/>
    <n v="1.17"/>
    <n v="1.65"/>
  </r>
  <r>
    <x v="0"/>
    <s v="Convenience stores"/>
    <x v="5"/>
    <s v="H&amp;I"/>
    <s v="|13/02/09|"/>
    <n v="1308"/>
    <n v="1.45"/>
    <n v="1.82"/>
  </r>
  <r>
    <x v="0"/>
    <s v="Convenience stores"/>
    <x v="5"/>
    <s v="H&amp;I"/>
    <s v="|13/99/53|"/>
    <n v="1224"/>
    <n v="1.27"/>
    <n v="1.89"/>
  </r>
  <r>
    <x v="0"/>
    <s v="Convenience stores"/>
    <x v="9"/>
    <s v="Unilever"/>
    <s v="|77/01/01|"/>
    <n v="744"/>
    <n v="2.06"/>
    <n v="3.11"/>
  </r>
  <r>
    <x v="0"/>
    <s v="Convenience stores"/>
    <x v="9"/>
    <s v="Unilever"/>
    <s v="|77/01/02|"/>
    <n v="972"/>
    <n v="2.31"/>
    <n v="3.27"/>
  </r>
  <r>
    <x v="0"/>
    <s v="Convenience stores"/>
    <x v="9"/>
    <s v="Unilever"/>
    <s v="|77/01/03|"/>
    <n v="540"/>
    <n v="1.99"/>
    <n v="2.66"/>
  </r>
  <r>
    <x v="0"/>
    <s v="Convenience stores"/>
    <x v="9"/>
    <s v="Unilever"/>
    <s v="|77/01/04|"/>
    <n v="456"/>
    <n v="1.67"/>
    <n v="2.4700000000000002"/>
  </r>
  <r>
    <x v="0"/>
    <s v="Convenience stores"/>
    <x v="9"/>
    <s v="Unilever"/>
    <s v="|77/01/05|"/>
    <n v="684"/>
    <n v="1.26"/>
    <n v="3.24"/>
  </r>
  <r>
    <x v="0"/>
    <s v="Convenience stores"/>
    <x v="9"/>
    <s v="Unilever"/>
    <s v="|77/01/06|"/>
    <n v="1116"/>
    <n v="1.72"/>
    <n v="2.66"/>
  </r>
  <r>
    <x v="0"/>
    <s v="Convenience stores"/>
    <x v="9"/>
    <s v="Unilever"/>
    <s v="|77/01/07|"/>
    <n v="972"/>
    <n v="2.27"/>
    <n v="2.21"/>
  </r>
  <r>
    <x v="0"/>
    <s v="Convenience stores"/>
    <x v="9"/>
    <s v="Unilever"/>
    <s v="|77/01/08|"/>
    <n v="708"/>
    <n v="2.2999999999999998"/>
    <n v="3.14"/>
  </r>
  <r>
    <x v="0"/>
    <s v="Convenience stores"/>
    <x v="1"/>
    <s v="M&amp;M"/>
    <s v="|84/02/02|"/>
    <n v="636"/>
    <n v="5.5733333333333333"/>
    <n v="7.4"/>
  </r>
  <r>
    <x v="0"/>
    <s v="Convenience stores"/>
    <x v="1"/>
    <s v="M&amp;M"/>
    <s v="|84/02/03|"/>
    <n v="468"/>
    <n v="5.6533333333333333"/>
    <n v="8.293333333333333"/>
  </r>
  <r>
    <x v="0"/>
    <s v="Convenience stores"/>
    <x v="6"/>
    <s v="M&amp;M"/>
    <s v="|84/01/01|"/>
    <n v="1476"/>
    <n v="2.41"/>
    <n v="3.45"/>
  </r>
  <r>
    <x v="0"/>
    <s v="Convenience stores"/>
    <x v="6"/>
    <s v="M&amp;M"/>
    <s v="|84/01/02|"/>
    <n v="2316"/>
    <n v="2.36"/>
    <n v="3.6"/>
  </r>
  <r>
    <x v="0"/>
    <s v="Convenience stores"/>
    <x v="6"/>
    <s v="M&amp;M"/>
    <s v="|84/01/03|"/>
    <n v="1992"/>
    <n v="2.41"/>
    <n v="3.59"/>
  </r>
  <r>
    <x v="0"/>
    <s v="Convenience stores"/>
    <x v="6"/>
    <s v="M&amp;M"/>
    <s v="|84/01/04|"/>
    <n v="2472"/>
    <n v="3"/>
    <n v="3.56"/>
  </r>
  <r>
    <x v="0"/>
    <s v="Convenience stores"/>
    <x v="6"/>
    <s v="M&amp;M"/>
    <s v="|84/01/05|"/>
    <n v="2544"/>
    <n v="2.31"/>
    <n v="3.98"/>
  </r>
  <r>
    <x v="0"/>
    <s v="Convenience stores"/>
    <x v="6"/>
    <s v="M&amp;M"/>
    <s v="|84/01/06|"/>
    <n v="1812"/>
    <n v="2.44"/>
    <n v="3.54"/>
  </r>
  <r>
    <x v="0"/>
    <s v="Convenience stores"/>
    <x v="6"/>
    <s v="M&amp;M"/>
    <s v="|84/02/01|"/>
    <n v="2016"/>
    <n v="3"/>
    <n v="3.5"/>
  </r>
  <r>
    <x v="0"/>
    <s v="Convenience stores"/>
    <x v="1"/>
    <s v="Gelati italiani"/>
    <s v="|63/00/00|"/>
    <n v="624"/>
    <n v="5.5266666666666664"/>
    <n v="7.4333333333333336"/>
  </r>
  <r>
    <x v="0"/>
    <s v="Convenience stores"/>
    <x v="1"/>
    <s v="Gelati italiani"/>
    <s v="|63/01/30|"/>
    <n v="480"/>
    <n v="6.2"/>
    <n v="7.7266666666666666"/>
  </r>
  <r>
    <x v="0"/>
    <s v="Convenience stores"/>
    <x v="6"/>
    <s v="Gelati italiani"/>
    <s v="|63/01/01**|"/>
    <n v="1344"/>
    <n v="2.98"/>
    <n v="3.44"/>
  </r>
  <r>
    <x v="0"/>
    <s v="Convenience stores"/>
    <x v="6"/>
    <s v="Gelati italiani"/>
    <s v="|63/01/02|"/>
    <n v="1884"/>
    <n v="2.54"/>
    <n v="3.55"/>
  </r>
  <r>
    <x v="0"/>
    <s v="Convenience stores"/>
    <x v="6"/>
    <s v="Gelati italiani"/>
    <s v="|63/01/03|"/>
    <n v="1812"/>
    <n v="2.38"/>
    <n v="3.77"/>
  </r>
  <r>
    <x v="0"/>
    <s v="Convenience stores"/>
    <x v="6"/>
    <s v="Gelati italiani"/>
    <s v="|63/01/04|"/>
    <n v="2172"/>
    <n v="2.98"/>
    <n v="3.61"/>
  </r>
  <r>
    <x v="0"/>
    <s v="Convenience stores"/>
    <x v="6"/>
    <s v="Gelati italiani"/>
    <s v="|63/01/05|"/>
    <n v="1332"/>
    <n v="2.68"/>
    <n v="3.92"/>
  </r>
  <r>
    <x v="0"/>
    <s v="Convenience stores"/>
    <x v="6"/>
    <s v="Gelati italiani"/>
    <s v="|63/01/06|"/>
    <n v="2112"/>
    <n v="2.36"/>
    <n v="3.36"/>
  </r>
  <r>
    <x v="0"/>
    <s v="Convenience stores"/>
    <x v="6"/>
    <s v="Gelati italiani"/>
    <s v="|63/01/07|"/>
    <n v="2496"/>
    <n v="2.52"/>
    <n v="3.56"/>
  </r>
  <r>
    <x v="0"/>
    <s v="Convenience stores"/>
    <x v="6"/>
    <s v="Gelati italiani"/>
    <s v="|63/01/08|"/>
    <n v="1884"/>
    <n v="2.78"/>
    <n v="3.46"/>
  </r>
  <r>
    <x v="0"/>
    <s v="Convenience stores"/>
    <x v="6"/>
    <s v="Gelati italiani"/>
    <s v="|63/01/09|"/>
    <n v="1740"/>
    <n v="2.39"/>
    <n v="3.6"/>
  </r>
  <r>
    <x v="0"/>
    <s v="Convenience stores"/>
    <x v="6"/>
    <s v="Gelati italiani"/>
    <s v="|63/01/10|"/>
    <n v="2232"/>
    <n v="2.4300000000000002"/>
    <n v="3.99"/>
  </r>
  <r>
    <x v="0"/>
    <s v="Convenience stores"/>
    <x v="6"/>
    <s v="Gelati italiani"/>
    <s v="|63/01/11|"/>
    <n v="2508"/>
    <n v="2.89"/>
    <n v="3.69"/>
  </r>
  <r>
    <x v="0"/>
    <s v="Convenience stores"/>
    <x v="6"/>
    <s v="Gelati italiani"/>
    <s v="|63/01/12|"/>
    <n v="1320"/>
    <n v="2.64"/>
    <n v="3.85"/>
  </r>
  <r>
    <x v="0"/>
    <s v="Convenience stores"/>
    <x v="6"/>
    <s v="Gelati italiani"/>
    <s v="|63/01/13|"/>
    <n v="2256"/>
    <n v="2.78"/>
    <n v="3.91"/>
  </r>
  <r>
    <x v="0"/>
    <s v="Convenience stores"/>
    <x v="6"/>
    <s v="Gelati italiani"/>
    <s v="|63/01/14|"/>
    <n v="2208"/>
    <n v="2.63"/>
    <n v="3.38"/>
  </r>
  <r>
    <x v="0"/>
    <s v="Convenience stores"/>
    <x v="6"/>
    <s v="Gelati italiani"/>
    <s v="|63/01/15|"/>
    <n v="1260"/>
    <n v="2.94"/>
    <n v="3.35"/>
  </r>
  <r>
    <x v="0"/>
    <s v="Convenience stores"/>
    <x v="6"/>
    <s v="Gelati italiani"/>
    <s v="|63/01/16|"/>
    <n v="2220"/>
    <n v="2.9"/>
    <n v="3.82"/>
  </r>
  <r>
    <x v="0"/>
    <s v="Convenience stores"/>
    <x v="6"/>
    <s v="Gelati italiani"/>
    <s v="|63/01/17|"/>
    <n v="2724"/>
    <n v="2.4300000000000002"/>
    <n v="3.79"/>
  </r>
  <r>
    <x v="0"/>
    <s v="Convenience stores"/>
    <x v="6"/>
    <s v="Gelati italiani"/>
    <s v="|63/01/18|"/>
    <n v="1944"/>
    <n v="2.93"/>
    <n v="3.92"/>
  </r>
  <r>
    <x v="0"/>
    <s v="Convenience stores"/>
    <x v="6"/>
    <s v="Gelati italiani"/>
    <s v="|63/01/19|"/>
    <n v="1464"/>
    <n v="2.42"/>
    <n v="3.87"/>
  </r>
  <r>
    <x v="0"/>
    <s v="Convenience stores"/>
    <x v="6"/>
    <s v="Gelati italiani"/>
    <s v="|63/01/20|"/>
    <n v="1920"/>
    <n v="2.97"/>
    <n v="3.65"/>
  </r>
  <r>
    <x v="0"/>
    <s v="Convenience stores"/>
    <x v="6"/>
    <s v="Gelati italiani"/>
    <s v="|63/01/20a|"/>
    <n v="2496"/>
    <n v="2.79"/>
    <n v="3.52"/>
  </r>
  <r>
    <x v="0"/>
    <s v="Convenience stores"/>
    <x v="6"/>
    <s v="Gelati italiani"/>
    <s v="|63/01/31|"/>
    <n v="1860"/>
    <n v="2.31"/>
    <n v="3.34"/>
  </r>
  <r>
    <x v="0"/>
    <s v="Convenience stores"/>
    <x v="6"/>
    <s v="Gelati italiani"/>
    <s v="|63/05/12|"/>
    <n v="2352"/>
    <n v="2.86"/>
    <n v="3.89"/>
  </r>
  <r>
    <x v="0"/>
    <s v="Convenience stores"/>
    <x v="6"/>
    <s v="Gelati italiani"/>
    <s v="|63/05/15|"/>
    <n v="2472"/>
    <n v="2.71"/>
    <n v="3.55"/>
  </r>
  <r>
    <x v="0"/>
    <s v="Convenience stores"/>
    <x v="6"/>
    <s v="Gelati italiani"/>
    <s v="|63/07/01|"/>
    <n v="1944"/>
    <n v="2.89"/>
    <n v="3.47"/>
  </r>
  <r>
    <x v="0"/>
    <s v="Convenience stores"/>
    <x v="6"/>
    <s v="Gelati italiani"/>
    <s v="|63/07/02|"/>
    <n v="2088"/>
    <n v="2.5099999999999998"/>
    <n v="3.49"/>
  </r>
  <r>
    <x v="0"/>
    <s v="Convenience stores"/>
    <x v="6"/>
    <s v="Gelati italiani"/>
    <s v="|63/07/03|"/>
    <n v="1248"/>
    <n v="2.71"/>
    <n v="3.68"/>
  </r>
  <r>
    <x v="0"/>
    <s v="Convenience stores"/>
    <x v="6"/>
    <s v="Gelati italiani"/>
    <s v="|63/02/05|"/>
    <n v="1668"/>
    <n v="2.35"/>
    <n v="3.78"/>
  </r>
  <r>
    <x v="0"/>
    <s v="Convenience stores"/>
    <x v="6"/>
    <s v="Gelati italiani"/>
    <s v="|63/02/06|"/>
    <n v="1512"/>
    <n v="2.68"/>
    <n v="3.98"/>
  </r>
  <r>
    <x v="0"/>
    <s v="Convenience stores"/>
    <x v="6"/>
    <s v="Gelati italiani"/>
    <s v="|63/02/07|"/>
    <n v="1656"/>
    <n v="2.5499999999999998"/>
    <n v="3.56"/>
  </r>
  <r>
    <x v="0"/>
    <s v="Convenience stores"/>
    <x v="6"/>
    <s v="Gelati italiani"/>
    <s v="|63/02/08|"/>
    <n v="2160"/>
    <n v="2.6"/>
    <n v="3.8"/>
  </r>
  <r>
    <x v="0"/>
    <s v="Convenience stores"/>
    <x v="6"/>
    <s v="Gelati italiani"/>
    <s v="|63/04/10|"/>
    <n v="2580"/>
    <n v="2.8"/>
    <n v="3.32"/>
  </r>
  <r>
    <x v="0"/>
    <s v="Convenience stores"/>
    <x v="6"/>
    <s v="Gelati italiani"/>
    <s v="|63/04/11|"/>
    <n v="1452"/>
    <n v="2.3199999999999998"/>
    <n v="3.81"/>
  </r>
  <r>
    <x v="0"/>
    <s v="Convenience stores"/>
    <x v="6"/>
    <s v="Gelati italiani"/>
    <s v="|63/04/12|"/>
    <n v="1212"/>
    <n v="2.37"/>
    <n v="3.78"/>
  </r>
  <r>
    <x v="0"/>
    <s v="Convenience stores"/>
    <x v="6"/>
    <s v="Gelati italiani"/>
    <s v="|63/04/13|"/>
    <n v="1308"/>
    <n v="2.64"/>
    <n v="3.54"/>
  </r>
  <r>
    <x v="0"/>
    <s v="Convenience stores"/>
    <x v="6"/>
    <s v="Gelati italiani"/>
    <s v="|63/04/14|"/>
    <n v="1788"/>
    <n v="2.96"/>
    <n v="3.53"/>
  </r>
  <r>
    <x v="0"/>
    <s v="Convenience stores"/>
    <x v="6"/>
    <s v="Gelati italiani"/>
    <s v="|63/05/13|"/>
    <n v="2280"/>
    <n v="2.77"/>
    <n v="3.45"/>
  </r>
  <r>
    <x v="0"/>
    <s v="Convenience stores"/>
    <x v="6"/>
    <s v="Gelati italiani"/>
    <s v="|63/05/14|"/>
    <n v="1260"/>
    <n v="2.82"/>
    <n v="3.35"/>
  </r>
  <r>
    <x v="0"/>
    <s v="Convenience stores"/>
    <x v="6"/>
    <s v="Gelati italiani"/>
    <s v="|63/05/16|"/>
    <n v="1872"/>
    <n v="2.97"/>
    <n v="3.94"/>
  </r>
  <r>
    <x v="0"/>
    <s v="Convenience stores"/>
    <x v="6"/>
    <s v="Gelati italiani"/>
    <s v="|63/06/01|"/>
    <n v="2196"/>
    <n v="2.83"/>
    <n v="3.32"/>
  </r>
  <r>
    <x v="0"/>
    <s v="Convenience stores"/>
    <x v="6"/>
    <s v="Gelati italiani"/>
    <s v="|63/06/02|"/>
    <n v="2760"/>
    <n v="2.5499999999999998"/>
    <n v="3.67"/>
  </r>
  <r>
    <x v="0"/>
    <s v="Convenience stores"/>
    <x v="6"/>
    <s v="Gelati italiani"/>
    <s v="|63/06/03|"/>
    <n v="2520"/>
    <n v="2.39"/>
    <n v="3.6"/>
  </r>
  <r>
    <x v="0"/>
    <s v="Convenience stores"/>
    <x v="6"/>
    <s v="Gelati italiani"/>
    <s v="|63/06/04|"/>
    <n v="1668"/>
    <n v="2.88"/>
    <n v="3.33"/>
  </r>
  <r>
    <x v="0"/>
    <s v="Convenience stores"/>
    <x v="6"/>
    <s v="Gelati italiani"/>
    <s v="|63/08/01|"/>
    <n v="1872"/>
    <n v="2.86"/>
    <n v="3.76"/>
  </r>
  <r>
    <x v="0"/>
    <s v="Convenience stores"/>
    <x v="6"/>
    <s v="Gelati italiani"/>
    <s v="|63/08/02|"/>
    <n v="1944"/>
    <n v="2.34"/>
    <n v="3.91"/>
  </r>
  <r>
    <x v="0"/>
    <s v="Convenience stores"/>
    <x v="6"/>
    <s v="Gelati italiani"/>
    <s v="|63/09/01|"/>
    <n v="1740"/>
    <n v="2.72"/>
    <n v="3.46"/>
  </r>
  <r>
    <x v="0"/>
    <s v="Convenience stores"/>
    <x v="6"/>
    <s v="Gelati italiani"/>
    <s v="|63/09/02|"/>
    <n v="1524"/>
    <n v="2.88"/>
    <n v="3.31"/>
  </r>
  <r>
    <x v="0"/>
    <s v="Convenience stores"/>
    <x v="6"/>
    <s v="Gelati italiani"/>
    <s v="|63/09/03|"/>
    <n v="1992"/>
    <n v="2.44"/>
    <n v="3.4"/>
  </r>
  <r>
    <x v="0"/>
    <s v="Convenience stores"/>
    <x v="6"/>
    <s v="Gelati italiani"/>
    <s v="|63/09/04|"/>
    <n v="1608"/>
    <n v="2.75"/>
    <n v="3.41"/>
  </r>
  <r>
    <x v="0"/>
    <s v="Convenience stores"/>
    <x v="6"/>
    <s v="Gelati italiani"/>
    <s v="|63/10/01|"/>
    <n v="1968"/>
    <n v="2.64"/>
    <n v="3.44"/>
  </r>
  <r>
    <x v="0"/>
    <s v="Convenience stores"/>
    <x v="4"/>
    <s v="Maybelline"/>
    <s v="|31/01/01|"/>
    <n v="336"/>
    <n v="4.32"/>
    <n v="5.19"/>
  </r>
  <r>
    <x v="0"/>
    <s v="Convenience stores"/>
    <x v="4"/>
    <s v="Maybelline"/>
    <s v="|31/01/02|"/>
    <n v="408"/>
    <n v="4.04"/>
    <n v="5.01"/>
  </r>
  <r>
    <x v="0"/>
    <s v="Convenience stores"/>
    <x v="4"/>
    <s v="Maybelline"/>
    <s v="|31/01/03|"/>
    <n v="432"/>
    <n v="4.46"/>
    <n v="5.1100000000000003"/>
  </r>
  <r>
    <x v="0"/>
    <s v="Convenience stores"/>
    <x v="4"/>
    <s v="Maybelline"/>
    <s v="|31/01/04|"/>
    <n v="264"/>
    <n v="4.37"/>
    <n v="5.07"/>
  </r>
  <r>
    <x v="0"/>
    <s v="Convenience stores"/>
    <x v="4"/>
    <s v="Maybelline"/>
    <s v="|31/01/05|"/>
    <n v="360"/>
    <n v="5"/>
    <n v="5.31"/>
  </r>
  <r>
    <x v="0"/>
    <s v="Convenience stores"/>
    <x v="4"/>
    <s v="Maybelline"/>
    <s v="|31/01/06|"/>
    <n v="252"/>
    <n v="4.6500000000000004"/>
    <n v="5.09"/>
  </r>
  <r>
    <x v="0"/>
    <s v="Convenience stores"/>
    <x v="4"/>
    <s v="Maybelline"/>
    <s v="|31/01/07|"/>
    <n v="720"/>
    <n v="4.72"/>
    <n v="5.33"/>
  </r>
  <r>
    <x v="0"/>
    <s v="Convenience stores"/>
    <x v="4"/>
    <s v="Maybelline"/>
    <s v="|31/01/08|"/>
    <n v="432"/>
    <n v="4.3600000000000003"/>
    <n v="5.12"/>
  </r>
  <r>
    <x v="0"/>
    <s v="Convenience stores"/>
    <x v="4"/>
    <s v="Maybelline"/>
    <s v="|31/01/09|"/>
    <n v="432"/>
    <n v="4.0199999999999996"/>
    <n v="5.21"/>
  </r>
  <r>
    <x v="0"/>
    <s v="Convenience stores"/>
    <x v="4"/>
    <s v="Maybelline"/>
    <s v="|31/01/10|"/>
    <n v="408"/>
    <n v="4.34"/>
    <n v="5.25"/>
  </r>
  <r>
    <x v="0"/>
    <s v="Convenience stores"/>
    <x v="4"/>
    <s v="Maybelline"/>
    <s v="|31/01/11|"/>
    <n v="552"/>
    <n v="4.95"/>
    <n v="5.16"/>
  </r>
  <r>
    <x v="0"/>
    <s v="Convenience stores"/>
    <x v="4"/>
    <s v="Maybelline"/>
    <s v="|31/01/12|"/>
    <n v="408"/>
    <n v="4.5999999999999996"/>
    <n v="5.16"/>
  </r>
  <r>
    <x v="0"/>
    <s v="Convenience stores"/>
    <x v="4"/>
    <s v="Maybelline"/>
    <s v="|31/01/13|"/>
    <n v="600"/>
    <n v="4.46"/>
    <n v="5.12"/>
  </r>
  <r>
    <x v="0"/>
    <s v="Convenience stores"/>
    <x v="4"/>
    <s v="Maybelline"/>
    <s v="|31/01/14|"/>
    <n v="564"/>
    <n v="4.5999999999999996"/>
    <n v="5.31"/>
  </r>
  <r>
    <x v="0"/>
    <s v="Convenience stores"/>
    <x v="4"/>
    <s v="Maybelline"/>
    <s v="|31/01/15|"/>
    <n v="324"/>
    <n v="4.0999999999999996"/>
    <n v="5.15"/>
  </r>
  <r>
    <x v="0"/>
    <s v="Convenience stores"/>
    <x v="4"/>
    <s v="Maybelline"/>
    <s v="|31/01/16|"/>
    <n v="336"/>
    <n v="4.92"/>
    <n v="5.36"/>
  </r>
  <r>
    <x v="0"/>
    <s v="Convenience stores"/>
    <x v="4"/>
    <s v="Maybelline"/>
    <s v="|31/01/17|"/>
    <n v="456"/>
    <n v="4.07"/>
    <n v="5.09"/>
  </r>
  <r>
    <x v="0"/>
    <s v="Convenience stores"/>
    <x v="4"/>
    <s v="Maybelline"/>
    <s v="|31/01/18|"/>
    <n v="636"/>
    <n v="4.09"/>
    <n v="5.38"/>
  </r>
  <r>
    <x v="0"/>
    <s v="Convenience stores"/>
    <x v="4"/>
    <s v="Maybelline"/>
    <s v="|31/01/20|"/>
    <n v="600"/>
    <n v="4.59"/>
    <n v="5.38"/>
  </r>
  <r>
    <x v="0"/>
    <s v="Convenience stores"/>
    <x v="4"/>
    <s v="Maybelline"/>
    <s v="|31/01/21|"/>
    <n v="528"/>
    <n v="4.91"/>
    <n v="5.0599999999999996"/>
  </r>
  <r>
    <x v="0"/>
    <s v="Convenience stores"/>
    <x v="4"/>
    <s v="Maybelline"/>
    <s v="|31/01/22|"/>
    <n v="684"/>
    <n v="4.83"/>
    <n v="5.19"/>
  </r>
  <r>
    <x v="0"/>
    <s v="Convenience stores"/>
    <x v="4"/>
    <s v="Maybelline"/>
    <s v="|31/01/23|"/>
    <n v="240"/>
    <n v="4.12"/>
    <n v="5.01"/>
  </r>
  <r>
    <x v="0"/>
    <s v="Convenience stores"/>
    <x v="4"/>
    <s v="Maybelline"/>
    <s v="|31/01/24|"/>
    <n v="396"/>
    <n v="4.8"/>
    <n v="5.37"/>
  </r>
  <r>
    <x v="0"/>
    <s v="Convenience stores"/>
    <x v="4"/>
    <s v="Maybelline"/>
    <s v="|31/01/30|"/>
    <n v="492"/>
    <n v="4.26"/>
    <n v="5.23"/>
  </r>
  <r>
    <x v="0"/>
    <s v="Convenience stores"/>
    <x v="4"/>
    <s v="Maybelline"/>
    <s v="|31/01/31|"/>
    <n v="276"/>
    <n v="4.5199999999999996"/>
    <n v="5.16"/>
  </r>
  <r>
    <x v="0"/>
    <s v="Convenience stores"/>
    <x v="4"/>
    <s v="Maybelline"/>
    <s v="|31/01/32|"/>
    <n v="444"/>
    <n v="4.8"/>
    <n v="5.1100000000000003"/>
  </r>
  <r>
    <x v="0"/>
    <s v="Convenience stores"/>
    <x v="4"/>
    <s v="Maybelline"/>
    <s v="|31/01/33|"/>
    <n v="444"/>
    <n v="4.0199999999999996"/>
    <n v="5.04"/>
  </r>
  <r>
    <x v="0"/>
    <s v="Convenience stores"/>
    <x v="4"/>
    <s v="Maybelline"/>
    <s v="|31/01/34|"/>
    <n v="492"/>
    <n v="4.3499999999999996"/>
    <n v="5.33"/>
  </r>
  <r>
    <x v="0"/>
    <s v="Convenience stores"/>
    <x v="4"/>
    <s v="Maybelline"/>
    <s v="|31/01/35|"/>
    <n v="432"/>
    <n v="5"/>
    <n v="5.13"/>
  </r>
  <r>
    <x v="0"/>
    <s v="Convenience stores"/>
    <x v="4"/>
    <s v="Maybelline"/>
    <s v="|31/01/36|"/>
    <n v="480"/>
    <n v="4.25"/>
    <n v="5.4"/>
  </r>
  <r>
    <x v="0"/>
    <s v="Convenience stores"/>
    <x v="4"/>
    <s v="Maybelline"/>
    <s v="|31/01/37|"/>
    <n v="492"/>
    <n v="4.53"/>
    <n v="5.14"/>
  </r>
  <r>
    <x v="0"/>
    <s v="Convenience stores"/>
    <x v="4"/>
    <s v="Maybelline"/>
    <s v="|31/01/38|"/>
    <n v="612"/>
    <n v="4.87"/>
    <n v="5.22"/>
  </r>
  <r>
    <x v="0"/>
    <s v="Convenience stores"/>
    <x v="4"/>
    <s v="Maybelline"/>
    <s v="|31/01/39|"/>
    <n v="492"/>
    <n v="4.3"/>
    <n v="5.17"/>
  </r>
  <r>
    <x v="0"/>
    <s v="Convenience stores"/>
    <x v="4"/>
    <s v="Maybelline"/>
    <s v="|31/01/40|"/>
    <n v="384"/>
    <n v="4.25"/>
    <n v="5.31"/>
  </r>
  <r>
    <x v="0"/>
    <s v="Convenience stores"/>
    <x v="4"/>
    <s v="Maybelline"/>
    <s v="|31/01/41|"/>
    <n v="720"/>
    <n v="4.8099999999999996"/>
    <n v="5.2"/>
  </r>
  <r>
    <x v="0"/>
    <s v="Convenience stores"/>
    <x v="4"/>
    <s v="Maybelline"/>
    <s v="|31/02/01|"/>
    <n v="564"/>
    <n v="4.12"/>
    <n v="5.18"/>
  </r>
  <r>
    <x v="0"/>
    <s v="Convenience stores"/>
    <x v="4"/>
    <s v="Maybelline"/>
    <s v="|31/02/02|"/>
    <n v="312"/>
    <n v="4.29"/>
    <n v="5.09"/>
  </r>
  <r>
    <x v="0"/>
    <s v="Convenience stores"/>
    <x v="4"/>
    <s v="Maybelline"/>
    <s v="|31/02/03|"/>
    <n v="612"/>
    <n v="4.74"/>
    <n v="5.01"/>
  </r>
  <r>
    <x v="0"/>
    <s v="Convenience stores"/>
    <x v="4"/>
    <s v="Maybelline"/>
    <s v="|31/02/04|"/>
    <n v="624"/>
    <n v="4.1500000000000004"/>
    <n v="5.17"/>
  </r>
  <r>
    <x v="0"/>
    <s v="Convenience stores"/>
    <x v="10"/>
    <s v="Bavarian specialties"/>
    <s v="|86/01/01|"/>
    <n v="432"/>
    <n v="3.59"/>
    <n v="6.15"/>
  </r>
  <r>
    <x v="0"/>
    <s v="Convenience stores"/>
    <x v="10"/>
    <s v="Bavarian specialties"/>
    <s v="|86/01/02|"/>
    <n v="420"/>
    <n v="4.92"/>
    <n v="6.72"/>
  </r>
  <r>
    <x v="0"/>
    <s v="Convenience stores"/>
    <x v="10"/>
    <s v="Bavarian specialties"/>
    <s v="|86/01/03|"/>
    <n v="372"/>
    <n v="3.37"/>
    <n v="6.37"/>
  </r>
  <r>
    <x v="0"/>
    <s v="Convenience stores"/>
    <x v="10"/>
    <s v="Bavarian specialties"/>
    <s v="|86/01/04|"/>
    <n v="516"/>
    <n v="4.34"/>
    <n v="5.87"/>
  </r>
  <r>
    <x v="0"/>
    <s v="Convenience stores"/>
    <x v="10"/>
    <s v="Bavarian specialties"/>
    <s v="|86/01/05|"/>
    <n v="492"/>
    <n v="4.7"/>
    <n v="6.33"/>
  </r>
  <r>
    <x v="0"/>
    <s v="Convenience stores"/>
    <x v="10"/>
    <s v="Bavarian specialties"/>
    <s v="|86/01/06|"/>
    <n v="528"/>
    <n v="3.15"/>
    <n v="5.09"/>
  </r>
  <r>
    <x v="0"/>
    <s v="Convenience stores"/>
    <x v="10"/>
    <s v="Bavarian specialties"/>
    <s v="|86/01/21|"/>
    <n v="372"/>
    <n v="3.52"/>
    <n v="6.5"/>
  </r>
  <r>
    <x v="0"/>
    <s v="Convenience stores"/>
    <x v="10"/>
    <s v="Bavarian specialties"/>
    <s v="|86/01/22|"/>
    <n v="432"/>
    <n v="4.99"/>
    <n v="6.35"/>
  </r>
  <r>
    <x v="0"/>
    <s v="Convenience stores"/>
    <x v="10"/>
    <s v="Bavarian specialties"/>
    <s v="|86/01/23|"/>
    <n v="420"/>
    <n v="4.57"/>
    <n v="6.55"/>
  </r>
  <r>
    <x v="0"/>
    <s v="Convenience stores"/>
    <x v="10"/>
    <s v="Bavarian specialties"/>
    <s v="|86/01/31|"/>
    <n v="540"/>
    <n v="4.63"/>
    <n v="5.14"/>
  </r>
  <r>
    <x v="0"/>
    <s v="Convenience stores"/>
    <x v="10"/>
    <s v="Bavarian specialties"/>
    <s v="|86/01/32|"/>
    <n v="456"/>
    <n v="4.67"/>
    <n v="6.24"/>
  </r>
  <r>
    <x v="0"/>
    <s v="Convenience stores"/>
    <x v="10"/>
    <s v="Bavarian specialties"/>
    <s v="|86/01/33|"/>
    <n v="396"/>
    <n v="4.9800000000000004"/>
    <n v="6.04"/>
  </r>
  <r>
    <x v="0"/>
    <s v="Convenience stores"/>
    <x v="10"/>
    <s v="Bavarian specialties"/>
    <s v="|86/01/34|"/>
    <n v="444"/>
    <n v="3.21"/>
    <n v="5.14"/>
  </r>
  <r>
    <x v="0"/>
    <s v="Convenience stores"/>
    <x v="10"/>
    <s v="Bavarian specialties"/>
    <s v="|86/01/35|"/>
    <n v="456"/>
    <n v="3.07"/>
    <n v="6.99"/>
  </r>
  <r>
    <x v="0"/>
    <s v="Convenience stores"/>
    <x v="10"/>
    <s v="Bavarian specialties"/>
    <s v="|86/01/41|"/>
    <n v="540"/>
    <n v="3.76"/>
    <n v="5.45"/>
  </r>
  <r>
    <x v="0"/>
    <s v="Convenience stores"/>
    <x v="10"/>
    <s v="Bavarian specialties"/>
    <s v="|86/01/42|"/>
    <n v="504"/>
    <n v="4.46"/>
    <n v="5.22"/>
  </r>
  <r>
    <x v="0"/>
    <s v="Convenience stores"/>
    <x v="10"/>
    <s v="Bavarian specialties"/>
    <s v="|86/01/43|"/>
    <n v="492"/>
    <n v="3.36"/>
    <n v="5.66"/>
  </r>
  <r>
    <x v="0"/>
    <s v="Convenience stores"/>
    <x v="10"/>
    <s v="Bavarian specialties"/>
    <s v="|86/01/44|"/>
    <n v="480"/>
    <n v="3.44"/>
    <n v="5.72"/>
  </r>
  <r>
    <x v="0"/>
    <s v="Convenience stores"/>
    <x v="10"/>
    <s v="Bavarian specialties"/>
    <s v="|86/01/45|"/>
    <n v="396"/>
    <n v="3.68"/>
    <n v="5.93"/>
  </r>
  <r>
    <x v="0"/>
    <s v="Convenience stores"/>
    <x v="10"/>
    <s v="Bavarian specialties"/>
    <s v="|86/01/51|"/>
    <n v="480"/>
    <n v="4.57"/>
    <n v="6.21"/>
  </r>
  <r>
    <x v="0"/>
    <s v="Convenience stores"/>
    <x v="10"/>
    <s v="Bavarian specialties"/>
    <s v="|86/01/52|"/>
    <n v="480"/>
    <n v="3.56"/>
    <n v="6.74"/>
  </r>
  <r>
    <x v="0"/>
    <s v="Convenience stores"/>
    <x v="10"/>
    <s v="Bavarian specialties"/>
    <s v="|86/01/53|"/>
    <n v="456"/>
    <n v="4.2300000000000004"/>
    <n v="5.98"/>
  </r>
  <r>
    <x v="0"/>
    <s v="Convenience stores"/>
    <x v="10"/>
    <s v="Bavarian specialties"/>
    <s v="|86/01/54|"/>
    <n v="420"/>
    <n v="4.0599999999999996"/>
    <n v="5.46"/>
  </r>
  <r>
    <x v="0"/>
    <s v="Convenience stores"/>
    <x v="10"/>
    <s v="Bavarian specialties"/>
    <s v="|86/01/55|"/>
    <n v="420"/>
    <n v="3.04"/>
    <n v="6.89"/>
  </r>
  <r>
    <x v="0"/>
    <s v="Convenience stores"/>
    <x v="10"/>
    <s v="Bavarian specialties"/>
    <s v="|86/01/56|"/>
    <n v="480"/>
    <n v="4.59"/>
    <n v="6.4"/>
  </r>
  <r>
    <x v="0"/>
    <s v="Convenience stores"/>
    <x v="10"/>
    <s v="Bavarian specialties"/>
    <s v="|86/01/57|"/>
    <n v="468"/>
    <n v="3.83"/>
    <n v="6.33"/>
  </r>
  <r>
    <x v="0"/>
    <s v="Convenience stores"/>
    <x v="10"/>
    <s v="Bavarian specialties"/>
    <s v="|86/01/58|"/>
    <n v="372"/>
    <n v="3.93"/>
    <n v="5.44"/>
  </r>
  <r>
    <x v="0"/>
    <s v="Convenience stores"/>
    <x v="10"/>
    <s v="Bavarian specialties"/>
    <s v="|86/01/59|"/>
    <n v="432"/>
    <n v="3.5"/>
    <n v="6.29"/>
  </r>
  <r>
    <x v="0"/>
    <s v="Convenience stores"/>
    <x v="10"/>
    <s v="Bavarian specialties"/>
    <s v="|86/01/60|"/>
    <n v="456"/>
    <n v="4.49"/>
    <n v="5.17"/>
  </r>
  <r>
    <x v="0"/>
    <s v="Convenience stores"/>
    <x v="10"/>
    <s v="Bavarian specialties"/>
    <s v="|86/01/70|"/>
    <n v="360"/>
    <n v="3.02"/>
    <n v="6.46"/>
  </r>
  <r>
    <x v="0"/>
    <s v="Convenience stores"/>
    <x v="10"/>
    <s v="Bavarian specialties"/>
    <s v="|86/01/71|"/>
    <n v="420"/>
    <n v="3.37"/>
    <n v="6.77"/>
  </r>
  <r>
    <x v="0"/>
    <s v="Convenience stores"/>
    <x v="3"/>
    <s v="Ortalli"/>
    <s v="|92/02/02|"/>
    <n v="96"/>
    <n v="1.1399999999999999"/>
    <n v="1.34"/>
  </r>
  <r>
    <x v="0"/>
    <s v="Convenience stores"/>
    <x v="3"/>
    <s v="Ortalli"/>
    <s v="|93/01/01|"/>
    <n v="96"/>
    <n v="1.18"/>
    <n v="1.39"/>
  </r>
  <r>
    <x v="0"/>
    <s v="Convenience stores"/>
    <x v="3"/>
    <s v="Ortalli"/>
    <s v="|93/01/02|"/>
    <n v="96"/>
    <n v="1.05"/>
    <n v="1.39"/>
  </r>
  <r>
    <x v="0"/>
    <s v="Convenience stores"/>
    <x v="3"/>
    <s v="Ortalli"/>
    <s v="|93/01/03|"/>
    <n v="84"/>
    <n v="1.02"/>
    <n v="1.31"/>
  </r>
  <r>
    <x v="0"/>
    <s v="Convenience stores"/>
    <x v="3"/>
    <s v="Ortalli"/>
    <s v="|93/01/04|"/>
    <n v="120"/>
    <n v="1"/>
    <n v="1.23"/>
  </r>
  <r>
    <x v="0"/>
    <s v="Convenience stores"/>
    <x v="3"/>
    <s v="Ortalli"/>
    <s v="|93/01/05|"/>
    <n v="144"/>
    <n v="1.1100000000000001"/>
    <n v="1.38"/>
  </r>
  <r>
    <x v="0"/>
    <s v="Convenience stores"/>
    <x v="3"/>
    <s v="Ortalli"/>
    <s v="|93/01/06|"/>
    <n v="48"/>
    <n v="1"/>
    <n v="1.23"/>
  </r>
  <r>
    <x v="0"/>
    <s v="Convenience stores"/>
    <x v="3"/>
    <s v="Ortalli"/>
    <s v="|93/01/07|"/>
    <n v="108"/>
    <n v="1.05"/>
    <n v="1.33"/>
  </r>
  <r>
    <x v="0"/>
    <s v="Convenience stores"/>
    <x v="3"/>
    <s v="Ortalli"/>
    <s v="|93/01/08|"/>
    <n v="72"/>
    <n v="1.1399999999999999"/>
    <n v="1.37"/>
  </r>
  <r>
    <x v="0"/>
    <s v="Convenience stores"/>
    <x v="3"/>
    <s v="Ortalli"/>
    <s v="|93/01/09|"/>
    <n v="72"/>
    <n v="1.1299999999999999"/>
    <n v="1.23"/>
  </r>
  <r>
    <x v="0"/>
    <s v="Convenience stores"/>
    <x v="3"/>
    <s v="Ortalli"/>
    <s v="|93/01/10|"/>
    <n v="168"/>
    <n v="1.1599999999999999"/>
    <n v="1.3"/>
  </r>
  <r>
    <x v="0"/>
    <s v="Convenience stores"/>
    <x v="3"/>
    <s v="Ortalli"/>
    <s v="|93/01/11|"/>
    <n v="84"/>
    <n v="1.1599999999999999"/>
    <n v="1.24"/>
  </r>
  <r>
    <x v="0"/>
    <s v="Convenience stores"/>
    <x v="3"/>
    <s v="Ortalli"/>
    <s v="|93/02/01|"/>
    <n v="132"/>
    <n v="1.01"/>
    <n v="1.2"/>
  </r>
  <r>
    <x v="0"/>
    <s v="Convenience stores"/>
    <x v="10"/>
    <s v="The food world"/>
    <s v="|90/00/01|"/>
    <n v="384"/>
    <n v="4.8"/>
    <n v="5.56"/>
  </r>
  <r>
    <x v="0"/>
    <s v="Convenience stores"/>
    <x v="10"/>
    <s v="The food world"/>
    <s v="|90/00/02|"/>
    <n v="420"/>
    <n v="3.84"/>
    <n v="6.5"/>
  </r>
  <r>
    <x v="0"/>
    <s v="Convenience stores"/>
    <x v="10"/>
    <s v="The food world"/>
    <s v="|90/00/03|"/>
    <n v="480"/>
    <n v="3.36"/>
    <n v="5.22"/>
  </r>
  <r>
    <x v="0"/>
    <s v="Convenience stores"/>
    <x v="10"/>
    <s v="The food world"/>
    <s v="|90/00/04|"/>
    <n v="432"/>
    <n v="3.88"/>
    <n v="5.4"/>
  </r>
  <r>
    <x v="0"/>
    <s v="Convenience stores"/>
    <x v="10"/>
    <s v="The food world"/>
    <s v="|90/00/05|"/>
    <n v="432"/>
    <n v="3.11"/>
    <n v="5.3"/>
  </r>
  <r>
    <x v="0"/>
    <s v="Convenience stores"/>
    <x v="10"/>
    <s v="The food world"/>
    <s v="|90/00/06|"/>
    <n v="444"/>
    <n v="4.1900000000000004"/>
    <n v="5.0999999999999996"/>
  </r>
  <r>
    <x v="0"/>
    <s v="Convenience stores"/>
    <x v="10"/>
    <s v="The food world"/>
    <s v="|90/00/07|"/>
    <n v="492"/>
    <n v="3.43"/>
    <n v="6.38"/>
  </r>
  <r>
    <x v="0"/>
    <s v="Convenience stores"/>
    <x v="10"/>
    <s v="The food world"/>
    <s v="|90/00/08|"/>
    <n v="432"/>
    <n v="4.47"/>
    <n v="5.32"/>
  </r>
  <r>
    <x v="0"/>
    <s v="Convenience stores"/>
    <x v="10"/>
    <s v="The food world"/>
    <s v="|90/00/09|"/>
    <n v="456"/>
    <n v="4.74"/>
    <n v="6.59"/>
  </r>
  <r>
    <x v="0"/>
    <s v="Convenience stores"/>
    <x v="10"/>
    <s v="The food world"/>
    <s v="|90/00/10|"/>
    <n v="492"/>
    <n v="3.12"/>
    <n v="6.03"/>
  </r>
  <r>
    <x v="0"/>
    <s v="Convenience stores"/>
    <x v="10"/>
    <s v="The food world"/>
    <s v="|90/00/11|"/>
    <n v="528"/>
    <n v="3.37"/>
    <n v="6.77"/>
  </r>
  <r>
    <x v="0"/>
    <s v="Convenience stores"/>
    <x v="10"/>
    <s v="The food world"/>
    <s v="|90/00/12|"/>
    <n v="516"/>
    <n v="4.95"/>
    <n v="5.78"/>
  </r>
  <r>
    <x v="0"/>
    <s v="Convenience stores"/>
    <x v="10"/>
    <s v="The food world"/>
    <s v="|90/00/13|"/>
    <n v="504"/>
    <n v="3.53"/>
    <n v="6.83"/>
  </r>
  <r>
    <x v="0"/>
    <s v="Convenience stores"/>
    <x v="10"/>
    <s v="The food world"/>
    <s v="|90/01/01|"/>
    <n v="360"/>
    <n v="3.64"/>
    <n v="5.2"/>
  </r>
  <r>
    <x v="0"/>
    <s v="Convenience stores"/>
    <x v="10"/>
    <s v="The food world"/>
    <s v="|90/01/02|"/>
    <n v="444"/>
    <n v="3.65"/>
    <n v="5.69"/>
  </r>
  <r>
    <x v="0"/>
    <s v="Convenience stores"/>
    <x v="10"/>
    <s v="The food world"/>
    <s v="|90/01/03|"/>
    <n v="528"/>
    <n v="3.43"/>
    <n v="5.51"/>
  </r>
  <r>
    <x v="0"/>
    <s v="Convenience stores"/>
    <x v="10"/>
    <s v="The food world"/>
    <s v="|90/01/04|"/>
    <n v="528"/>
    <n v="3.12"/>
    <n v="5.55"/>
  </r>
  <r>
    <x v="0"/>
    <s v="Convenience stores"/>
    <x v="10"/>
    <s v="The food world"/>
    <s v="|90/01/05|"/>
    <n v="408"/>
    <n v="4.58"/>
    <n v="6.87"/>
  </r>
  <r>
    <x v="0"/>
    <s v="Convenience stores"/>
    <x v="10"/>
    <s v="The food world"/>
    <s v="|90/01/06|"/>
    <n v="408"/>
    <n v="4.18"/>
    <n v="5.01"/>
  </r>
  <r>
    <x v="0"/>
    <s v="Convenience stores"/>
    <x v="10"/>
    <s v="The food world"/>
    <s v="|90/01/07|"/>
    <n v="516"/>
    <n v="3.34"/>
    <n v="5.6"/>
  </r>
  <r>
    <x v="0"/>
    <s v="Convenience stores"/>
    <x v="10"/>
    <s v="The food world"/>
    <s v="|90/01/08|"/>
    <n v="360"/>
    <n v="3.46"/>
    <n v="6.55"/>
  </r>
  <r>
    <x v="0"/>
    <s v="Convenience stores"/>
    <x v="10"/>
    <s v="The food world"/>
    <s v="|90/01/09|"/>
    <n v="360"/>
    <n v="3.45"/>
    <n v="6.34"/>
  </r>
  <r>
    <x v="0"/>
    <s v="Convenience stores"/>
    <x v="10"/>
    <s v="The food world"/>
    <s v="|90/01/10|"/>
    <n v="480"/>
    <n v="3.35"/>
    <n v="5.31"/>
  </r>
  <r>
    <x v="0"/>
    <s v="Convenience stores"/>
    <x v="10"/>
    <s v="The food world"/>
    <s v="|90/01/11|"/>
    <n v="480"/>
    <n v="3.26"/>
    <n v="5.58"/>
  </r>
  <r>
    <x v="0"/>
    <s v="Convenience stores"/>
    <x v="10"/>
    <s v="The food world"/>
    <s v="|90/01/12|"/>
    <n v="408"/>
    <n v="4.68"/>
    <n v="6.65"/>
  </r>
  <r>
    <x v="0"/>
    <s v="Convenience stores"/>
    <x v="10"/>
    <s v="The food world"/>
    <s v="|90/01/13|"/>
    <n v="528"/>
    <n v="4.25"/>
    <n v="6.49"/>
  </r>
  <r>
    <x v="0"/>
    <s v="Convenience stores"/>
    <x v="10"/>
    <s v="The food world"/>
    <s v="|90/01/14|"/>
    <n v="504"/>
    <n v="3.62"/>
    <n v="6.92"/>
  </r>
  <r>
    <x v="0"/>
    <s v="Convenience stores"/>
    <x v="10"/>
    <s v="The food world"/>
    <s v="|90/01/15|"/>
    <n v="516"/>
    <n v="3.36"/>
    <n v="6.5"/>
  </r>
  <r>
    <x v="0"/>
    <s v="Convenience stores"/>
    <x v="10"/>
    <s v="The food world"/>
    <s v="|90/01/16|"/>
    <n v="372"/>
    <n v="4.82"/>
    <n v="5.82"/>
  </r>
  <r>
    <x v="0"/>
    <s v="Convenience stores"/>
    <x v="10"/>
    <s v="The food world"/>
    <s v="|90/01/17|"/>
    <n v="444"/>
    <n v="3.29"/>
    <n v="7"/>
  </r>
  <r>
    <x v="0"/>
    <s v="Convenience stores"/>
    <x v="10"/>
    <s v="The food world"/>
    <s v="|90/01/18|"/>
    <n v="468"/>
    <n v="3.33"/>
    <n v="6.95"/>
  </r>
  <r>
    <x v="0"/>
    <s v="Convenience stores"/>
    <x v="10"/>
    <s v="The food world"/>
    <s v="|90/02/01|"/>
    <n v="408"/>
    <n v="4.47"/>
    <n v="6.74"/>
  </r>
  <r>
    <x v="0"/>
    <s v="Convenience stores"/>
    <x v="10"/>
    <s v="The food world"/>
    <s v="|90/02/02|"/>
    <n v="456"/>
    <n v="3.36"/>
    <n v="6.67"/>
  </r>
  <r>
    <x v="0"/>
    <s v="Convenience stores"/>
    <x v="10"/>
    <s v="The food world"/>
    <s v="|90/02/03|"/>
    <n v="456"/>
    <n v="4.9400000000000004"/>
    <n v="5.24"/>
  </r>
  <r>
    <x v="0"/>
    <s v="Convenience stores"/>
    <x v="10"/>
    <s v="The food world"/>
    <s v="|90/02/04|"/>
    <n v="444"/>
    <n v="3.51"/>
    <n v="5.45"/>
  </r>
  <r>
    <x v="0"/>
    <s v="Convenience stores"/>
    <x v="10"/>
    <s v="The food world"/>
    <s v="|90/02/05|"/>
    <n v="504"/>
    <n v="3.12"/>
    <n v="5.91"/>
  </r>
  <r>
    <x v="0"/>
    <s v="Convenience stores"/>
    <x v="1"/>
    <s v="Delta"/>
    <s v="|04/00/01|"/>
    <n v="540"/>
    <n v="5.8933333333333335"/>
    <n v="8.58"/>
  </r>
  <r>
    <x v="0"/>
    <s v="Convenience stores"/>
    <x v="1"/>
    <s v="Delta"/>
    <s v="|04/00/02|"/>
    <n v="492"/>
    <n v="6.5533333333333337"/>
    <n v="8.4333333333333336"/>
  </r>
  <r>
    <x v="0"/>
    <s v="Convenience stores"/>
    <x v="1"/>
    <s v="Delta"/>
    <s v="|04/00/03|"/>
    <n v="636"/>
    <n v="5.54"/>
    <n v="7.5133333333333336"/>
  </r>
  <r>
    <x v="0"/>
    <s v="Convenience stores"/>
    <x v="1"/>
    <s v="Delta"/>
    <s v="|04/00/04|"/>
    <n v="564"/>
    <n v="6.04"/>
    <n v="8.413333333333334"/>
  </r>
  <r>
    <x v="0"/>
    <s v="Convenience stores"/>
    <x v="1"/>
    <s v="Delta"/>
    <s v="|04/00/05|"/>
    <n v="420"/>
    <n v="5.36"/>
    <n v="8.1266666666666669"/>
  </r>
  <r>
    <x v="0"/>
    <s v="Convenience stores"/>
    <x v="6"/>
    <s v="Delta"/>
    <s v="|04/04/01|"/>
    <n v="2712"/>
    <n v="2.92"/>
    <n v="3.46"/>
  </r>
  <r>
    <x v="0"/>
    <s v="Convenience stores"/>
    <x v="6"/>
    <s v="Delta"/>
    <s v="|04/04/02|"/>
    <n v="1308"/>
    <n v="2.33"/>
    <n v="3.52"/>
  </r>
  <r>
    <x v="0"/>
    <s v="Convenience stores"/>
    <x v="6"/>
    <s v="Delta"/>
    <s v="|04/04/03|"/>
    <n v="1848"/>
    <n v="2.72"/>
    <n v="3.44"/>
  </r>
  <r>
    <x v="0"/>
    <s v="Convenience stores"/>
    <x v="6"/>
    <s v="Delta"/>
    <s v="|04/04/04|"/>
    <n v="1356"/>
    <n v="2.6"/>
    <n v="3.48"/>
  </r>
  <r>
    <x v="0"/>
    <s v="Convenience stores"/>
    <x v="6"/>
    <s v="Delta"/>
    <s v="|04/04/05|"/>
    <n v="2256"/>
    <n v="2.5099999999999998"/>
    <n v="3.97"/>
  </r>
  <r>
    <x v="0"/>
    <s v="Convenience stores"/>
    <x v="6"/>
    <s v="Delta"/>
    <s v="|04/04/06|"/>
    <n v="1740"/>
    <n v="2.35"/>
    <n v="3.48"/>
  </r>
  <r>
    <x v="0"/>
    <s v="Convenience stores"/>
    <x v="6"/>
    <s v="Delta"/>
    <s v="|04/04/07|"/>
    <n v="2304"/>
    <n v="2.66"/>
    <n v="3.41"/>
  </r>
  <r>
    <x v="0"/>
    <s v="Convenience stores"/>
    <x v="6"/>
    <s v="Delta"/>
    <s v="|04/04/08|"/>
    <n v="2232"/>
    <n v="2.7"/>
    <n v="3.49"/>
  </r>
  <r>
    <x v="0"/>
    <s v="Convenience stores"/>
    <x v="6"/>
    <s v="Delta"/>
    <s v="|04/04/09|"/>
    <n v="2268"/>
    <n v="2.8"/>
    <n v="3.52"/>
  </r>
  <r>
    <x v="0"/>
    <s v="Convenience stores"/>
    <x v="6"/>
    <s v="Delta"/>
    <s v="|04/04/10|"/>
    <n v="2040"/>
    <n v="2.59"/>
    <n v="3.99"/>
  </r>
  <r>
    <x v="0"/>
    <s v="Convenience stores"/>
    <x v="6"/>
    <s v="Delta"/>
    <s v="|04/04/11|"/>
    <n v="2508"/>
    <n v="2.93"/>
    <n v="3.35"/>
  </r>
  <r>
    <x v="0"/>
    <s v="Convenience stores"/>
    <x v="6"/>
    <s v="Delta"/>
    <s v="|04/04/12|"/>
    <n v="2100"/>
    <n v="2.98"/>
    <n v="3.41"/>
  </r>
  <r>
    <x v="0"/>
    <s v="Convenience stores"/>
    <x v="6"/>
    <s v="Delta"/>
    <s v="|04/04/13|"/>
    <n v="1692"/>
    <n v="2.66"/>
    <n v="3.87"/>
  </r>
  <r>
    <x v="0"/>
    <s v="Convenience stores"/>
    <x v="6"/>
    <s v="Delta"/>
    <s v="|04/04/14|"/>
    <n v="2400"/>
    <n v="2.62"/>
    <n v="3.93"/>
  </r>
  <r>
    <x v="0"/>
    <s v="Convenience stores"/>
    <x v="6"/>
    <s v="Delta"/>
    <s v="|04/04/15|"/>
    <n v="1284"/>
    <n v="2.63"/>
    <n v="3.51"/>
  </r>
  <r>
    <x v="0"/>
    <s v="Convenience stores"/>
    <x v="6"/>
    <s v="Delta"/>
    <s v="|04/04/16|"/>
    <n v="2064"/>
    <n v="2.82"/>
    <n v="3.95"/>
  </r>
  <r>
    <x v="0"/>
    <s v="Convenience stores"/>
    <x v="6"/>
    <s v="Delta"/>
    <s v="|04/04/17|"/>
    <n v="2604"/>
    <n v="2.62"/>
    <n v="3.95"/>
  </r>
  <r>
    <x v="0"/>
    <s v="Convenience stores"/>
    <x v="6"/>
    <s v="Delta"/>
    <s v="|04/04/18|"/>
    <n v="2592"/>
    <n v="2.8"/>
    <n v="3.66"/>
  </r>
  <r>
    <x v="0"/>
    <s v="Convenience stores"/>
    <x v="6"/>
    <s v="Delta"/>
    <s v="|04/04/19|"/>
    <n v="1440"/>
    <n v="2.35"/>
    <n v="3.61"/>
  </r>
  <r>
    <x v="0"/>
    <s v="Convenience stores"/>
    <x v="6"/>
    <s v="Delta"/>
    <s v="|04/04/20|"/>
    <n v="1632"/>
    <n v="2.9"/>
    <n v="3.58"/>
  </r>
  <r>
    <x v="0"/>
    <s v="Convenience stores"/>
    <x v="6"/>
    <s v="Delta"/>
    <s v="|04/04/21|"/>
    <n v="1272"/>
    <n v="2.34"/>
    <n v="3.87"/>
  </r>
  <r>
    <x v="0"/>
    <s v="Convenience stores"/>
    <x v="6"/>
    <s v="Delta"/>
    <s v="|04/04/22|"/>
    <n v="1428"/>
    <n v="2.79"/>
    <n v="3.35"/>
  </r>
  <r>
    <x v="0"/>
    <s v="Convenience stores"/>
    <x v="6"/>
    <s v="Delta"/>
    <s v="|04/04/23|"/>
    <n v="1500"/>
    <n v="2.63"/>
    <n v="3.69"/>
  </r>
  <r>
    <x v="0"/>
    <s v="Convenience stores"/>
    <x v="6"/>
    <s v="Delta"/>
    <s v="|04/04/24|"/>
    <n v="1560"/>
    <n v="2.79"/>
    <n v="3.35"/>
  </r>
  <r>
    <x v="0"/>
    <s v="Convenience stores"/>
    <x v="6"/>
    <s v="Delta"/>
    <s v="|04/04/25|"/>
    <n v="1812"/>
    <n v="2.36"/>
    <n v="3.46"/>
  </r>
  <r>
    <x v="0"/>
    <s v="Convenience stores"/>
    <x v="6"/>
    <s v="Delta"/>
    <s v="|04/04/26|"/>
    <n v="2040"/>
    <n v="2.4300000000000002"/>
    <n v="3.44"/>
  </r>
  <r>
    <x v="0"/>
    <s v="Convenience stores"/>
    <x v="6"/>
    <s v="Delta"/>
    <s v="|04/04/27|"/>
    <n v="1752"/>
    <n v="2.4"/>
    <n v="3.78"/>
  </r>
  <r>
    <x v="0"/>
    <s v="Convenience stores"/>
    <x v="6"/>
    <s v="Delta"/>
    <s v="|04/04/28|"/>
    <n v="2304"/>
    <n v="2.42"/>
    <n v="3.36"/>
  </r>
  <r>
    <x v="0"/>
    <s v="Convenience stores"/>
    <x v="6"/>
    <s v="Delta"/>
    <s v="|04/04/29|"/>
    <n v="1776"/>
    <n v="2.2999999999999998"/>
    <n v="3.34"/>
  </r>
  <r>
    <x v="0"/>
    <s v="Convenience stores"/>
    <x v="6"/>
    <s v="Delta"/>
    <s v="|04/04/30|"/>
    <n v="1224"/>
    <n v="2.38"/>
    <n v="3.69"/>
  </r>
  <r>
    <x v="0"/>
    <s v="Convenience stores"/>
    <x v="6"/>
    <s v="Delta"/>
    <s v="|04/04/31|"/>
    <n v="2736"/>
    <n v="2.8"/>
    <n v="3.52"/>
  </r>
  <r>
    <x v="0"/>
    <s v="Convenience stores"/>
    <x v="6"/>
    <s v="Delta"/>
    <s v="|04/04/32|"/>
    <n v="1860"/>
    <n v="2.57"/>
    <n v="3.84"/>
  </r>
  <r>
    <x v="0"/>
    <s v="Convenience stores"/>
    <x v="6"/>
    <s v="Delta"/>
    <s v="|04/04/33|"/>
    <n v="1428"/>
    <n v="2.33"/>
    <n v="3.73"/>
  </r>
  <r>
    <x v="0"/>
    <s v="Convenience stores"/>
    <x v="6"/>
    <s v="Delta"/>
    <s v="|04/04/34|"/>
    <n v="1272"/>
    <n v="2.58"/>
    <n v="3.75"/>
  </r>
  <r>
    <x v="0"/>
    <s v="Convenience stores"/>
    <x v="6"/>
    <s v="Delta"/>
    <s v="|04/04/35|"/>
    <n v="2112"/>
    <n v="2.8"/>
    <n v="3.82"/>
  </r>
  <r>
    <x v="0"/>
    <s v="Convenience stores"/>
    <x v="6"/>
    <s v="Delta"/>
    <s v="|04/04/36|"/>
    <n v="1368"/>
    <n v="2.35"/>
    <n v="3.76"/>
  </r>
  <r>
    <x v="0"/>
    <s v="Convenience stores"/>
    <x v="6"/>
    <s v="Delta"/>
    <s v="|04/04/37|"/>
    <n v="1764"/>
    <n v="2.44"/>
    <n v="3.77"/>
  </r>
  <r>
    <x v="0"/>
    <s v="Convenience stores"/>
    <x v="6"/>
    <s v="Delta"/>
    <s v="|04/04/38|"/>
    <n v="2016"/>
    <n v="2.31"/>
    <n v="3.45"/>
  </r>
  <r>
    <x v="0"/>
    <s v="Convenience stores"/>
    <x v="6"/>
    <s v="Delta"/>
    <s v="|04/04/39|"/>
    <n v="2364"/>
    <n v="2.79"/>
    <n v="3.41"/>
  </r>
  <r>
    <x v="0"/>
    <s v="Convenience stores"/>
    <x v="6"/>
    <s v="Delta"/>
    <s v="|04/04/40|"/>
    <n v="2064"/>
    <n v="2.8"/>
    <n v="3.56"/>
  </r>
  <r>
    <x v="0"/>
    <s v="Convenience stores"/>
    <x v="6"/>
    <s v="Delta"/>
    <s v="|04/04/41|"/>
    <n v="1284"/>
    <n v="2.38"/>
    <n v="3.76"/>
  </r>
  <r>
    <x v="0"/>
    <s v="Convenience stores"/>
    <x v="6"/>
    <s v="Delta"/>
    <s v="|04/04/42|"/>
    <n v="1716"/>
    <n v="2.42"/>
    <n v="3.49"/>
  </r>
  <r>
    <x v="0"/>
    <s v="Convenience stores"/>
    <x v="6"/>
    <s v="Delta"/>
    <s v="|04/04/43|"/>
    <n v="2040"/>
    <n v="2.72"/>
    <n v="3.55"/>
  </r>
  <r>
    <x v="0"/>
    <s v="Convenience stores"/>
    <x v="6"/>
    <s v="Delta"/>
    <s v="|04/04/44|"/>
    <n v="2148"/>
    <n v="2.3199999999999998"/>
    <n v="3.93"/>
  </r>
  <r>
    <x v="0"/>
    <s v="Convenience stores"/>
    <x v="6"/>
    <s v="Delta"/>
    <s v="|04/04/45|"/>
    <n v="1224"/>
    <n v="2.73"/>
    <n v="3.4"/>
  </r>
  <r>
    <x v="0"/>
    <s v="Convenience stores"/>
    <x v="6"/>
    <s v="Delta"/>
    <s v="|04/04/46|"/>
    <n v="2256"/>
    <n v="2.9"/>
    <n v="3.89"/>
  </r>
  <r>
    <x v="0"/>
    <s v="Convenience stores"/>
    <x v="6"/>
    <s v="Delta"/>
    <s v="|04/04/47|"/>
    <n v="2436"/>
    <n v="2.2999999999999998"/>
    <n v="3.34"/>
  </r>
  <r>
    <x v="0"/>
    <s v="Convenience stores"/>
    <x v="6"/>
    <s v="Delta"/>
    <s v="|04/04/48|"/>
    <n v="1284"/>
    <n v="2.84"/>
    <n v="3.92"/>
  </r>
  <r>
    <x v="0"/>
    <s v="Convenience stores"/>
    <x v="6"/>
    <s v="Delta"/>
    <s v="|04/04/49|"/>
    <n v="1752"/>
    <n v="2.52"/>
    <n v="3.33"/>
  </r>
  <r>
    <x v="0"/>
    <s v="Convenience stores"/>
    <x v="6"/>
    <s v="Delta"/>
    <s v="|04/04/50|"/>
    <n v="1524"/>
    <n v="2.7"/>
    <n v="3.91"/>
  </r>
  <r>
    <x v="0"/>
    <s v="Convenience stores"/>
    <x v="6"/>
    <s v="Delta"/>
    <s v="|04/04/51|"/>
    <n v="2712"/>
    <n v="2.5099999999999998"/>
    <n v="3.72"/>
  </r>
  <r>
    <x v="0"/>
    <s v="Convenience stores"/>
    <x v="6"/>
    <s v="Delta"/>
    <s v="|04/04/52|"/>
    <n v="1272"/>
    <n v="2.42"/>
    <n v="3.63"/>
  </r>
  <r>
    <x v="0"/>
    <s v="Convenience stores"/>
    <x v="6"/>
    <s v="Delta"/>
    <s v="|04/04/53|"/>
    <n v="2040"/>
    <n v="2.73"/>
    <n v="3.87"/>
  </r>
  <r>
    <x v="0"/>
    <s v="Convenience stores"/>
    <x v="6"/>
    <s v="Delta"/>
    <s v="|04/04/54|"/>
    <n v="1776"/>
    <n v="2.62"/>
    <n v="3.3"/>
  </r>
  <r>
    <x v="0"/>
    <s v="Convenience stores"/>
    <x v="6"/>
    <s v="Delta"/>
    <s v="|04/04/55|"/>
    <n v="1428"/>
    <n v="3"/>
    <n v="3.62"/>
  </r>
  <r>
    <x v="0"/>
    <s v="Convenience stores"/>
    <x v="6"/>
    <s v="Delta"/>
    <s v="|04/04/56|"/>
    <n v="2616"/>
    <n v="2.67"/>
    <n v="3.33"/>
  </r>
  <r>
    <x v="0"/>
    <s v="Convenience stores"/>
    <x v="6"/>
    <s v="Delta"/>
    <s v="|04/04/57|"/>
    <n v="1932"/>
    <n v="2.52"/>
    <n v="3.41"/>
  </r>
  <r>
    <x v="0"/>
    <s v="Convenience stores"/>
    <x v="6"/>
    <s v="Delta"/>
    <s v="|04/04/58|"/>
    <n v="1872"/>
    <n v="2.97"/>
    <n v="3.72"/>
  </r>
  <r>
    <x v="0"/>
    <s v="Convenience stores"/>
    <x v="6"/>
    <s v="Delta"/>
    <s v="|04/04/59|"/>
    <n v="1548"/>
    <n v="2.41"/>
    <n v="3.46"/>
  </r>
  <r>
    <x v="0"/>
    <s v="Convenience stores"/>
    <x v="6"/>
    <s v="Delta"/>
    <s v="|04/04/60|"/>
    <n v="2580"/>
    <n v="2.98"/>
    <n v="3.93"/>
  </r>
  <r>
    <x v="0"/>
    <s v="Convenience stores"/>
    <x v="6"/>
    <s v="Delta"/>
    <s v="|04/04/61|"/>
    <n v="1308"/>
    <n v="2.61"/>
    <n v="3.45"/>
  </r>
  <r>
    <x v="0"/>
    <s v="Convenience stores"/>
    <x v="6"/>
    <s v="Delta"/>
    <s v="|04/04/62|"/>
    <n v="2244"/>
    <n v="2.83"/>
    <n v="3.96"/>
  </r>
  <r>
    <x v="0"/>
    <s v="Convenience stores"/>
    <x v="6"/>
    <s v="Delta"/>
    <s v="|04/04/63|"/>
    <n v="1332"/>
    <n v="2.4"/>
    <n v="3.33"/>
  </r>
  <r>
    <x v="0"/>
    <s v="Convenience stores"/>
    <x v="6"/>
    <s v="Delta"/>
    <s v="|04/04/64|"/>
    <n v="2568"/>
    <n v="2.83"/>
    <n v="3.44"/>
  </r>
  <r>
    <x v="0"/>
    <s v="Convenience stores"/>
    <x v="6"/>
    <s v="Delta"/>
    <s v="|04/04/65|"/>
    <n v="2184"/>
    <n v="2.87"/>
    <n v="3.72"/>
  </r>
  <r>
    <x v="0"/>
    <s v="Convenience stores"/>
    <x v="6"/>
    <s v="Delta"/>
    <s v="|04/04/66|"/>
    <n v="2436"/>
    <n v="2.95"/>
    <n v="3.97"/>
  </r>
  <r>
    <x v="0"/>
    <s v="Convenience stores"/>
    <x v="6"/>
    <s v="Delta"/>
    <s v="|04/04/67|"/>
    <n v="1548"/>
    <n v="2.92"/>
    <n v="3.53"/>
  </r>
  <r>
    <x v="0"/>
    <s v="Convenience stores"/>
    <x v="6"/>
    <s v="Delta"/>
    <s v="|04/04/68|"/>
    <n v="1608"/>
    <n v="2.89"/>
    <n v="3.55"/>
  </r>
  <r>
    <x v="0"/>
    <s v="Convenience stores"/>
    <x v="6"/>
    <s v="Delta"/>
    <s v="|04/04/69|"/>
    <n v="2748"/>
    <n v="2.4500000000000002"/>
    <n v="3.47"/>
  </r>
  <r>
    <x v="0"/>
    <s v="Convenience stores"/>
    <x v="6"/>
    <s v="Delta"/>
    <s v="|04/04/70|"/>
    <n v="2484"/>
    <n v="2.37"/>
    <n v="3.55"/>
  </r>
  <r>
    <x v="0"/>
    <s v="Convenience stores"/>
    <x v="6"/>
    <s v="Delta"/>
    <s v="|04/04/71|"/>
    <n v="1716"/>
    <n v="2.3199999999999998"/>
    <n v="3.53"/>
  </r>
  <r>
    <x v="0"/>
    <s v="Convenience stores"/>
    <x v="6"/>
    <s v="Delta"/>
    <s v="|04/04/72|"/>
    <n v="2400"/>
    <n v="2.85"/>
    <n v="3.77"/>
  </r>
  <r>
    <x v="0"/>
    <s v="Convenience stores"/>
    <x v="6"/>
    <s v="Delta"/>
    <s v="|04/04/73|"/>
    <n v="2256"/>
    <n v="2.82"/>
    <n v="3.81"/>
  </r>
  <r>
    <x v="0"/>
    <s v="Convenience stores"/>
    <x v="6"/>
    <s v="Delta"/>
    <s v="|04/04/74|"/>
    <n v="1848"/>
    <n v="2.99"/>
    <n v="3.74"/>
  </r>
  <r>
    <x v="0"/>
    <s v="Convenience stores"/>
    <x v="6"/>
    <s v="Delta"/>
    <s v="|04/04/75|"/>
    <n v="2592"/>
    <n v="2.4700000000000002"/>
    <n v="3.39"/>
  </r>
  <r>
    <x v="0"/>
    <s v="Convenience stores"/>
    <x v="6"/>
    <s v="Delta"/>
    <s v="|04/04/76|"/>
    <n v="2124"/>
    <n v="2.82"/>
    <n v="3.38"/>
  </r>
  <r>
    <x v="0"/>
    <s v="Convenience stores"/>
    <x v="6"/>
    <s v="Delta"/>
    <s v="|04/04/77|"/>
    <n v="1428"/>
    <n v="2.4700000000000002"/>
    <n v="3.63"/>
  </r>
  <r>
    <x v="0"/>
    <s v="Convenience stores"/>
    <x v="6"/>
    <s v="Delta"/>
    <s v="|04/04/78|"/>
    <n v="2568"/>
    <n v="2.67"/>
    <n v="3.96"/>
  </r>
  <r>
    <x v="0"/>
    <s v="Convenience stores"/>
    <x v="6"/>
    <s v="Delta"/>
    <s v="|04/04/79|"/>
    <n v="2328"/>
    <n v="2.67"/>
    <n v="3.49"/>
  </r>
  <r>
    <x v="0"/>
    <s v="Convenience stores"/>
    <x v="6"/>
    <s v="Delta"/>
    <s v="|04/04/80|"/>
    <n v="1764"/>
    <n v="2.68"/>
    <n v="3.89"/>
  </r>
  <r>
    <x v="0"/>
    <s v="Convenience stores"/>
    <x v="6"/>
    <s v="Delta"/>
    <s v="|04/04/81|"/>
    <n v="2076"/>
    <n v="2.83"/>
    <n v="3.39"/>
  </r>
  <r>
    <x v="0"/>
    <s v="Convenience stores"/>
    <x v="6"/>
    <s v="Delta"/>
    <s v="|04/04/82|"/>
    <n v="2652"/>
    <n v="2.37"/>
    <n v="3.92"/>
  </r>
  <r>
    <x v="0"/>
    <s v="Convenience stores"/>
    <x v="6"/>
    <s v="Delta"/>
    <s v="|04/04/83|"/>
    <n v="1416"/>
    <n v="2.38"/>
    <n v="3.68"/>
  </r>
  <r>
    <x v="0"/>
    <s v="Convenience stores"/>
    <x v="6"/>
    <s v="Delta"/>
    <s v="|04/04/84|"/>
    <n v="2400"/>
    <n v="2.57"/>
    <n v="3.85"/>
  </r>
  <r>
    <x v="0"/>
    <s v="Convenience stores"/>
    <x v="6"/>
    <s v="Delta"/>
    <s v="|04/04/85|"/>
    <n v="2196"/>
    <n v="2.94"/>
    <n v="3.99"/>
  </r>
  <r>
    <x v="0"/>
    <s v="Convenience stores"/>
    <x v="6"/>
    <s v="Delta"/>
    <s v="|04/04/86|"/>
    <n v="2640"/>
    <n v="2.33"/>
    <n v="3.81"/>
  </r>
  <r>
    <x v="0"/>
    <s v="Convenience stores"/>
    <x v="6"/>
    <s v="Delta"/>
    <s v="|04/04/87|"/>
    <n v="2136"/>
    <n v="2.64"/>
    <n v="3.58"/>
  </r>
  <r>
    <x v="0"/>
    <s v="Convenience stores"/>
    <x v="6"/>
    <s v="Delta"/>
    <s v="|04/04/88|"/>
    <n v="2568"/>
    <n v="2.79"/>
    <n v="3.31"/>
  </r>
  <r>
    <x v="0"/>
    <s v="Convenience stores"/>
    <x v="6"/>
    <s v="Delta"/>
    <s v="|04/04/89|"/>
    <n v="1872"/>
    <n v="2.65"/>
    <n v="3.86"/>
  </r>
  <r>
    <x v="0"/>
    <s v="Convenience stores"/>
    <x v="6"/>
    <s v="Delta"/>
    <s v="|04/04/90|"/>
    <n v="1224"/>
    <n v="2.65"/>
    <n v="3.57"/>
  </r>
  <r>
    <x v="0"/>
    <s v="Convenience stores"/>
    <x v="6"/>
    <s v="Delta"/>
    <s v="|04/04/91|"/>
    <n v="1764"/>
    <n v="2.83"/>
    <n v="3.86"/>
  </r>
  <r>
    <x v="0"/>
    <s v="Convenience stores"/>
    <x v="6"/>
    <s v="Delta"/>
    <s v="|04/04/92|"/>
    <n v="1476"/>
    <n v="2.58"/>
    <n v="3.31"/>
  </r>
  <r>
    <x v="0"/>
    <s v="Convenience stores"/>
    <x v="6"/>
    <s v="Delta"/>
    <s v="|04/04/93|"/>
    <n v="1308"/>
    <n v="2.8"/>
    <n v="3.98"/>
  </r>
  <r>
    <x v="0"/>
    <s v="Convenience stores"/>
    <x v="6"/>
    <s v="Delta"/>
    <s v="|04/04/94|"/>
    <n v="1728"/>
    <n v="2.38"/>
    <n v="3.96"/>
  </r>
  <r>
    <x v="0"/>
    <s v="Convenience stores"/>
    <x v="6"/>
    <s v="Delta"/>
    <s v="|04/04/95|"/>
    <n v="1368"/>
    <n v="2.4"/>
    <n v="3.41"/>
  </r>
  <r>
    <x v="0"/>
    <s v="Convenience stores"/>
    <x v="6"/>
    <s v="Delta"/>
    <s v="|04/04/96|"/>
    <n v="2172"/>
    <n v="2.67"/>
    <n v="3.54"/>
  </r>
  <r>
    <x v="0"/>
    <s v="Convenience stores"/>
    <x v="6"/>
    <s v="Delta"/>
    <s v="|04/04/97|"/>
    <n v="2016"/>
    <n v="2.86"/>
    <n v="3.84"/>
  </r>
  <r>
    <x v="0"/>
    <s v="Convenience stores"/>
    <x v="6"/>
    <s v="Delta"/>
    <s v="|04/04/98|"/>
    <n v="1356"/>
    <n v="2.88"/>
    <n v="3.59"/>
  </r>
  <r>
    <x v="0"/>
    <s v="Convenience stores"/>
    <x v="6"/>
    <s v="Delta"/>
    <s v="|04/04/99|"/>
    <n v="2340"/>
    <n v="2.69"/>
    <n v="3.46"/>
  </r>
  <r>
    <x v="0"/>
    <s v="Convenience stores"/>
    <x v="6"/>
    <s v="Delta"/>
    <s v="|04/05/01|"/>
    <n v="1872"/>
    <n v="2.94"/>
    <n v="3.57"/>
  </r>
  <r>
    <x v="0"/>
    <s v="Convenience stores"/>
    <x v="6"/>
    <s v="Delta"/>
    <s v="|04/05/02|"/>
    <n v="2232"/>
    <n v="2.39"/>
    <n v="3.58"/>
  </r>
  <r>
    <x v="0"/>
    <s v="Convenience stores"/>
    <x v="6"/>
    <s v="Delta"/>
    <s v="|04/05/03|"/>
    <n v="1476"/>
    <n v="2.88"/>
    <n v="3.53"/>
  </r>
  <r>
    <x v="0"/>
    <s v="Convenience stores"/>
    <x v="6"/>
    <s v="Delta"/>
    <s v="|04/05/04|"/>
    <n v="2196"/>
    <n v="2.37"/>
    <n v="3.87"/>
  </r>
  <r>
    <x v="0"/>
    <s v="Convenience stores"/>
    <x v="6"/>
    <s v="Delta"/>
    <s v="|04/05/05|"/>
    <n v="1740"/>
    <n v="2.81"/>
    <n v="3.95"/>
  </r>
  <r>
    <x v="0"/>
    <s v="Convenience stores"/>
    <x v="6"/>
    <s v="Delta"/>
    <s v="|04/05/06|"/>
    <n v="2388"/>
    <n v="2.46"/>
    <n v="3.38"/>
  </r>
  <r>
    <x v="0"/>
    <s v="Convenience stores"/>
    <x v="6"/>
    <s v="Delta"/>
    <s v="|04/05/07|"/>
    <n v="2136"/>
    <n v="2.41"/>
    <n v="3.71"/>
  </r>
  <r>
    <x v="0"/>
    <s v="Convenience stores"/>
    <x v="6"/>
    <s v="Delta"/>
    <s v="|04/05/08|"/>
    <n v="2700"/>
    <n v="2.97"/>
    <n v="3.3"/>
  </r>
  <r>
    <x v="0"/>
    <s v="Convenience stores"/>
    <x v="6"/>
    <s v="Delta"/>
    <s v="|04/05/09|"/>
    <n v="1488"/>
    <n v="2.9"/>
    <n v="3.53"/>
  </r>
  <r>
    <x v="0"/>
    <s v="Convenience stores"/>
    <x v="6"/>
    <s v="Delta"/>
    <s v="|04/05/10|"/>
    <n v="1632"/>
    <n v="2.75"/>
    <n v="3.53"/>
  </r>
  <r>
    <x v="0"/>
    <s v="Convenience stores"/>
    <x v="6"/>
    <s v="Delta"/>
    <s v="|04/05/11|"/>
    <n v="1620"/>
    <n v="2.94"/>
    <n v="3.7"/>
  </r>
  <r>
    <x v="0"/>
    <s v="Convenience stores"/>
    <x v="6"/>
    <s v="Delta"/>
    <s v="|04/05/12|"/>
    <n v="1452"/>
    <n v="2.4"/>
    <n v="3.94"/>
  </r>
  <r>
    <x v="0"/>
    <s v="Convenience stores"/>
    <x v="6"/>
    <s v="Delta"/>
    <s v="|04/05/13|"/>
    <n v="1788"/>
    <n v="2.4500000000000002"/>
    <n v="3.44"/>
  </r>
  <r>
    <x v="0"/>
    <s v="Convenience stores"/>
    <x v="6"/>
    <s v="Delta"/>
    <s v="|04/05/14|"/>
    <n v="1524"/>
    <n v="2.96"/>
    <n v="3.7"/>
  </r>
  <r>
    <x v="0"/>
    <s v="Convenience stores"/>
    <x v="6"/>
    <s v="Delta"/>
    <s v="|04/05/15|"/>
    <n v="1560"/>
    <n v="2.71"/>
    <n v="3.58"/>
  </r>
  <r>
    <x v="0"/>
    <s v="Convenience stores"/>
    <x v="6"/>
    <s v="Delta"/>
    <s v="|04/05/16|"/>
    <n v="2304"/>
    <n v="2.8"/>
    <n v="3.71"/>
  </r>
  <r>
    <x v="0"/>
    <s v="Convenience stores"/>
    <x v="6"/>
    <s v="Delta"/>
    <s v="|04/06/01|"/>
    <n v="1272"/>
    <n v="2.66"/>
    <n v="3.31"/>
  </r>
  <r>
    <x v="0"/>
    <s v="Convenience stores"/>
    <x v="6"/>
    <s v="Delta"/>
    <s v="|04/06/02|"/>
    <n v="1248"/>
    <n v="2.71"/>
    <n v="3.64"/>
  </r>
  <r>
    <x v="0"/>
    <s v="Convenience stores"/>
    <x v="6"/>
    <s v="Delta"/>
    <s v="|04/06/04|"/>
    <n v="2544"/>
    <n v="2.59"/>
    <n v="3.89"/>
  </r>
  <r>
    <x v="0"/>
    <s v="Convenience stores"/>
    <x v="6"/>
    <s v="Delta"/>
    <s v="|08/04/03|"/>
    <n v="1932"/>
    <n v="2.59"/>
    <n v="3.89"/>
  </r>
  <r>
    <x v="0"/>
    <s v="Convenience stores"/>
    <x v="6"/>
    <s v="Delta"/>
    <s v="|08/04/05|"/>
    <n v="1704"/>
    <n v="2.58"/>
    <n v="3.31"/>
  </r>
  <r>
    <x v="0"/>
    <s v="Convenience stores"/>
    <x v="6"/>
    <s v="Delta"/>
    <s v="|08/04/06|"/>
    <n v="2688"/>
    <n v="2.93"/>
    <n v="3.7"/>
  </r>
  <r>
    <x v="0"/>
    <s v="Convenience stores"/>
    <x v="5"/>
    <s v="Suchard"/>
    <s v="|99/03/01|"/>
    <n v="1164"/>
    <n v="1.31"/>
    <n v="1.87"/>
  </r>
  <r>
    <x v="0"/>
    <s v="Convenience stores"/>
    <x v="5"/>
    <s v="Suchard"/>
    <s v="|99/03/02|"/>
    <n v="852"/>
    <n v="1.1399999999999999"/>
    <n v="1.72"/>
  </r>
  <r>
    <x v="0"/>
    <s v="Convenience stores"/>
    <x v="5"/>
    <s v="Suchard"/>
    <s v="|99/03/03|"/>
    <n v="1032"/>
    <n v="1.44"/>
    <n v="1.64"/>
  </r>
  <r>
    <x v="0"/>
    <s v="Convenience stores"/>
    <x v="5"/>
    <s v="Suchard"/>
    <s v="|99/03/04|"/>
    <n v="780"/>
    <n v="1.32"/>
    <n v="1.79"/>
  </r>
  <r>
    <x v="0"/>
    <s v="Convenience stores"/>
    <x v="5"/>
    <s v="Suchard"/>
    <s v="|99/03/05|"/>
    <n v="1224"/>
    <n v="1.48"/>
    <n v="1.78"/>
  </r>
  <r>
    <x v="0"/>
    <s v="Convenience stores"/>
    <x v="5"/>
    <s v="Suchard"/>
    <s v="|99/03/06|"/>
    <n v="600"/>
    <n v="1.36"/>
    <n v="1.74"/>
  </r>
  <r>
    <x v="0"/>
    <s v="Convenience stores"/>
    <x v="5"/>
    <s v="Suchard"/>
    <s v="|99/03/07|"/>
    <n v="1176"/>
    <n v="1.4"/>
    <n v="1.8"/>
  </r>
  <r>
    <x v="0"/>
    <s v="Convenience stores"/>
    <x v="5"/>
    <s v="Suchard"/>
    <s v="|99/03/08|"/>
    <n v="1068"/>
    <n v="1.49"/>
    <n v="1.65"/>
  </r>
  <r>
    <x v="0"/>
    <s v="Convenience stores"/>
    <x v="5"/>
    <s v="Suchard"/>
    <s v="|99/03/09|"/>
    <n v="1176"/>
    <n v="1.35"/>
    <n v="1.76"/>
  </r>
  <r>
    <x v="0"/>
    <s v="Convenience stores"/>
    <x v="6"/>
    <s v="Creamy treat"/>
    <s v="|60/01/01|"/>
    <n v="2292"/>
    <n v="2.64"/>
    <n v="3.86"/>
  </r>
  <r>
    <x v="0"/>
    <s v="Convenience stores"/>
    <x v="6"/>
    <s v="Creamy treat"/>
    <s v="|60/01/02|"/>
    <n v="1404"/>
    <n v="2.68"/>
    <n v="3.43"/>
  </r>
  <r>
    <x v="0"/>
    <s v="Convenience stores"/>
    <x v="6"/>
    <s v="Creamy treat"/>
    <s v="|60/01/03|"/>
    <n v="1344"/>
    <n v="2.75"/>
    <n v="3.48"/>
  </r>
  <r>
    <x v="0"/>
    <s v="Convenience stores"/>
    <x v="6"/>
    <s v="Creamy treat"/>
    <s v="|60/01/04|"/>
    <n v="1896"/>
    <n v="2.5099999999999998"/>
    <n v="3.42"/>
  </r>
  <r>
    <x v="0"/>
    <s v="Convenience stores"/>
    <x v="6"/>
    <s v="Creamy treat"/>
    <s v="|60/01/05|"/>
    <n v="1332"/>
    <n v="2.99"/>
    <n v="3.31"/>
  </r>
  <r>
    <x v="0"/>
    <s v="Convenience stores"/>
    <x v="6"/>
    <s v="Creamy treat"/>
    <s v="|60/01/06|"/>
    <n v="1560"/>
    <n v="2.86"/>
    <n v="3.73"/>
  </r>
  <r>
    <x v="0"/>
    <s v="Convenience stores"/>
    <x v="2"/>
    <s v="Kimbo"/>
    <s v="|30/01/01|"/>
    <n v="9108"/>
    <n v="0.52"/>
    <n v="1.02"/>
  </r>
  <r>
    <x v="0"/>
    <s v="Convenience stores"/>
    <x v="2"/>
    <s v="Kimbo"/>
    <s v="|30/01/02|"/>
    <n v="6120"/>
    <n v="1.1299999999999999"/>
    <n v="1.06"/>
  </r>
  <r>
    <x v="0"/>
    <s v="Convenience stores"/>
    <x v="2"/>
    <s v="Kimbo"/>
    <s v="|30/01/03|"/>
    <n v="8436"/>
    <n v="0.78"/>
    <n v="1.04"/>
  </r>
  <r>
    <x v="0"/>
    <s v="Convenience stores"/>
    <x v="2"/>
    <s v="Kimbo"/>
    <s v="|30/01/04|"/>
    <n v="6228"/>
    <n v="0.52"/>
    <n v="1.1000000000000001"/>
  </r>
  <r>
    <x v="0"/>
    <s v="Convenience stores"/>
    <x v="2"/>
    <s v="Kimbo"/>
    <s v="|30/01/05|"/>
    <n v="8880"/>
    <n v="0.93"/>
    <n v="1.01"/>
  </r>
  <r>
    <x v="0"/>
    <s v="Convenience stores"/>
    <x v="2"/>
    <s v="Kimbo"/>
    <s v="|30/01/06|"/>
    <n v="7188"/>
    <n v="0.52"/>
    <n v="0.96"/>
  </r>
  <r>
    <x v="0"/>
    <s v="Convenience stores"/>
    <x v="2"/>
    <s v="Kimbo"/>
    <s v="|30/01/07|"/>
    <n v="5772"/>
    <n v="0.68"/>
    <n v="0.98"/>
  </r>
  <r>
    <x v="0"/>
    <s v="Convenience stores"/>
    <x v="2"/>
    <s v="Kimbo"/>
    <s v="|30/01/08|"/>
    <n v="6372"/>
    <n v="1.1200000000000001"/>
    <n v="0.9"/>
  </r>
  <r>
    <x v="0"/>
    <s v="Convenience stores"/>
    <x v="2"/>
    <s v="Kimbo"/>
    <s v="|30/01/09|"/>
    <n v="6540"/>
    <n v="1.05"/>
    <n v="1.01"/>
  </r>
  <r>
    <x v="0"/>
    <s v="Convenience stores"/>
    <x v="2"/>
    <s v="Kimbo"/>
    <s v="|30/01/10|"/>
    <n v="5028"/>
    <n v="1.1399999999999999"/>
    <n v="1.04"/>
  </r>
  <r>
    <x v="0"/>
    <s v="Convenience stores"/>
    <x v="2"/>
    <s v="Kimbo"/>
    <s v="|30/01/11|"/>
    <n v="6840"/>
    <n v="1.19"/>
    <n v="1.1399999999999999"/>
  </r>
  <r>
    <x v="0"/>
    <s v="Convenience stores"/>
    <x v="2"/>
    <s v="Kimbo"/>
    <s v="|30/01/12|"/>
    <n v="8160"/>
    <n v="0.94"/>
    <n v="1.1299999999999999"/>
  </r>
  <r>
    <x v="0"/>
    <s v="Convenience stores"/>
    <x v="2"/>
    <s v="Kimbo"/>
    <s v="|30/01/13|"/>
    <n v="7608"/>
    <n v="0.51"/>
    <n v="1.19"/>
  </r>
  <r>
    <x v="0"/>
    <s v="Convenience stores"/>
    <x v="2"/>
    <s v="Kimbo"/>
    <s v="|30/01/14|"/>
    <n v="7992"/>
    <n v="0.51"/>
    <n v="1.02"/>
  </r>
  <r>
    <x v="0"/>
    <s v="Convenience stores"/>
    <x v="2"/>
    <s v="Kimbo"/>
    <s v="|30/01/15|"/>
    <n v="8916"/>
    <n v="0.52"/>
    <n v="1.1200000000000001"/>
  </r>
  <r>
    <x v="0"/>
    <s v="Convenience stores"/>
    <x v="2"/>
    <s v="Kimbo"/>
    <s v="|30/01/16|"/>
    <n v="5136"/>
    <n v="0.84"/>
    <n v="0.93"/>
  </r>
  <r>
    <x v="0"/>
    <s v="Convenience stores"/>
    <x v="2"/>
    <s v="Kimbo"/>
    <s v="|30/01/17|"/>
    <n v="5232"/>
    <n v="0.46"/>
    <n v="1.1200000000000001"/>
  </r>
  <r>
    <x v="0"/>
    <s v="Convenience stores"/>
    <x v="2"/>
    <s v="Kimbo"/>
    <s v="|30/01/18|"/>
    <n v="6576"/>
    <n v="0.94"/>
    <n v="0.96"/>
  </r>
  <r>
    <x v="0"/>
    <s v="Convenience stores"/>
    <x v="2"/>
    <s v="Kimbo"/>
    <s v="|30/01/19|"/>
    <n v="6684"/>
    <n v="0.68"/>
    <n v="1.1299999999999999"/>
  </r>
  <r>
    <x v="0"/>
    <s v="Convenience stores"/>
    <x v="11"/>
    <s v="Chocopops"/>
    <s v="|94/00/01|"/>
    <n v="264"/>
    <n v="1.45"/>
    <n v="1.7"/>
  </r>
  <r>
    <x v="0"/>
    <s v="Convenience stores"/>
    <x v="11"/>
    <s v="Chocopops"/>
    <s v="|94/00/02|"/>
    <n v="624"/>
    <n v="1.59"/>
    <n v="1.72"/>
  </r>
  <r>
    <x v="0"/>
    <s v="Convenience stores"/>
    <x v="11"/>
    <s v="Chocopops"/>
    <s v="|94/00/03|"/>
    <n v="300"/>
    <n v="1.49"/>
    <n v="1.79"/>
  </r>
  <r>
    <x v="0"/>
    <s v="Convenience stores"/>
    <x v="11"/>
    <s v="Chocopops"/>
    <s v="|94/00/04|"/>
    <n v="516"/>
    <n v="1.44"/>
    <n v="1.75"/>
  </r>
  <r>
    <x v="0"/>
    <s v="Convenience stores"/>
    <x v="11"/>
    <s v="Chocopops"/>
    <s v="|94/00/05|"/>
    <n v="588"/>
    <n v="1.51"/>
    <n v="1.9"/>
  </r>
  <r>
    <x v="0"/>
    <s v="Convenience stores"/>
    <x v="11"/>
    <s v="Chocopops"/>
    <s v="|94/00/06|"/>
    <n v="612"/>
    <n v="1.47"/>
    <n v="1.9"/>
  </r>
  <r>
    <x v="0"/>
    <s v="Convenience stores"/>
    <x v="11"/>
    <s v="Chocopops"/>
    <s v="|94/00/07|"/>
    <n v="516"/>
    <n v="1.49"/>
    <n v="1.73"/>
  </r>
  <r>
    <x v="0"/>
    <s v="Convenience stores"/>
    <x v="11"/>
    <s v="Chocopops"/>
    <s v="|94/00/08|"/>
    <n v="408"/>
    <n v="1.56"/>
    <n v="1.8"/>
  </r>
  <r>
    <x v="0"/>
    <s v="Convenience stores"/>
    <x v="11"/>
    <s v="Chocopops"/>
    <s v="|94/00/09|"/>
    <n v="264"/>
    <n v="1.42"/>
    <n v="1.86"/>
  </r>
  <r>
    <x v="0"/>
    <s v="Convenience stores"/>
    <x v="11"/>
    <s v="Chocopops"/>
    <s v="|94/00/10|"/>
    <n v="708"/>
    <n v="1.48"/>
    <n v="1.71"/>
  </r>
  <r>
    <x v="0"/>
    <s v="Convenience stores"/>
    <x v="11"/>
    <s v="Chocopops"/>
    <s v="|94/00/11|"/>
    <n v="240"/>
    <n v="1.48"/>
    <n v="1.83"/>
  </r>
  <r>
    <x v="0"/>
    <s v="Convenience stores"/>
    <x v="11"/>
    <s v="Chocopops"/>
    <s v="|94/00/12|"/>
    <n v="420"/>
    <n v="1.53"/>
    <n v="1.79"/>
  </r>
  <r>
    <x v="0"/>
    <s v="Convenience stores"/>
    <x v="11"/>
    <s v="Chocopops"/>
    <s v="|94/00/13|"/>
    <n v="684"/>
    <n v="1.48"/>
    <n v="1.86"/>
  </r>
  <r>
    <x v="0"/>
    <s v="Convenience stores"/>
    <x v="11"/>
    <s v="Chocopops"/>
    <s v="|94/00/14|"/>
    <n v="336"/>
    <n v="1.53"/>
    <n v="1.75"/>
  </r>
  <r>
    <x v="0"/>
    <s v="Convenience stores"/>
    <x v="11"/>
    <s v="Chocopops"/>
    <s v="|94/00/15|"/>
    <n v="324"/>
    <n v="1.51"/>
    <n v="1.83"/>
  </r>
  <r>
    <x v="0"/>
    <s v="Convenience stores"/>
    <x v="11"/>
    <s v="Chocopops"/>
    <s v="|94/00/16|"/>
    <n v="444"/>
    <n v="1.52"/>
    <n v="1.81"/>
  </r>
  <r>
    <x v="0"/>
    <s v="Convenience stores"/>
    <x v="11"/>
    <s v="Chocopops"/>
    <s v="|94/00/17|"/>
    <n v="324"/>
    <n v="1.4"/>
    <n v="1.79"/>
  </r>
  <r>
    <x v="0"/>
    <s v="Convenience stores"/>
    <x v="11"/>
    <s v="Chocopops"/>
    <s v="|94/00/18|"/>
    <n v="552"/>
    <n v="1.41"/>
    <n v="1.83"/>
  </r>
  <r>
    <x v="0"/>
    <s v="Convenience stores"/>
    <x v="11"/>
    <s v="Chocopops"/>
    <s v="|94/00/19|"/>
    <n v="552"/>
    <n v="1.49"/>
    <n v="1.82"/>
  </r>
  <r>
    <x v="0"/>
    <s v="Convenience stores"/>
    <x v="11"/>
    <s v="Chocopops"/>
    <s v="|94/00/20|"/>
    <n v="672"/>
    <n v="1.48"/>
    <n v="1.83"/>
  </r>
  <r>
    <x v="0"/>
    <s v="Convenience stores"/>
    <x v="11"/>
    <s v="Chocopops"/>
    <s v="|94/00/30|"/>
    <n v="480"/>
    <n v="1.49"/>
    <n v="1.76"/>
  </r>
  <r>
    <x v="0"/>
    <s v="Convenience stores"/>
    <x v="11"/>
    <s v="Chocopops"/>
    <s v="|94/00/31|"/>
    <n v="252"/>
    <n v="1.41"/>
    <n v="1.77"/>
  </r>
  <r>
    <x v="0"/>
    <s v="Convenience stores"/>
    <x v="11"/>
    <s v="Chocopops"/>
    <s v="|94/00/32|"/>
    <n v="612"/>
    <n v="1.55"/>
    <n v="1.88"/>
  </r>
  <r>
    <x v="0"/>
    <s v="Convenience stores"/>
    <x v="11"/>
    <s v="Chocopops"/>
    <s v="|94/00/50|"/>
    <n v="468"/>
    <n v="1.49"/>
    <n v="1.79"/>
  </r>
  <r>
    <x v="0"/>
    <s v="Convenience stores"/>
    <x v="11"/>
    <s v="Chocopops"/>
    <s v="|94/00/51|"/>
    <n v="348"/>
    <n v="1.41"/>
    <n v="1.79"/>
  </r>
  <r>
    <x v="0"/>
    <s v="Convenience stores"/>
    <x v="11"/>
    <s v="Chocopops"/>
    <s v="|94/00/52|"/>
    <n v="420"/>
    <n v="1.58"/>
    <n v="1.7"/>
  </r>
  <r>
    <x v="0"/>
    <s v="Convenience stores"/>
    <x v="11"/>
    <s v="Chocopops"/>
    <s v="|94/00/53|"/>
    <n v="264"/>
    <n v="1.58"/>
    <n v="1.87"/>
  </r>
  <r>
    <x v="0"/>
    <s v="Convenience stores"/>
    <x v="11"/>
    <s v="Chocopops"/>
    <s v="|94/01/00|"/>
    <n v="720"/>
    <n v="1.4"/>
    <n v="1.81"/>
  </r>
  <r>
    <x v="0"/>
    <s v="Convenience stores"/>
    <x v="11"/>
    <s v="Chocopops"/>
    <s v="|94/01/01|"/>
    <n v="276"/>
    <n v="1.49"/>
    <n v="1.75"/>
  </r>
  <r>
    <x v="0"/>
    <s v="Convenience stores"/>
    <x v="11"/>
    <s v="Chocopops"/>
    <s v="|94/01/02|"/>
    <n v="420"/>
    <n v="1.48"/>
    <n v="1.8"/>
  </r>
  <r>
    <x v="0"/>
    <s v="Convenience stores"/>
    <x v="11"/>
    <s v="Chocopops"/>
    <s v="|94/02/01|"/>
    <n v="600"/>
    <n v="1.56"/>
    <n v="1.85"/>
  </r>
  <r>
    <x v="0"/>
    <s v="Convenience stores"/>
    <x v="11"/>
    <s v="Chocopops"/>
    <s v="|94/02/02|"/>
    <n v="720"/>
    <n v="1.46"/>
    <n v="1.9"/>
  </r>
  <r>
    <x v="0"/>
    <s v="Convenience stores"/>
    <x v="11"/>
    <s v="Chocopops"/>
    <s v="|94/02/04|"/>
    <n v="612"/>
    <n v="1.44"/>
    <n v="1.76"/>
  </r>
  <r>
    <x v="0"/>
    <s v="Convenience stores"/>
    <x v="11"/>
    <s v="Chocopops"/>
    <s v="|94/02/07|"/>
    <n v="276"/>
    <n v="1.51"/>
    <n v="1.85"/>
  </r>
  <r>
    <x v="0"/>
    <s v="Convenience stores"/>
    <x v="11"/>
    <s v="Chocopops"/>
    <s v="|94/03/01|"/>
    <n v="720"/>
    <n v="1.4"/>
    <n v="1.86"/>
  </r>
  <r>
    <x v="0"/>
    <s v="Convenience stores"/>
    <x v="11"/>
    <s v="Chocopops"/>
    <s v="|94/03/02|"/>
    <n v="444"/>
    <n v="1.49"/>
    <n v="1.9"/>
  </r>
  <r>
    <x v="0"/>
    <s v="Convenience stores"/>
    <x v="11"/>
    <s v="Chocopops"/>
    <s v="|94/03/03|"/>
    <n v="624"/>
    <n v="1.52"/>
    <n v="1.78"/>
  </r>
  <r>
    <x v="0"/>
    <s v="Convenience stores"/>
    <x v="11"/>
    <s v="Chocopops"/>
    <s v="|94/03/04|"/>
    <n v="504"/>
    <n v="1.41"/>
    <n v="1.87"/>
  </r>
  <r>
    <x v="0"/>
    <s v="Convenience stores"/>
    <x v="11"/>
    <s v="Chocopops"/>
    <s v="|94/03/05|"/>
    <n v="576"/>
    <n v="1.43"/>
    <n v="1.88"/>
  </r>
  <r>
    <x v="0"/>
    <s v="Convenience stores"/>
    <x v="11"/>
    <s v="Chocopops"/>
    <s v="|94/03/06|"/>
    <n v="696"/>
    <n v="1.56"/>
    <n v="1.84"/>
  </r>
  <r>
    <x v="0"/>
    <s v="Convenience stores"/>
    <x v="11"/>
    <s v="Chocopops"/>
    <s v="|94/03/07|"/>
    <n v="312"/>
    <n v="1.52"/>
    <n v="1.71"/>
  </r>
  <r>
    <x v="0"/>
    <s v="Convenience stores"/>
    <x v="11"/>
    <s v="Chocopops"/>
    <s v="|94/03/08|"/>
    <n v="612"/>
    <n v="1.41"/>
    <n v="1.81"/>
  </r>
  <r>
    <x v="0"/>
    <s v="Convenience stores"/>
    <x v="11"/>
    <s v="Chocopops"/>
    <s v="|94/03/09|"/>
    <n v="720"/>
    <n v="1.53"/>
    <n v="1.7"/>
  </r>
  <r>
    <x v="0"/>
    <s v="Convenience stores"/>
    <x v="11"/>
    <s v="Chocopops"/>
    <s v="|94/03/10|"/>
    <n v="252"/>
    <n v="1.4"/>
    <n v="1.89"/>
  </r>
  <r>
    <x v="0"/>
    <s v="Convenience stores"/>
    <x v="11"/>
    <s v="Chocopops"/>
    <s v="|94/03/11|"/>
    <n v="492"/>
    <n v="1.51"/>
    <n v="1.76"/>
  </r>
  <r>
    <x v="0"/>
    <s v="Convenience stores"/>
    <x v="11"/>
    <s v="Chocopops"/>
    <s v="|94/03/12|"/>
    <n v="456"/>
    <n v="1.53"/>
    <n v="1.76"/>
  </r>
  <r>
    <x v="0"/>
    <s v="Convenience stores"/>
    <x v="11"/>
    <s v="Chocopops"/>
    <s v="|94/03/14|"/>
    <n v="636"/>
    <n v="1.46"/>
    <n v="1.88"/>
  </r>
  <r>
    <x v="0"/>
    <s v="Convenience stores"/>
    <x v="11"/>
    <s v="Chocopops"/>
    <s v="|94/03/15|"/>
    <n v="384"/>
    <n v="1.59"/>
    <n v="1.78"/>
  </r>
  <r>
    <x v="0"/>
    <s v="Convenience stores"/>
    <x v="11"/>
    <s v="Chocopops"/>
    <s v="|94/03/16|"/>
    <n v="468"/>
    <n v="1.42"/>
    <n v="1.89"/>
  </r>
  <r>
    <x v="0"/>
    <s v="Convenience stores"/>
    <x v="11"/>
    <s v="Chocopops"/>
    <s v="|94/03/17|"/>
    <n v="528"/>
    <n v="1.49"/>
    <n v="1.75"/>
  </r>
  <r>
    <x v="0"/>
    <s v="Convenience stores"/>
    <x v="11"/>
    <s v="Chocopops"/>
    <s v="|94/03/18|"/>
    <n v="252"/>
    <n v="1.56"/>
    <n v="1.79"/>
  </r>
  <r>
    <x v="0"/>
    <s v="Convenience stores"/>
    <x v="11"/>
    <s v="Chocopops"/>
    <s v="|94/04/01|"/>
    <n v="444"/>
    <n v="1.46"/>
    <n v="1.74"/>
  </r>
  <r>
    <x v="0"/>
    <s v="Convenience stores"/>
    <x v="11"/>
    <s v="Chocopops"/>
    <s v="|94/04/02|"/>
    <n v="240"/>
    <n v="1.46"/>
    <n v="1.84"/>
  </r>
  <r>
    <x v="0"/>
    <s v="Convenience stores"/>
    <x v="11"/>
    <s v="Chocopops"/>
    <s v="|94/04/03|"/>
    <n v="480"/>
    <n v="1.58"/>
    <n v="1.85"/>
  </r>
  <r>
    <x v="0"/>
    <s v="Convenience stores"/>
    <x v="11"/>
    <s v="Chocopops"/>
    <s v="|94/04/05|"/>
    <n v="396"/>
    <n v="1.41"/>
    <n v="1.71"/>
  </r>
  <r>
    <x v="0"/>
    <s v="Convenience stores"/>
    <x v="11"/>
    <s v="Chocopops"/>
    <s v="|94/04/06|"/>
    <n v="372"/>
    <n v="1.57"/>
    <n v="1.78"/>
  </r>
  <r>
    <x v="0"/>
    <s v="Convenience stores"/>
    <x v="11"/>
    <s v="Chocopops"/>
    <s v="|94/04/07|"/>
    <n v="396"/>
    <n v="1.52"/>
    <n v="1.76"/>
  </r>
  <r>
    <x v="0"/>
    <s v="Convenience stores"/>
    <x v="11"/>
    <s v="Chocopops"/>
    <s v="|94/04/08|"/>
    <n v="552"/>
    <n v="1.45"/>
    <n v="1.72"/>
  </r>
  <r>
    <x v="0"/>
    <s v="Convenience stores"/>
    <x v="11"/>
    <s v="Chocopops"/>
    <s v="|94/04/09|"/>
    <n v="612"/>
    <n v="1.58"/>
    <n v="1.88"/>
  </r>
  <r>
    <x v="0"/>
    <s v="Convenience stores"/>
    <x v="11"/>
    <s v="Chocopops"/>
    <s v="|94/05/01|"/>
    <n v="276"/>
    <n v="1.57"/>
    <n v="1.83"/>
  </r>
  <r>
    <x v="0"/>
    <s v="Convenience stores"/>
    <x v="11"/>
    <s v="Chocopops"/>
    <s v="|94/05/02|"/>
    <n v="264"/>
    <n v="1.42"/>
    <n v="1.74"/>
  </r>
  <r>
    <x v="0"/>
    <s v="Convenience stores"/>
    <x v="11"/>
    <s v="Chocopops"/>
    <s v="|94/05/03|"/>
    <n v="660"/>
    <n v="1.56"/>
    <n v="1.86"/>
  </r>
  <r>
    <x v="0"/>
    <s v="Convenience stores"/>
    <x v="11"/>
    <s v="Chocopops"/>
    <s v="|94/05/08|"/>
    <n v="300"/>
    <n v="1.48"/>
    <n v="1.84"/>
  </r>
  <r>
    <x v="0"/>
    <s v="Convenience stores"/>
    <x v="11"/>
    <s v="Chocopops"/>
    <s v="|94/05/09|"/>
    <n v="492"/>
    <n v="1.59"/>
    <n v="1.85"/>
  </r>
  <r>
    <x v="0"/>
    <s v="Convenience stores"/>
    <x v="11"/>
    <s v="Chocopops"/>
    <s v="|94/05/10|"/>
    <n v="588"/>
    <n v="1.52"/>
    <n v="1.72"/>
  </r>
  <r>
    <x v="0"/>
    <s v="Convenience stores"/>
    <x v="11"/>
    <s v="Chocopops"/>
    <s v="|94/05/11|"/>
    <n v="588"/>
    <n v="1.41"/>
    <n v="1.78"/>
  </r>
  <r>
    <x v="0"/>
    <s v="Convenience stores"/>
    <x v="11"/>
    <s v="Chocopops"/>
    <s v="|94/05/12|"/>
    <n v="648"/>
    <n v="1.46"/>
    <n v="1.72"/>
  </r>
  <r>
    <x v="0"/>
    <s v="Convenience stores"/>
    <x v="11"/>
    <s v="Chocopops"/>
    <s v="|94/06/01|"/>
    <n v="384"/>
    <n v="1.53"/>
    <n v="1.79"/>
  </r>
  <r>
    <x v="0"/>
    <s v="Convenience stores"/>
    <x v="11"/>
    <s v="Chocopops"/>
    <s v="|94/06/02|"/>
    <n v="708"/>
    <n v="1.48"/>
    <n v="1.76"/>
  </r>
  <r>
    <x v="0"/>
    <s v="Convenience stores"/>
    <x v="11"/>
    <s v="Chocopops"/>
    <s v="|94/06/03|"/>
    <n v="564"/>
    <n v="1.6"/>
    <n v="1.85"/>
  </r>
  <r>
    <x v="0"/>
    <s v="Convenience stores"/>
    <x v="5"/>
    <s v="Chocowaff"/>
    <s v="|96/01/01|"/>
    <n v="756"/>
    <n v="1.45"/>
    <n v="1.7"/>
  </r>
  <r>
    <x v="0"/>
    <s v="Convenience stores"/>
    <x v="5"/>
    <s v="Chocowaff"/>
    <s v="|96/01/02|"/>
    <n v="720"/>
    <n v="1.46"/>
    <n v="1.64"/>
  </r>
  <r>
    <x v="0"/>
    <s v="Convenience stores"/>
    <x v="5"/>
    <s v="Chocowaff"/>
    <s v="|96/01/03|"/>
    <n v="636"/>
    <n v="1.3"/>
    <n v="1.76"/>
  </r>
  <r>
    <x v="0"/>
    <s v="Convenience stores"/>
    <x v="5"/>
    <s v="Chocowaff"/>
    <s v="|96/01/04|"/>
    <n v="648"/>
    <n v="1.1599999999999999"/>
    <n v="1.77"/>
  </r>
  <r>
    <x v="0"/>
    <s v="Convenience stores"/>
    <x v="5"/>
    <s v="Chocowaff"/>
    <s v="|96/01/05|"/>
    <n v="768"/>
    <n v="1.17"/>
    <n v="1.75"/>
  </r>
  <r>
    <x v="0"/>
    <s v="Convenience stores"/>
    <x v="5"/>
    <s v="Chocowaff"/>
    <s v="|96/01/06a|"/>
    <n v="900"/>
    <n v="1.1000000000000001"/>
    <n v="1.84"/>
  </r>
  <r>
    <x v="0"/>
    <s v="Convenience stores"/>
    <x v="5"/>
    <s v="Chocowaff"/>
    <s v="|96/01/07a|"/>
    <n v="888"/>
    <n v="1.27"/>
    <n v="1.89"/>
  </r>
  <r>
    <x v="0"/>
    <s v="Convenience stores"/>
    <x v="5"/>
    <s v="Chocowaff"/>
    <s v="|96/01/08|"/>
    <n v="888"/>
    <n v="1.35"/>
    <n v="1.64"/>
  </r>
  <r>
    <x v="0"/>
    <s v="Convenience stores"/>
    <x v="5"/>
    <s v="Chocowaff"/>
    <s v="|96/01/09|"/>
    <n v="1152"/>
    <n v="1.21"/>
    <n v="1.74"/>
  </r>
  <r>
    <x v="0"/>
    <s v="Convenience stores"/>
    <x v="5"/>
    <s v="Chocowaff"/>
    <s v="|96/01/10|"/>
    <n v="732"/>
    <n v="1.24"/>
    <n v="1.64"/>
  </r>
  <r>
    <x v="0"/>
    <s v="Convenience stores"/>
    <x v="5"/>
    <s v="Chocowaff"/>
    <s v="|96/01/11|"/>
    <n v="1128"/>
    <n v="1.36"/>
    <n v="1.7"/>
  </r>
  <r>
    <x v="0"/>
    <s v="Convenience stores"/>
    <x v="5"/>
    <s v="Chocowaff"/>
    <s v="|96/01/12|"/>
    <n v="1308"/>
    <n v="1.43"/>
    <n v="1.65"/>
  </r>
  <r>
    <x v="0"/>
    <s v="Convenience stores"/>
    <x v="3"/>
    <s v="Dr Pepper"/>
    <s v="|03/01/01|"/>
    <n v="120"/>
    <n v="1.18"/>
    <n v="1.32"/>
  </r>
  <r>
    <x v="0"/>
    <s v="Convenience stores"/>
    <x v="3"/>
    <s v="Dr Pepper"/>
    <s v="|03/01/02|"/>
    <n v="60"/>
    <n v="1.19"/>
    <n v="1.27"/>
  </r>
  <r>
    <x v="0"/>
    <s v="Convenience stores"/>
    <x v="2"/>
    <s v="Pausa Caffe'"/>
    <s v="|12/12/00|"/>
    <n v="8088"/>
    <n v="0.98"/>
    <n v="1.01"/>
  </r>
  <r>
    <x v="0"/>
    <s v="Convenience stores"/>
    <x v="2"/>
    <s v="Pausa Caffe'"/>
    <s v="|12/12/01|"/>
    <n v="8388"/>
    <n v="0.88"/>
    <n v="0.93"/>
  </r>
  <r>
    <x v="0"/>
    <s v="Convenience stores"/>
    <x v="2"/>
    <s v="Pausa Caffe'"/>
    <s v="|12/12/02|"/>
    <n v="6300"/>
    <n v="0.81"/>
    <n v="1.1299999999999999"/>
  </r>
  <r>
    <x v="0"/>
    <s v="Convenience stores"/>
    <x v="2"/>
    <s v="Pausa Caffe'"/>
    <s v="|12/12/03|"/>
    <n v="9240"/>
    <n v="0.53"/>
    <n v="1.18"/>
  </r>
  <r>
    <x v="0"/>
    <s v="Convenience stores"/>
    <x v="2"/>
    <s v="Pausa Caffe'"/>
    <s v="|12/12/04|"/>
    <n v="5616"/>
    <n v="0.82"/>
    <n v="1.06"/>
  </r>
  <r>
    <x v="0"/>
    <s v="Convenience stores"/>
    <x v="2"/>
    <s v="Pausa Caffe'"/>
    <s v="|12/12/06|"/>
    <n v="5736"/>
    <n v="0.79"/>
    <n v="1.1499999999999999"/>
  </r>
  <r>
    <x v="0"/>
    <s v="Convenience stores"/>
    <x v="2"/>
    <s v="Pausa Caffe'"/>
    <s v="|12/12/07|"/>
    <n v="8196"/>
    <n v="0.84"/>
    <n v="0.94"/>
  </r>
  <r>
    <x v="0"/>
    <s v="Convenience stores"/>
    <x v="2"/>
    <s v="Pausa Caffe'"/>
    <s v="|12/12/105|"/>
    <n v="5148"/>
    <n v="0.44"/>
    <n v="1.03"/>
  </r>
  <r>
    <x v="0"/>
    <s v="Convenience stores"/>
    <x v="2"/>
    <s v="Pausa Caffe'"/>
    <s v="|12/12/107|"/>
    <n v="9396"/>
    <n v="0.76"/>
    <n v="1.04"/>
  </r>
  <r>
    <x v="0"/>
    <s v="Convenience stores"/>
    <x v="2"/>
    <s v="Pausa Caffe'"/>
    <s v="|12/12/108|"/>
    <n v="6696"/>
    <n v="0.98"/>
    <n v="1.1200000000000001"/>
  </r>
  <r>
    <x v="0"/>
    <s v="Convenience stores"/>
    <x v="2"/>
    <s v="Pausa Caffe'"/>
    <s v="|12/12/110|"/>
    <n v="5784"/>
    <n v="0.6"/>
    <n v="1.1299999999999999"/>
  </r>
  <r>
    <x v="0"/>
    <s v="Convenience stores"/>
    <x v="2"/>
    <s v="Pausa Caffe'"/>
    <s v="|12/12/112|"/>
    <n v="6060"/>
    <n v="0.67"/>
    <n v="1.01"/>
  </r>
  <r>
    <x v="0"/>
    <s v="Convenience stores"/>
    <x v="2"/>
    <s v="Pausa Caffe'"/>
    <s v="|12/12/113|"/>
    <n v="7512"/>
    <n v="1.0900000000000001"/>
    <n v="1.18"/>
  </r>
  <r>
    <x v="0"/>
    <s v="Convenience stores"/>
    <x v="2"/>
    <s v="Pausa Caffe'"/>
    <s v="|12/12/13|"/>
    <n v="8472"/>
    <n v="0.99"/>
    <n v="1.1000000000000001"/>
  </r>
  <r>
    <x v="0"/>
    <s v="Convenience stores"/>
    <x v="2"/>
    <s v="Pausa Caffe'"/>
    <s v="|12/12/18|"/>
    <n v="6228"/>
    <n v="0.99"/>
    <n v="1.07"/>
  </r>
  <r>
    <x v="0"/>
    <s v="Convenience stores"/>
    <x v="2"/>
    <s v="Pausa Caffe'"/>
    <s v="|12/12/27|"/>
    <n v="7944"/>
    <n v="0.62"/>
    <n v="1.05"/>
  </r>
  <r>
    <x v="0"/>
    <s v="Convenience stores"/>
    <x v="2"/>
    <s v="Pausa Caffe'"/>
    <s v="|12/12/36|"/>
    <n v="7956"/>
    <n v="0.82"/>
    <n v="1.1499999999999999"/>
  </r>
  <r>
    <x v="0"/>
    <s v="Convenience stores"/>
    <x v="2"/>
    <s v="Pausa Caffe'"/>
    <s v="|12/12/43|"/>
    <n v="6036"/>
    <n v="0.76"/>
    <n v="1.1399999999999999"/>
  </r>
  <r>
    <x v="0"/>
    <s v="Convenience stores"/>
    <x v="2"/>
    <s v="Pausa Caffe'"/>
    <s v="|12/12/45|"/>
    <n v="8532"/>
    <n v="0.54"/>
    <n v="1.0900000000000001"/>
  </r>
  <r>
    <x v="0"/>
    <s v="Convenience stores"/>
    <x v="2"/>
    <s v="Pausa Caffe'"/>
    <s v="|12/12/47|"/>
    <n v="7296"/>
    <n v="0.61"/>
    <n v="1.04"/>
  </r>
  <r>
    <x v="0"/>
    <s v="Convenience stores"/>
    <x v="2"/>
    <s v="Pausa Caffe'"/>
    <s v="|12/12/50|"/>
    <n v="8712"/>
    <n v="0.89"/>
    <n v="1.07"/>
  </r>
  <r>
    <x v="0"/>
    <s v="Convenience stores"/>
    <x v="2"/>
    <s v="Pausa Caffe'"/>
    <s v="|12/12/51|"/>
    <n v="7644"/>
    <n v="0.79"/>
    <n v="1.04"/>
  </r>
  <r>
    <x v="0"/>
    <s v="Convenience stores"/>
    <x v="2"/>
    <s v="Pausa Caffe'"/>
    <s v="|12/12/53|"/>
    <n v="8268"/>
    <n v="1.03"/>
    <n v="1.2"/>
  </r>
  <r>
    <x v="0"/>
    <s v="Convenience stores"/>
    <x v="2"/>
    <s v="Pausa Caffe'"/>
    <s v="|12/12/586|"/>
    <n v="7824"/>
    <n v="0.63"/>
    <n v="1.1599999999999999"/>
  </r>
  <r>
    <x v="0"/>
    <s v="Convenience stores"/>
    <x v="2"/>
    <s v="Pausa Caffe'"/>
    <s v="|12/12/62|"/>
    <n v="7908"/>
    <n v="0.47"/>
    <n v="0.9"/>
  </r>
  <r>
    <x v="0"/>
    <s v="Convenience stores"/>
    <x v="2"/>
    <s v="Pausa Caffe'"/>
    <s v="|12/12/67|"/>
    <n v="6072"/>
    <n v="0.91"/>
    <n v="1.1299999999999999"/>
  </r>
  <r>
    <x v="0"/>
    <s v="Convenience stores"/>
    <x v="2"/>
    <s v="Pausa Caffe'"/>
    <s v="|12/12/68|"/>
    <n v="9048"/>
    <n v="1.0900000000000001"/>
    <n v="1.01"/>
  </r>
  <r>
    <x v="0"/>
    <s v="Convenience stores"/>
    <x v="2"/>
    <s v="Pausa Caffe'"/>
    <s v="|12/12/69|"/>
    <n v="5280"/>
    <n v="0.59"/>
    <n v="1.0900000000000001"/>
  </r>
  <r>
    <x v="0"/>
    <s v="Convenience stores"/>
    <x v="2"/>
    <s v="Pausa Caffe'"/>
    <s v="|12/12/71|"/>
    <n v="7284"/>
    <n v="0.52"/>
    <n v="1.07"/>
  </r>
  <r>
    <x v="0"/>
    <s v="Convenience stores"/>
    <x v="2"/>
    <s v="Pausa Caffe'"/>
    <s v="|12/12/73|"/>
    <n v="5460"/>
    <n v="0.5"/>
    <n v="0.92"/>
  </r>
  <r>
    <x v="0"/>
    <s v="Convenience stores"/>
    <x v="2"/>
    <s v="Pausa Caffe'"/>
    <s v="|12/12/74|"/>
    <n v="9144"/>
    <n v="1.2"/>
    <n v="0.99"/>
  </r>
  <r>
    <x v="0"/>
    <s v="Convenience stores"/>
    <x v="2"/>
    <s v="Pausa Caffe'"/>
    <s v="|12/12/75|"/>
    <n v="9336"/>
    <n v="0.7"/>
    <n v="1.0900000000000001"/>
  </r>
  <r>
    <x v="0"/>
    <s v="Convenience stores"/>
    <x v="2"/>
    <s v="Pausa Caffe'"/>
    <s v="|12/12/76|"/>
    <n v="7332"/>
    <n v="0.83"/>
    <n v="1.06"/>
  </r>
  <r>
    <x v="0"/>
    <s v="Convenience stores"/>
    <x v="2"/>
    <s v="Pausa Caffe'"/>
    <s v="|12/12/77|"/>
    <n v="8388"/>
    <n v="1.06"/>
    <n v="0.96"/>
  </r>
  <r>
    <x v="0"/>
    <s v="Convenience stores"/>
    <x v="2"/>
    <s v="Pausa Caffe'"/>
    <s v="|12/12/78|"/>
    <n v="8748"/>
    <n v="0.68"/>
    <n v="1.1399999999999999"/>
  </r>
  <r>
    <x v="0"/>
    <s v="Convenience stores"/>
    <x v="2"/>
    <s v="Pausa Caffe'"/>
    <s v="|12/12/81|"/>
    <n v="7992"/>
    <n v="0.69"/>
    <n v="1.07"/>
  </r>
  <r>
    <x v="0"/>
    <s v="Convenience stores"/>
    <x v="2"/>
    <s v="Pausa Caffe'"/>
    <s v="|12/12/83|"/>
    <n v="9552"/>
    <n v="0.78"/>
    <n v="1.1100000000000001"/>
  </r>
  <r>
    <x v="0"/>
    <s v="Convenience stores"/>
    <x v="2"/>
    <s v="Pausa Caffe'"/>
    <s v="|12/12/86|"/>
    <n v="7392"/>
    <n v="0.86"/>
    <n v="1.1100000000000001"/>
  </r>
  <r>
    <x v="0"/>
    <s v="Convenience stores"/>
    <x v="2"/>
    <s v="Pausa Caffe'"/>
    <s v="|12/12/86B|"/>
    <n v="4860"/>
    <n v="0.86"/>
    <n v="1.1000000000000001"/>
  </r>
  <r>
    <x v="0"/>
    <s v="Convenience stores"/>
    <x v="2"/>
    <s v="Pausa Caffe'"/>
    <s v="|12/12/876|"/>
    <n v="4992"/>
    <n v="0.81"/>
    <n v="1.1399999999999999"/>
  </r>
  <r>
    <x v="0"/>
    <s v="Convenience stores"/>
    <x v="2"/>
    <s v="Pausa Caffe'"/>
    <s v="|12/12/91|"/>
    <n v="9096"/>
    <n v="0.47"/>
    <n v="1.17"/>
  </r>
  <r>
    <x v="0"/>
    <s v="Convenience stores"/>
    <x v="2"/>
    <s v="Pausa Caffe'"/>
    <s v="|12/12/93|"/>
    <n v="6912"/>
    <n v="0.46"/>
    <n v="1.17"/>
  </r>
  <r>
    <x v="0"/>
    <s v="Convenience stores"/>
    <x v="2"/>
    <s v="Pausa Caffe'"/>
    <s v="|12/12/95|"/>
    <n v="6348"/>
    <n v="0.9"/>
    <n v="1.07"/>
  </r>
  <r>
    <x v="0"/>
    <s v="Convenience stores"/>
    <x v="2"/>
    <s v="Pausa Caffe'"/>
    <s v="|12/12/96|"/>
    <n v="6840"/>
    <n v="0.98"/>
    <n v="1.19"/>
  </r>
  <r>
    <x v="0"/>
    <s v="Convenience stores"/>
    <x v="2"/>
    <s v="Pausa Caffe'"/>
    <s v="|12/12/97|"/>
    <n v="8652"/>
    <n v="0.72"/>
    <n v="0.98"/>
  </r>
  <r>
    <x v="0"/>
    <s v="Convenience stores"/>
    <x v="2"/>
    <s v="Pausa Caffe'"/>
    <s v="|12/12/98|"/>
    <n v="6312"/>
    <n v="1.04"/>
    <n v="1.02"/>
  </r>
  <r>
    <x v="0"/>
    <s v="Convenience stores"/>
    <x v="2"/>
    <s v="Pausa Caffe'"/>
    <s v="|12/12/99|"/>
    <n v="6936"/>
    <n v="1.2"/>
    <n v="1.1399999999999999"/>
  </r>
  <r>
    <x v="0"/>
    <s v="Convenience stores"/>
    <x v="2"/>
    <s v="Pausa Caffe'"/>
    <s v="|12/12/C 86|"/>
    <n v="5340"/>
    <n v="0.91"/>
    <n v="0.99"/>
  </r>
  <r>
    <x v="0"/>
    <s v="Convenience stores"/>
    <x v="2"/>
    <s v="Pausa Caffe'"/>
    <s v="|12/12/S|"/>
    <n v="5736"/>
    <n v="1.02"/>
    <n v="1"/>
  </r>
  <r>
    <x v="0"/>
    <s v="Convenience stores"/>
    <x v="2"/>
    <s v="Caffe Italiano"/>
    <s v="|15/15/01|"/>
    <n v="7332"/>
    <n v="0.96"/>
    <n v="1.2"/>
  </r>
  <r>
    <x v="0"/>
    <s v="Convenience stores"/>
    <x v="2"/>
    <s v="Caffe Italiano"/>
    <s v="|15/15/02|"/>
    <n v="8520"/>
    <n v="0.71"/>
    <n v="1.07"/>
  </r>
  <r>
    <x v="0"/>
    <s v="Convenience stores"/>
    <x v="2"/>
    <s v="Caffe Italiano"/>
    <s v="|15/15/03|"/>
    <n v="6504"/>
    <n v="1.2"/>
    <n v="1.1000000000000001"/>
  </r>
  <r>
    <x v="0"/>
    <s v="Convenience stores"/>
    <x v="2"/>
    <s v="Caffe Italiano"/>
    <s v="|15/15/04|"/>
    <n v="8184"/>
    <n v="1.1599999999999999"/>
    <n v="1.19"/>
  </r>
  <r>
    <x v="0"/>
    <s v="Convenience stores"/>
    <x v="2"/>
    <s v="Caffe Italiano"/>
    <s v="|15/15/05|"/>
    <n v="7308"/>
    <n v="0.44"/>
    <n v="0.93"/>
  </r>
  <r>
    <x v="0"/>
    <s v="Convenience stores"/>
    <x v="2"/>
    <s v="Caffe Italiano"/>
    <s v="|15/15/06|"/>
    <n v="8088"/>
    <n v="0.57999999999999996"/>
    <n v="0.97"/>
  </r>
  <r>
    <x v="0"/>
    <s v="Convenience stores"/>
    <x v="2"/>
    <s v="Caffe Italiano"/>
    <s v="|15/15/07|"/>
    <n v="8496"/>
    <n v="0.71"/>
    <n v="0.93"/>
  </r>
  <r>
    <x v="0"/>
    <s v="Convenience stores"/>
    <x v="2"/>
    <s v="Caffe Italiano"/>
    <s v="|15/15/08|"/>
    <n v="9456"/>
    <n v="0.72"/>
    <n v="1.1599999999999999"/>
  </r>
  <r>
    <x v="0"/>
    <s v="Convenience stores"/>
    <x v="2"/>
    <s v="Caffe Italiano"/>
    <s v="|15/15/09|"/>
    <n v="5952"/>
    <n v="1.17"/>
    <n v="1.18"/>
  </r>
  <r>
    <x v="0"/>
    <s v="Convenience stores"/>
    <x v="2"/>
    <s v="Caffe Italiano"/>
    <s v="|15/15/10|"/>
    <n v="8472"/>
    <n v="0.62"/>
    <n v="0.97"/>
  </r>
  <r>
    <x v="0"/>
    <s v="Convenience stores"/>
    <x v="2"/>
    <s v="Caffe Italiano"/>
    <s v="|15/15/11|"/>
    <n v="6132"/>
    <n v="0.72"/>
    <n v="1.1399999999999999"/>
  </r>
  <r>
    <x v="0"/>
    <s v="Convenience stores"/>
    <x v="2"/>
    <s v="Caffe Italiano"/>
    <s v="|15/15/12|"/>
    <n v="7416"/>
    <n v="1.17"/>
    <n v="1.1000000000000001"/>
  </r>
  <r>
    <x v="0"/>
    <s v="Convenience stores"/>
    <x v="2"/>
    <s v="Caffe Italiano"/>
    <s v="|15/15/13|"/>
    <n v="5784"/>
    <n v="1.01"/>
    <n v="1.1100000000000001"/>
  </r>
  <r>
    <x v="0"/>
    <s v="Convenience stores"/>
    <x v="2"/>
    <s v="Caffe Italiano"/>
    <s v="|15/15/14|"/>
    <n v="5712"/>
    <n v="0.82"/>
    <n v="0.96"/>
  </r>
  <r>
    <x v="0"/>
    <s v="Convenience stores"/>
    <x v="2"/>
    <s v="Caffe Italiano"/>
    <s v="|15/15/15|"/>
    <n v="9384"/>
    <n v="0.4"/>
    <n v="1.1599999999999999"/>
  </r>
  <r>
    <x v="0"/>
    <s v="Convenience stores"/>
    <x v="2"/>
    <s v="Caffe Italiano"/>
    <s v="|15/15/16|"/>
    <n v="6528"/>
    <n v="0.43"/>
    <n v="1.1499999999999999"/>
  </r>
  <r>
    <x v="0"/>
    <s v="Convenience stores"/>
    <x v="2"/>
    <s v="Caffe Italiano"/>
    <s v="|15/15/17|"/>
    <n v="7056"/>
    <n v="0.69"/>
    <n v="1.1200000000000001"/>
  </r>
  <r>
    <x v="0"/>
    <s v="Convenience stores"/>
    <x v="2"/>
    <s v="Caffe Italiano"/>
    <s v="|15/15/18|"/>
    <n v="9216"/>
    <n v="0.8"/>
    <n v="1"/>
  </r>
  <r>
    <x v="0"/>
    <s v="Convenience stores"/>
    <x v="2"/>
    <s v="Caffe Italiano"/>
    <s v="|15/15/19|"/>
    <n v="5580"/>
    <n v="0.81"/>
    <n v="1.01"/>
  </r>
  <r>
    <x v="0"/>
    <s v="Convenience stores"/>
    <x v="2"/>
    <s v="Caffe Italiano"/>
    <s v="|15/15/20|"/>
    <n v="5604"/>
    <n v="0.94"/>
    <n v="1.17"/>
  </r>
  <r>
    <x v="0"/>
    <s v="Convenience stores"/>
    <x v="2"/>
    <s v="Caffe Italiano"/>
    <s v="|15/15/21|"/>
    <n v="7716"/>
    <n v="1.01"/>
    <n v="1.19"/>
  </r>
  <r>
    <x v="0"/>
    <s v="Convenience stores"/>
    <x v="2"/>
    <s v="Caffe Italiano"/>
    <s v="|15/15/22|"/>
    <n v="6756"/>
    <n v="0.56000000000000005"/>
    <n v="1.1100000000000001"/>
  </r>
  <r>
    <x v="0"/>
    <s v="Convenience stores"/>
    <x v="2"/>
    <s v="Caffe Italiano"/>
    <s v="|15/15/23|"/>
    <n v="9360"/>
    <n v="0.62"/>
    <n v="1.0900000000000001"/>
  </r>
  <r>
    <x v="0"/>
    <s v="Convenience stores"/>
    <x v="2"/>
    <s v="Caffe Italiano"/>
    <s v="|15/15/24|"/>
    <n v="5496"/>
    <n v="1.1299999999999999"/>
    <n v="1.05"/>
  </r>
  <r>
    <x v="0"/>
    <s v="Convenience stores"/>
    <x v="2"/>
    <s v="Caffe Italiano"/>
    <s v="|15/15/25|"/>
    <n v="6816"/>
    <n v="1.01"/>
    <n v="1.07"/>
  </r>
  <r>
    <x v="0"/>
    <s v="Convenience stores"/>
    <x v="2"/>
    <s v="Caffe Italiano"/>
    <s v="|15/15/26|"/>
    <n v="5424"/>
    <n v="0.73"/>
    <n v="0.96"/>
  </r>
  <r>
    <x v="0"/>
    <s v="Convenience stores"/>
    <x v="2"/>
    <s v="Caffe Italiano"/>
    <s v="|15/15/27|"/>
    <n v="7164"/>
    <n v="0.94"/>
    <n v="1.08"/>
  </r>
  <r>
    <x v="0"/>
    <s v="Convenience stores"/>
    <x v="2"/>
    <s v="Caffe Italiano"/>
    <s v="|15/15/28|"/>
    <n v="9540"/>
    <n v="0.95"/>
    <n v="1.1200000000000001"/>
  </r>
  <r>
    <x v="0"/>
    <s v="Convenience stores"/>
    <x v="2"/>
    <s v="Caffe Italiano"/>
    <s v="|15/15/29|"/>
    <n v="7704"/>
    <n v="0.91"/>
    <n v="0.93"/>
  </r>
  <r>
    <x v="0"/>
    <s v="Convenience stores"/>
    <x v="2"/>
    <s v="Caffe Italiano"/>
    <s v="|15/15/30|"/>
    <n v="9444"/>
    <n v="1.17"/>
    <n v="1.17"/>
  </r>
  <r>
    <x v="0"/>
    <s v="Convenience stores"/>
    <x v="2"/>
    <s v="Caffe Italiano"/>
    <s v="|15/15/31|"/>
    <n v="5172"/>
    <n v="0.96"/>
    <n v="1.1399999999999999"/>
  </r>
  <r>
    <x v="0"/>
    <s v="Convenience stores"/>
    <x v="2"/>
    <s v="Caffe Italiano"/>
    <s v="|15/15/32|"/>
    <n v="9276"/>
    <n v="1.1000000000000001"/>
    <n v="1.17"/>
  </r>
  <r>
    <x v="0"/>
    <s v="Convenience stores"/>
    <x v="2"/>
    <s v="Caffe Italiano"/>
    <s v="|15/15/40|"/>
    <n v="8004"/>
    <n v="0.89"/>
    <n v="0.97"/>
  </r>
  <r>
    <x v="0"/>
    <s v="Convenience stores"/>
    <x v="2"/>
    <s v="Caffe Italiano"/>
    <s v="|15/15/41|"/>
    <n v="7608"/>
    <n v="1.18"/>
    <n v="1.07"/>
  </r>
  <r>
    <x v="0"/>
    <s v="Convenience stores"/>
    <x v="2"/>
    <s v="Caffe Italiano"/>
    <s v="|15/15/42|"/>
    <n v="7536"/>
    <n v="0.7"/>
    <n v="1"/>
  </r>
  <r>
    <x v="0"/>
    <s v="Convenience stores"/>
    <x v="2"/>
    <s v="Caffe Italiano"/>
    <s v="|15/15/43|"/>
    <n v="6240"/>
    <n v="1.03"/>
    <n v="1.02"/>
  </r>
  <r>
    <x v="0"/>
    <s v="Convenience stores"/>
    <x v="2"/>
    <s v="Caffe Italiano"/>
    <s v="|15/15/44|"/>
    <n v="8448"/>
    <n v="1.1100000000000001"/>
    <n v="1.04"/>
  </r>
  <r>
    <x v="0"/>
    <s v="Convenience stores"/>
    <x v="2"/>
    <s v="Caffe Italiano"/>
    <s v="|15/15/45|"/>
    <n v="6900"/>
    <n v="1.03"/>
    <n v="1.04"/>
  </r>
  <r>
    <x v="0"/>
    <s v="Convenience stores"/>
    <x v="2"/>
    <s v="Caffe Italiano"/>
    <s v="|15/15/46|"/>
    <n v="9024"/>
    <n v="0.44"/>
    <n v="0.93"/>
  </r>
  <r>
    <x v="0"/>
    <s v="Convenience stores"/>
    <x v="2"/>
    <s v="Caffe Italiano"/>
    <s v="|15/15/47|"/>
    <n v="7608"/>
    <n v="1.0900000000000001"/>
    <n v="1.1000000000000001"/>
  </r>
  <r>
    <x v="0"/>
    <s v="Convenience stores"/>
    <x v="2"/>
    <s v="Caffe Italiano"/>
    <s v="|15/15/48|"/>
    <n v="7260"/>
    <n v="0.67"/>
    <n v="1.19"/>
  </r>
  <r>
    <x v="0"/>
    <s v="Convenience stores"/>
    <x v="2"/>
    <s v="Caffe Italiano"/>
    <s v="|15/15/49|"/>
    <n v="7560"/>
    <n v="0.74"/>
    <n v="1.1000000000000001"/>
  </r>
  <r>
    <x v="0"/>
    <s v="Convenience stores"/>
    <x v="2"/>
    <s v="Caffe Italiano"/>
    <s v="|15/15/60|"/>
    <n v="4860"/>
    <n v="0.83"/>
    <n v="1.03"/>
  </r>
  <r>
    <x v="0"/>
    <s v="Convenience stores"/>
    <x v="2"/>
    <s v="Caffe Italiano"/>
    <s v="|15/15/61|"/>
    <n v="6540"/>
    <n v="1.02"/>
    <n v="1.05"/>
  </r>
  <r>
    <x v="0"/>
    <s v="Convenience stores"/>
    <x v="2"/>
    <s v="Caffe Italiano"/>
    <s v="|15/15/62|"/>
    <n v="6168"/>
    <n v="0.99"/>
    <n v="1.07"/>
  </r>
  <r>
    <x v="0"/>
    <s v="Convenience stores"/>
    <x v="2"/>
    <s v="Caffe Italiano"/>
    <s v="|15/15/63|"/>
    <n v="5412"/>
    <n v="0.54"/>
    <n v="0.95"/>
  </r>
  <r>
    <x v="0"/>
    <s v="Convenience stores"/>
    <x v="2"/>
    <s v="Caffe Italiano"/>
    <s v="|15/15/64|"/>
    <n v="9600"/>
    <n v="0.59"/>
    <n v="1.1299999999999999"/>
  </r>
  <r>
    <x v="0"/>
    <s v="Convenience stores"/>
    <x v="2"/>
    <s v="Caffe Italiano"/>
    <s v="|15/15/65|"/>
    <n v="4992"/>
    <n v="1.07"/>
    <n v="0.94"/>
  </r>
  <r>
    <x v="0"/>
    <s v="Convenience stores"/>
    <x v="2"/>
    <s v="Caffe Italiano"/>
    <s v="|15/15/66|"/>
    <n v="7284"/>
    <n v="0.5"/>
    <n v="1"/>
  </r>
  <r>
    <x v="0"/>
    <s v="Convenience stores"/>
    <x v="2"/>
    <s v="Caffe Italiano"/>
    <s v="|15/15/67|"/>
    <n v="9564"/>
    <n v="1.2"/>
    <n v="1.1000000000000001"/>
  </r>
  <r>
    <x v="0"/>
    <s v="Convenience stores"/>
    <x v="2"/>
    <s v="Caffe Italiano"/>
    <s v="|15/16/01|"/>
    <n v="7032"/>
    <n v="0.71"/>
    <n v="1.05"/>
  </r>
  <r>
    <x v="0"/>
    <s v="Convenience stores"/>
    <x v="2"/>
    <s v="Caffe Italiano"/>
    <s v="|15/16/02|"/>
    <n v="9564"/>
    <n v="1.1399999999999999"/>
    <n v="1.17"/>
  </r>
  <r>
    <x v="0"/>
    <s v="Convenience stores"/>
    <x v="2"/>
    <s v="Caffe Italiano"/>
    <s v="|15/16/03|"/>
    <n v="6624"/>
    <n v="0.71"/>
    <n v="0.94"/>
  </r>
  <r>
    <x v="0"/>
    <s v="Convenience stores"/>
    <x v="2"/>
    <s v="Caffe Italiano"/>
    <s v="|15/16/04|"/>
    <n v="7704"/>
    <n v="0.54"/>
    <n v="1.1399999999999999"/>
  </r>
  <r>
    <x v="0"/>
    <s v="Convenience stores"/>
    <x v="2"/>
    <s v="Caffe Italiano"/>
    <s v="|15/16/05|"/>
    <n v="5076"/>
    <n v="0.6"/>
    <n v="1.2"/>
  </r>
  <r>
    <x v="0"/>
    <s v="Convenience stores"/>
    <x v="2"/>
    <s v="Caffe Italiano"/>
    <s v="|15/16/06|"/>
    <n v="7224"/>
    <n v="0.82"/>
    <n v="1.1299999999999999"/>
  </r>
  <r>
    <x v="0"/>
    <s v="Convenience stores"/>
    <x v="2"/>
    <s v="Caffe Italiano"/>
    <s v="|15/16/07|"/>
    <n v="8136"/>
    <n v="0.8"/>
    <n v="1"/>
  </r>
  <r>
    <x v="0"/>
    <s v="Convenience stores"/>
    <x v="2"/>
    <s v="Caffe Italiano"/>
    <s v="|15/16/08|"/>
    <n v="4812"/>
    <n v="0.86"/>
    <n v="1.07"/>
  </r>
  <r>
    <x v="0"/>
    <s v="Convenience stores"/>
    <x v="2"/>
    <s v="Caffe Italiano"/>
    <s v="|15/16/09|"/>
    <n v="7200"/>
    <n v="0.71"/>
    <n v="1.08"/>
  </r>
  <r>
    <x v="0"/>
    <s v="Convenience stores"/>
    <x v="2"/>
    <s v="Caffe Italiano"/>
    <s v="|15/16/09a|"/>
    <n v="4968"/>
    <n v="1.1399999999999999"/>
    <n v="1.1299999999999999"/>
  </r>
  <r>
    <x v="0"/>
    <s v="Convenience stores"/>
    <x v="2"/>
    <s v="Caffe Italiano"/>
    <s v="|15/16/10|"/>
    <n v="5196"/>
    <n v="0.89"/>
    <n v="1.06"/>
  </r>
  <r>
    <x v="0"/>
    <s v="Convenience stores"/>
    <x v="2"/>
    <s v="Caffe Italiano"/>
    <s v="|15/16/11|"/>
    <n v="7560"/>
    <n v="0.45"/>
    <n v="1.1599999999999999"/>
  </r>
  <r>
    <x v="0"/>
    <s v="Convenience stores"/>
    <x v="5"/>
    <s v="Dole"/>
    <s v="|17/01/01|"/>
    <n v="1236"/>
    <n v="1.49"/>
    <n v="1.86"/>
  </r>
  <r>
    <x v="0"/>
    <s v="Convenience stores"/>
    <x v="5"/>
    <s v="Dole"/>
    <s v="|17/01/02|"/>
    <n v="1008"/>
    <n v="1.46"/>
    <n v="1.69"/>
  </r>
  <r>
    <x v="0"/>
    <s v="Convenience stores"/>
    <x v="5"/>
    <s v="Dole"/>
    <s v="|17/01/03|"/>
    <n v="1008"/>
    <n v="1.18"/>
    <n v="1.88"/>
  </r>
  <r>
    <x v="0"/>
    <s v="Convenience stores"/>
    <x v="5"/>
    <s v="Dole"/>
    <s v="|17/01/04|"/>
    <n v="1068"/>
    <n v="1.33"/>
    <n v="1.87"/>
  </r>
  <r>
    <x v="0"/>
    <s v="Convenience stores"/>
    <x v="5"/>
    <s v="Dole"/>
    <s v="|17/01/05|"/>
    <n v="1068"/>
    <n v="1.1399999999999999"/>
    <n v="1.88"/>
  </r>
  <r>
    <x v="0"/>
    <s v="Convenience stores"/>
    <x v="5"/>
    <s v="Dole"/>
    <s v="|17/01/06|"/>
    <n v="936"/>
    <n v="1.36"/>
    <n v="1.78"/>
  </r>
  <r>
    <x v="0"/>
    <s v="Convenience stores"/>
    <x v="5"/>
    <s v="Dole"/>
    <s v="|17/01/07|"/>
    <n v="672"/>
    <n v="1.1200000000000001"/>
    <n v="1.88"/>
  </r>
  <r>
    <x v="0"/>
    <s v="Convenience stores"/>
    <x v="5"/>
    <s v="Dole"/>
    <s v="|17/01/08|"/>
    <n v="828"/>
    <n v="1.48"/>
    <n v="1.72"/>
  </r>
  <r>
    <x v="0"/>
    <s v="Convenience stores"/>
    <x v="5"/>
    <s v="Dole"/>
    <s v="|17/01/09|"/>
    <n v="624"/>
    <n v="1.31"/>
    <n v="1.89"/>
  </r>
  <r>
    <x v="0"/>
    <s v="Convenience stores"/>
    <x v="5"/>
    <s v="Dole"/>
    <s v="|17/01/10|"/>
    <n v="924"/>
    <n v="1.49"/>
    <n v="1.76"/>
  </r>
  <r>
    <x v="0"/>
    <s v="Convenience stores"/>
    <x v="5"/>
    <s v="Dole"/>
    <s v="|17/01/11|"/>
    <n v="720"/>
    <n v="1.31"/>
    <n v="1.64"/>
  </r>
  <r>
    <x v="0"/>
    <s v="Convenience stores"/>
    <x v="5"/>
    <s v="Dole"/>
    <s v="|17/01/13|"/>
    <n v="960"/>
    <n v="1.29"/>
    <n v="1.87"/>
  </r>
  <r>
    <x v="0"/>
    <s v="Convenience stores"/>
    <x v="5"/>
    <s v="Dole"/>
    <s v="|17/01/14|"/>
    <n v="696"/>
    <n v="1.46"/>
    <n v="1.64"/>
  </r>
  <r>
    <x v="0"/>
    <s v="Convenience stores"/>
    <x v="5"/>
    <s v="Dole"/>
    <s v="|17/01/15|"/>
    <n v="852"/>
    <n v="1.4"/>
    <n v="1.67"/>
  </r>
  <r>
    <x v="0"/>
    <s v="Convenience stores"/>
    <x v="5"/>
    <s v="Dole"/>
    <s v="|17/01/20|"/>
    <n v="924"/>
    <n v="1.5"/>
    <n v="1.62"/>
  </r>
  <r>
    <x v="0"/>
    <s v="Convenience stores"/>
    <x v="4"/>
    <s v="Kimberley Clark"/>
    <s v="|61/01/01|"/>
    <n v="696"/>
    <n v="4.57"/>
    <n v="5.0199999999999996"/>
  </r>
  <r>
    <x v="0"/>
    <s v="Convenience stores"/>
    <x v="4"/>
    <s v="Kimberley Clark"/>
    <s v="|61/01/02|"/>
    <n v="720"/>
    <n v="4.26"/>
    <n v="5.29"/>
  </r>
  <r>
    <x v="0"/>
    <s v="Convenience stores"/>
    <x v="4"/>
    <s v="Kimberley Clark"/>
    <s v="|61/01/03|"/>
    <n v="372"/>
    <n v="4.82"/>
    <n v="5.3"/>
  </r>
  <r>
    <x v="0"/>
    <s v="Convenience stores"/>
    <x v="4"/>
    <s v="Kimberley Clark"/>
    <s v="|61/01/04|"/>
    <n v="240"/>
    <n v="4.45"/>
    <n v="5.0199999999999996"/>
  </r>
  <r>
    <x v="0"/>
    <s v="Convenience stores"/>
    <x v="4"/>
    <s v="Kimberley Clark"/>
    <s v="|61/01/05|"/>
    <n v="252"/>
    <n v="4.08"/>
    <n v="5.27"/>
  </r>
  <r>
    <x v="0"/>
    <s v="Convenience stores"/>
    <x v="4"/>
    <s v="Kimberley Clark"/>
    <s v="|61/01/06|"/>
    <n v="252"/>
    <n v="4.79"/>
    <n v="5.16"/>
  </r>
  <r>
    <x v="0"/>
    <s v="Convenience stores"/>
    <x v="4"/>
    <s v="Kimberley Clark"/>
    <s v="|61/01/07|"/>
    <n v="456"/>
    <n v="4.25"/>
    <n v="5.03"/>
  </r>
  <r>
    <x v="0"/>
    <s v="Convenience stores"/>
    <x v="4"/>
    <s v="Kimberley Clark"/>
    <s v="|61/01/08|"/>
    <n v="468"/>
    <n v="4.8600000000000003"/>
    <n v="5.0599999999999996"/>
  </r>
  <r>
    <x v="0"/>
    <s v="Convenience stores"/>
    <x v="4"/>
    <s v="Kimberley Clark"/>
    <s v="|61/01/09|"/>
    <n v="408"/>
    <n v="4.43"/>
    <n v="5.34"/>
  </r>
  <r>
    <x v="0"/>
    <s v="Convenience stores"/>
    <x v="4"/>
    <s v="Kimberley Clark"/>
    <s v="|61/01/10|"/>
    <n v="720"/>
    <n v="4.71"/>
    <n v="5.15"/>
  </r>
  <r>
    <x v="0"/>
    <s v="Convenience stores"/>
    <x v="4"/>
    <s v="Kimberley Clark"/>
    <s v="|61/01/11|"/>
    <n v="636"/>
    <n v="4.0199999999999996"/>
    <n v="5.2"/>
  </r>
  <r>
    <x v="0"/>
    <s v="Convenience stores"/>
    <x v="4"/>
    <s v="Kimberley Clark"/>
    <s v="|61/01/12|"/>
    <n v="504"/>
    <n v="4.79"/>
    <n v="5.3"/>
  </r>
  <r>
    <x v="0"/>
    <s v="Convenience stores"/>
    <x v="4"/>
    <s v="Kimberley Clark"/>
    <s v="|61/01/13|"/>
    <n v="600"/>
    <n v="4.97"/>
    <n v="5.18"/>
  </r>
  <r>
    <x v="0"/>
    <s v="Convenience stores"/>
    <x v="4"/>
    <s v="Kimberley Clark"/>
    <s v="|61/01/14|"/>
    <n v="312"/>
    <n v="4.96"/>
    <n v="5.16"/>
  </r>
  <r>
    <x v="0"/>
    <s v="Convenience stores"/>
    <x v="4"/>
    <s v="Kimberley Clark"/>
    <s v="|61/01/15|"/>
    <n v="600"/>
    <n v="4.79"/>
    <n v="5.15"/>
  </r>
  <r>
    <x v="0"/>
    <s v="Convenience stores"/>
    <x v="4"/>
    <s v="Kimberley Clark"/>
    <s v="|61/01/16|"/>
    <n v="696"/>
    <n v="4.8"/>
    <n v="5.35"/>
  </r>
  <r>
    <x v="0"/>
    <s v="Convenience stores"/>
    <x v="4"/>
    <s v="Kimberley Clark"/>
    <s v="|61/01/17|"/>
    <n v="540"/>
    <n v="4.32"/>
    <n v="5.16"/>
  </r>
  <r>
    <x v="0"/>
    <s v="Convenience stores"/>
    <x v="4"/>
    <s v="Kimberley Clark"/>
    <s v="|61/01/18|"/>
    <n v="672"/>
    <n v="4.28"/>
    <n v="5.25"/>
  </r>
  <r>
    <x v="0"/>
    <s v="Convenience stores"/>
    <x v="4"/>
    <s v="Kimberley Clark"/>
    <s v="|61/01/19|"/>
    <n v="624"/>
    <n v="4.87"/>
    <n v="5.37"/>
  </r>
  <r>
    <x v="0"/>
    <s v="Convenience stores"/>
    <x v="4"/>
    <s v="Kimberley Clark"/>
    <s v="|61/01/20|"/>
    <n v="528"/>
    <n v="4.9000000000000004"/>
    <n v="5.18"/>
  </r>
  <r>
    <x v="0"/>
    <s v="Convenience stores"/>
    <x v="4"/>
    <s v="Kimberley Clark"/>
    <s v="|61/01/21|"/>
    <n v="276"/>
    <n v="4.82"/>
    <n v="5.04"/>
  </r>
  <r>
    <x v="0"/>
    <s v="Convenience stores"/>
    <x v="4"/>
    <s v="Kimberley Clark"/>
    <s v="|61/01/22|"/>
    <n v="528"/>
    <n v="4.57"/>
    <n v="5.07"/>
  </r>
  <r>
    <x v="0"/>
    <s v="Convenience stores"/>
    <x v="4"/>
    <s v="Kimberley Clark"/>
    <s v="|61/01/23|"/>
    <n v="240"/>
    <n v="4.7699999999999996"/>
    <n v="5"/>
  </r>
  <r>
    <x v="0"/>
    <s v="Convenience stores"/>
    <x v="4"/>
    <s v="Kimberley Clark"/>
    <s v="|61/01/24|"/>
    <n v="300"/>
    <n v="4"/>
    <n v="5"/>
  </r>
  <r>
    <x v="0"/>
    <s v="Convenience stores"/>
    <x v="4"/>
    <s v="Kimberley Clark"/>
    <s v="|61/01/25|"/>
    <n v="408"/>
    <n v="4.5599999999999996"/>
    <n v="5.33"/>
  </r>
  <r>
    <x v="0"/>
    <s v="Convenience stores"/>
    <x v="4"/>
    <s v="Kimberley Clark"/>
    <s v="|61/01/26|"/>
    <n v="648"/>
    <n v="4.88"/>
    <n v="5.2"/>
  </r>
  <r>
    <x v="0"/>
    <s v="Convenience stores"/>
    <x v="4"/>
    <s v="Kimberley Clark"/>
    <s v="|61/01/27|"/>
    <n v="408"/>
    <n v="4.3499999999999996"/>
    <n v="5.31"/>
  </r>
  <r>
    <x v="0"/>
    <s v="Convenience stores"/>
    <x v="4"/>
    <s v="Kimberley Clark"/>
    <s v="|61/01/28|"/>
    <n v="648"/>
    <n v="4.24"/>
    <n v="5.28"/>
  </r>
  <r>
    <x v="0"/>
    <s v="Convenience stores"/>
    <x v="4"/>
    <s v="Kimberley Clark"/>
    <s v="|61/01/29|"/>
    <n v="456"/>
    <n v="4.3099999999999996"/>
    <n v="5.18"/>
  </r>
  <r>
    <x v="0"/>
    <s v="Convenience stores"/>
    <x v="4"/>
    <s v="Kimberley Clark"/>
    <s v="|61/01/30|"/>
    <n v="372"/>
    <n v="4.6900000000000004"/>
    <n v="5.04"/>
  </r>
  <r>
    <x v="0"/>
    <s v="Convenience stores"/>
    <x v="4"/>
    <s v="Kimberley Clark"/>
    <s v="|61/01/31|"/>
    <n v="372"/>
    <n v="4.09"/>
    <n v="5.1100000000000003"/>
  </r>
  <r>
    <x v="0"/>
    <s v="Convenience stores"/>
    <x v="4"/>
    <s v="Kimberley Clark"/>
    <s v="|61/01/32|"/>
    <n v="636"/>
    <n v="4.93"/>
    <n v="5.0599999999999996"/>
  </r>
  <r>
    <x v="0"/>
    <s v="Convenience stores"/>
    <x v="4"/>
    <s v="Kimberley Clark"/>
    <s v="|61/01/33|"/>
    <n v="588"/>
    <n v="4.72"/>
    <n v="5"/>
  </r>
  <r>
    <x v="0"/>
    <s v="Convenience stores"/>
    <x v="4"/>
    <s v="Kimberley Clark"/>
    <s v="|61/01/34|"/>
    <n v="672"/>
    <n v="4.9000000000000004"/>
    <n v="5.29"/>
  </r>
  <r>
    <x v="0"/>
    <s v="Convenience stores"/>
    <x v="4"/>
    <s v="Kimberley Clark"/>
    <s v="|61/01/35|"/>
    <n v="612"/>
    <n v="4.9800000000000004"/>
    <n v="5.3"/>
  </r>
  <r>
    <x v="0"/>
    <s v="Convenience stores"/>
    <x v="4"/>
    <s v="Kimberley Clark"/>
    <s v="|61/01/36|"/>
    <n v="624"/>
    <n v="4.55"/>
    <n v="5.35"/>
  </r>
  <r>
    <x v="0"/>
    <s v="Convenience stores"/>
    <x v="4"/>
    <s v="Kimberley Clark"/>
    <s v="|61/01/37|"/>
    <n v="264"/>
    <n v="4.01"/>
    <n v="5.26"/>
  </r>
  <r>
    <x v="0"/>
    <s v="Convenience stores"/>
    <x v="4"/>
    <s v="Kimberley Clark"/>
    <s v="|61/01/38|"/>
    <n v="600"/>
    <n v="4.95"/>
    <n v="5.16"/>
  </r>
  <r>
    <x v="0"/>
    <s v="Convenience stores"/>
    <x v="4"/>
    <s v="Kimberley Clark"/>
    <s v="|61/01/39|"/>
    <n v="372"/>
    <n v="4.1900000000000004"/>
    <n v="5.4"/>
  </r>
  <r>
    <x v="0"/>
    <s v="Convenience stores"/>
    <x v="4"/>
    <s v="Kimberley Clark"/>
    <s v="|61/01/40|"/>
    <n v="648"/>
    <n v="4.99"/>
    <n v="5.08"/>
  </r>
  <r>
    <x v="0"/>
    <s v="Convenience stores"/>
    <x v="4"/>
    <s v="Kimberley Clark"/>
    <s v="|61/01/41|"/>
    <n v="624"/>
    <n v="4.1900000000000004"/>
    <n v="5.13"/>
  </r>
  <r>
    <x v="0"/>
    <s v="Convenience stores"/>
    <x v="4"/>
    <s v="Kimberley Clark"/>
    <s v="|61/01/42|"/>
    <n v="396"/>
    <n v="4.07"/>
    <n v="5.12"/>
  </r>
  <r>
    <x v="0"/>
    <s v="Convenience stores"/>
    <x v="4"/>
    <s v="Kimberley Clark"/>
    <s v="|61/01/43|"/>
    <n v="396"/>
    <n v="4.25"/>
    <n v="5.0199999999999996"/>
  </r>
  <r>
    <x v="0"/>
    <s v="Convenience stores"/>
    <x v="4"/>
    <s v="Kimberley Clark"/>
    <s v="|61/01/44|"/>
    <n v="384"/>
    <n v="4.59"/>
    <n v="5.05"/>
  </r>
  <r>
    <x v="0"/>
    <s v="Convenience stores"/>
    <x v="4"/>
    <s v="Kimberley Clark"/>
    <s v="|61/01/45|"/>
    <n v="492"/>
    <n v="4.28"/>
    <n v="5.09"/>
  </r>
  <r>
    <x v="0"/>
    <s v="Convenience stores"/>
    <x v="4"/>
    <s v="Kimberley Clark"/>
    <s v="|61/01/46|"/>
    <n v="504"/>
    <n v="4.93"/>
    <n v="5.0999999999999996"/>
  </r>
  <r>
    <x v="0"/>
    <s v="Convenience stores"/>
    <x v="4"/>
    <s v="Kimberley Clark"/>
    <s v="|61/01/47|"/>
    <n v="360"/>
    <n v="4.58"/>
    <n v="5.26"/>
  </r>
  <r>
    <x v="0"/>
    <s v="Convenience stores"/>
    <x v="4"/>
    <s v="Kimberley Clark"/>
    <s v="|61/01/48|"/>
    <n v="672"/>
    <n v="4.2"/>
    <n v="5.39"/>
  </r>
  <r>
    <x v="0"/>
    <s v="Convenience stores"/>
    <x v="4"/>
    <s v="Kimberley Clark"/>
    <s v="|61/01/49|"/>
    <n v="684"/>
    <n v="4.79"/>
    <n v="5.13"/>
  </r>
  <r>
    <x v="0"/>
    <s v="Convenience stores"/>
    <x v="4"/>
    <s v="Kimberley Clark"/>
    <s v="|61/01/50|"/>
    <n v="576"/>
    <n v="4.0199999999999996"/>
    <n v="5.15"/>
  </r>
  <r>
    <x v="0"/>
    <s v="Convenience stores"/>
    <x v="4"/>
    <s v="Kimberley Clark"/>
    <s v="|61/01/51|"/>
    <n v="528"/>
    <n v="4.96"/>
    <n v="5"/>
  </r>
  <r>
    <x v="0"/>
    <s v="Convenience stores"/>
    <x v="4"/>
    <s v="Kimberley Clark"/>
    <s v="|61/01/52|"/>
    <n v="648"/>
    <n v="4.78"/>
    <n v="5.23"/>
  </r>
  <r>
    <x v="0"/>
    <s v="Convenience stores"/>
    <x v="4"/>
    <s v="Kimberley Clark"/>
    <s v="|61/01/53|"/>
    <n v="432"/>
    <n v="4.72"/>
    <n v="5.18"/>
  </r>
  <r>
    <x v="0"/>
    <s v="Convenience stores"/>
    <x v="4"/>
    <s v="Kimberley Clark"/>
    <s v="|61/01/54|"/>
    <n v="660"/>
    <n v="4.72"/>
    <n v="5.22"/>
  </r>
  <r>
    <x v="0"/>
    <s v="Convenience stores"/>
    <x v="4"/>
    <s v="Kimberley Clark"/>
    <s v="|61/01/55|"/>
    <n v="432"/>
    <n v="4.93"/>
    <n v="5.31"/>
  </r>
  <r>
    <x v="0"/>
    <s v="Convenience stores"/>
    <x v="4"/>
    <s v="Kimberley Clark"/>
    <s v="|61/01/56|"/>
    <n v="336"/>
    <n v="4.28"/>
    <n v="5.0999999999999996"/>
  </r>
  <r>
    <x v="0"/>
    <s v="Convenience stores"/>
    <x v="4"/>
    <s v="Kimberley Clark"/>
    <s v="|61/01/57|"/>
    <n v="396"/>
    <n v="4.7300000000000004"/>
    <n v="5.08"/>
  </r>
  <r>
    <x v="0"/>
    <s v="Convenience stores"/>
    <x v="4"/>
    <s v="Kimberley Clark"/>
    <s v="|61/01/58|"/>
    <n v="552"/>
    <n v="4.12"/>
    <n v="5.33"/>
  </r>
  <r>
    <x v="0"/>
    <s v="Convenience stores"/>
    <x v="4"/>
    <s v="Kimberley Clark"/>
    <s v="|61/01/59|"/>
    <n v="408"/>
    <n v="4.09"/>
    <n v="5.33"/>
  </r>
  <r>
    <x v="0"/>
    <s v="Convenience stores"/>
    <x v="4"/>
    <s v="Kimberley Clark"/>
    <s v="|61/01/60|"/>
    <n v="564"/>
    <n v="5"/>
    <n v="5.22"/>
  </r>
  <r>
    <x v="0"/>
    <s v="Convenience stores"/>
    <x v="4"/>
    <s v="Kimberley Clark"/>
    <s v="|61/01/61|"/>
    <n v="456"/>
    <n v="4.5599999999999996"/>
    <n v="5.26"/>
  </r>
  <r>
    <x v="0"/>
    <s v="Convenience stores"/>
    <x v="4"/>
    <s v="Kimberley Clark"/>
    <s v="|61/01/62|"/>
    <n v="360"/>
    <n v="4.66"/>
    <n v="5.24"/>
  </r>
  <r>
    <x v="0"/>
    <s v="Convenience stores"/>
    <x v="4"/>
    <s v="Kimberley Clark"/>
    <s v="|61/01/63|"/>
    <n v="720"/>
    <n v="4.18"/>
    <n v="5.14"/>
  </r>
  <r>
    <x v="0"/>
    <s v="Convenience stores"/>
    <x v="4"/>
    <s v="Kimberley Clark"/>
    <s v="|61/01/64|"/>
    <n v="600"/>
    <n v="4.6900000000000004"/>
    <n v="5.13"/>
  </r>
  <r>
    <x v="0"/>
    <s v="Convenience stores"/>
    <x v="4"/>
    <s v="Kimberley Clark"/>
    <s v="|61/01/65|"/>
    <n v="264"/>
    <n v="4.37"/>
    <n v="5.27"/>
  </r>
  <r>
    <x v="0"/>
    <s v="Convenience stores"/>
    <x v="4"/>
    <s v="Kimberley Clark"/>
    <s v="|61/01/66|"/>
    <n v="564"/>
    <n v="4.92"/>
    <n v="5.33"/>
  </r>
  <r>
    <x v="0"/>
    <s v="Convenience stores"/>
    <x v="4"/>
    <s v="Kimberley Clark"/>
    <s v="|61/01/67|"/>
    <n v="720"/>
    <n v="4.54"/>
    <n v="5.05"/>
  </r>
  <r>
    <x v="0"/>
    <s v="Convenience stores"/>
    <x v="4"/>
    <s v="Kimberley Clark"/>
    <s v="|61/01/68|"/>
    <n v="444"/>
    <n v="4.91"/>
    <n v="5.33"/>
  </r>
  <r>
    <x v="0"/>
    <s v="Convenience stores"/>
    <x v="4"/>
    <s v="Kimberley Clark"/>
    <s v="|61/01/69|"/>
    <n v="636"/>
    <n v="4.18"/>
    <n v="5.21"/>
  </r>
  <r>
    <x v="0"/>
    <s v="Convenience stores"/>
    <x v="4"/>
    <s v="Kimberley Clark"/>
    <s v="|61/01/70|"/>
    <n v="456"/>
    <n v="4.29"/>
    <n v="5.1100000000000003"/>
  </r>
  <r>
    <x v="0"/>
    <s v="Convenience stores"/>
    <x v="4"/>
    <s v="Kimberley Clark"/>
    <s v="|61/01/71|"/>
    <n v="540"/>
    <n v="4.55"/>
    <n v="5.36"/>
  </r>
  <r>
    <x v="0"/>
    <s v="Convenience stores"/>
    <x v="4"/>
    <s v="Kimberley Clark"/>
    <s v="|61/01/72*|"/>
    <n v="672"/>
    <n v="4.33"/>
    <n v="5.12"/>
  </r>
  <r>
    <x v="0"/>
    <s v="Convenience stores"/>
    <x v="3"/>
    <s v="Salvadori"/>
    <s v="|26/02/01|"/>
    <n v="144"/>
    <n v="1.1599999999999999"/>
    <n v="1.31"/>
  </r>
  <r>
    <x v="0"/>
    <s v="Convenience stores"/>
    <x v="3"/>
    <s v="Salvadori"/>
    <s v="|26/02/02|"/>
    <n v="84"/>
    <n v="1.1499999999999999"/>
    <n v="1.21"/>
  </r>
  <r>
    <x v="0"/>
    <s v="Convenience stores"/>
    <x v="3"/>
    <s v="Salvadori"/>
    <s v="|26/02/03|"/>
    <n v="96"/>
    <n v="1"/>
    <n v="1.21"/>
  </r>
  <r>
    <x v="0"/>
    <s v="Convenience stores"/>
    <x v="3"/>
    <s v="Salvadori"/>
    <s v="|26/02/04|"/>
    <n v="156"/>
    <n v="1.01"/>
    <n v="1.4"/>
  </r>
  <r>
    <x v="0"/>
    <s v="Convenience stores"/>
    <x v="3"/>
    <s v="Salvadori"/>
    <s v="|26/02/05|"/>
    <n v="96"/>
    <n v="1.1100000000000001"/>
    <n v="1.38"/>
  </r>
  <r>
    <x v="0"/>
    <s v="Convenience stores"/>
    <x v="3"/>
    <s v="Salvadori"/>
    <s v="|26/02/06|"/>
    <n v="168"/>
    <n v="1.1599999999999999"/>
    <n v="1.29"/>
  </r>
  <r>
    <x v="0"/>
    <s v="Convenience stores"/>
    <x v="3"/>
    <s v="Salvadori"/>
    <s v="|26/02/07|"/>
    <n v="96"/>
    <n v="1.1100000000000001"/>
    <n v="1.31"/>
  </r>
  <r>
    <x v="0"/>
    <s v="Convenience stores"/>
    <x v="3"/>
    <s v="Salvadori"/>
    <s v="|26/02/08|"/>
    <n v="96"/>
    <n v="1.2"/>
    <n v="1.4"/>
  </r>
  <r>
    <x v="0"/>
    <s v="Convenience stores"/>
    <x v="3"/>
    <s v="Salvadori"/>
    <s v="|26/02/09|"/>
    <n v="108"/>
    <n v="1.06"/>
    <n v="1.25"/>
  </r>
  <r>
    <x v="0"/>
    <s v="Convenience stores"/>
    <x v="3"/>
    <s v="Salvadori"/>
    <s v="|26/02/10|"/>
    <n v="72"/>
    <n v="1.19"/>
    <n v="1.2"/>
  </r>
  <r>
    <x v="0"/>
    <s v="Convenience stores"/>
    <x v="3"/>
    <s v="Salvadori"/>
    <s v="|26/02/11|"/>
    <n v="84"/>
    <n v="1"/>
    <n v="1.29"/>
  </r>
  <r>
    <x v="0"/>
    <s v="Convenience stores"/>
    <x v="3"/>
    <s v="Salvadori"/>
    <s v="|26/02/12|"/>
    <n v="48"/>
    <n v="1"/>
    <n v="1.4"/>
  </r>
  <r>
    <x v="0"/>
    <s v="Convenience stores"/>
    <x v="3"/>
    <s v="Salvadori"/>
    <s v="|26/02/13|"/>
    <n v="144"/>
    <n v="1.08"/>
    <n v="1.21"/>
  </r>
  <r>
    <x v="0"/>
    <s v="Convenience stores"/>
    <x v="3"/>
    <s v="Salvadori"/>
    <s v="|26/02/14|"/>
    <n v="120"/>
    <n v="1.1200000000000001"/>
    <n v="1.26"/>
  </r>
  <r>
    <x v="0"/>
    <s v="Convenience stores"/>
    <x v="3"/>
    <s v="Salvadori"/>
    <s v="|26/02/15|"/>
    <n v="168"/>
    <n v="1.01"/>
    <n v="1.3"/>
  </r>
  <r>
    <x v="0"/>
    <s v="Convenience stores"/>
    <x v="3"/>
    <s v="Salvadori"/>
    <s v="|26/02/16|"/>
    <n v="48"/>
    <n v="1.1499999999999999"/>
    <n v="1.27"/>
  </r>
  <r>
    <x v="0"/>
    <s v="Convenience stores"/>
    <x v="3"/>
    <s v="Salvadori"/>
    <s v="|26/02/17|"/>
    <n v="144"/>
    <n v="1.06"/>
    <n v="1.21"/>
  </r>
  <r>
    <x v="0"/>
    <s v="Convenience stores"/>
    <x v="3"/>
    <s v="Salvadori"/>
    <s v="|26/02/18|"/>
    <n v="96"/>
    <n v="1.1100000000000001"/>
    <n v="1.27"/>
  </r>
  <r>
    <x v="0"/>
    <s v="Convenience stores"/>
    <x v="3"/>
    <s v="Salvadori"/>
    <s v="|26/02/19|"/>
    <n v="132"/>
    <n v="1.18"/>
    <n v="1.26"/>
  </r>
  <r>
    <x v="0"/>
    <s v="Convenience stores"/>
    <x v="3"/>
    <s v="Salvadori"/>
    <s v="|26/02/20|"/>
    <n v="84"/>
    <n v="1.03"/>
    <n v="1.33"/>
  </r>
  <r>
    <x v="0"/>
    <s v="Convenience stores"/>
    <x v="3"/>
    <s v="Salvadori"/>
    <s v="|26/02/21|"/>
    <n v="168"/>
    <n v="1.1499999999999999"/>
    <n v="1.39"/>
  </r>
  <r>
    <x v="0"/>
    <s v="Convenience stores"/>
    <x v="3"/>
    <s v="Salvadori"/>
    <s v="|26/02/22|"/>
    <n v="168"/>
    <n v="1.1000000000000001"/>
    <n v="1.27"/>
  </r>
  <r>
    <x v="0"/>
    <s v="Convenience stores"/>
    <x v="3"/>
    <s v="Salvadori"/>
    <s v="|26/02/23|"/>
    <n v="84"/>
    <n v="1.1200000000000001"/>
    <n v="1.34"/>
  </r>
  <r>
    <x v="0"/>
    <s v="Convenience stores"/>
    <x v="3"/>
    <s v="Salvadori"/>
    <s v="|26/02/24|"/>
    <n v="144"/>
    <n v="1.1599999999999999"/>
    <n v="1.23"/>
  </r>
  <r>
    <x v="0"/>
    <s v="Convenience stores"/>
    <x v="3"/>
    <s v="Salvadori"/>
    <s v="|26/02/25|"/>
    <n v="168"/>
    <n v="1"/>
    <n v="1.36"/>
  </r>
  <r>
    <x v="0"/>
    <s v="Convenience stores"/>
    <x v="3"/>
    <s v="Salvadori"/>
    <s v="|26/02/26|"/>
    <n v="144"/>
    <n v="1.18"/>
    <n v="1.37"/>
  </r>
  <r>
    <x v="0"/>
    <s v="Convenience stores"/>
    <x v="3"/>
    <s v="Salvadori"/>
    <s v="|26/02/27|"/>
    <n v="168"/>
    <n v="1.03"/>
    <n v="1.24"/>
  </r>
  <r>
    <x v="0"/>
    <s v="Convenience stores"/>
    <x v="3"/>
    <s v="Salvadori"/>
    <s v="|26/02/28|"/>
    <n v="84"/>
    <n v="1.1100000000000001"/>
    <n v="1.2"/>
  </r>
  <r>
    <x v="0"/>
    <s v="Convenience stores"/>
    <x v="3"/>
    <s v="Salvadori"/>
    <s v="|26/02/29|"/>
    <n v="96"/>
    <n v="1.04"/>
    <n v="1.4"/>
  </r>
  <r>
    <x v="0"/>
    <s v="Convenience stores"/>
    <x v="3"/>
    <s v="Salvadori"/>
    <s v="|26/02/30|"/>
    <n v="96"/>
    <n v="1.08"/>
    <n v="1.21"/>
  </r>
  <r>
    <x v="0"/>
    <s v="Convenience stores"/>
    <x v="3"/>
    <s v="Salvadori"/>
    <s v="|26/02/31|"/>
    <n v="168"/>
    <n v="1.1399999999999999"/>
    <n v="1.29"/>
  </r>
  <r>
    <x v="0"/>
    <s v="Convenience stores"/>
    <x v="3"/>
    <s v="Salvadori"/>
    <s v="|26/02/32|"/>
    <n v="96"/>
    <n v="1.06"/>
    <n v="1.23"/>
  </r>
  <r>
    <x v="0"/>
    <s v="Convenience stores"/>
    <x v="3"/>
    <s v="Salvadori"/>
    <s v="|26/02/33|"/>
    <n v="60"/>
    <n v="1.1399999999999999"/>
    <n v="1.26"/>
  </r>
  <r>
    <x v="0"/>
    <s v="Convenience stores"/>
    <x v="3"/>
    <s v="Salvadori"/>
    <s v="|26/02/50|"/>
    <n v="156"/>
    <n v="1.19"/>
    <n v="1.27"/>
  </r>
  <r>
    <x v="0"/>
    <s v="Convenience stores"/>
    <x v="3"/>
    <s v="Salvadori"/>
    <s v="|26/02/51|"/>
    <n v="108"/>
    <n v="1.02"/>
    <n v="1.27"/>
  </r>
  <r>
    <x v="0"/>
    <s v="Convenience stores"/>
    <x v="3"/>
    <s v="Salvadori"/>
    <s v="|26/02/52|"/>
    <n v="60"/>
    <n v="1.2"/>
    <n v="1.2"/>
  </r>
  <r>
    <x v="0"/>
    <s v="Convenience stores"/>
    <x v="3"/>
    <s v="Salvadori"/>
    <s v="|26/02/53|"/>
    <n v="120"/>
    <n v="1.0900000000000001"/>
    <n v="1.34"/>
  </r>
  <r>
    <x v="0"/>
    <s v="Convenience stores"/>
    <x v="3"/>
    <s v="Salvadori"/>
    <s v="|26/02/54|"/>
    <n v="48"/>
    <n v="1.1000000000000001"/>
    <n v="1.27"/>
  </r>
  <r>
    <x v="0"/>
    <s v="Convenience stores"/>
    <x v="3"/>
    <s v="Salvadori"/>
    <s v="|26/02/55|"/>
    <n v="96"/>
    <n v="1.2"/>
    <n v="1.22"/>
  </r>
  <r>
    <x v="0"/>
    <s v="Convenience stores"/>
    <x v="3"/>
    <s v="Salvadori"/>
    <s v="|26/02/56|"/>
    <n v="96"/>
    <n v="1.01"/>
    <n v="1.28"/>
  </r>
  <r>
    <x v="0"/>
    <s v="Convenience stores"/>
    <x v="3"/>
    <s v="Salvadori"/>
    <s v="|26/02/57|"/>
    <n v="120"/>
    <n v="1.06"/>
    <n v="1.26"/>
  </r>
  <r>
    <x v="0"/>
    <s v="Convenience stores"/>
    <x v="3"/>
    <s v="Salvadori"/>
    <s v="|26/02/58|"/>
    <n v="156"/>
    <n v="1.1599999999999999"/>
    <n v="1.26"/>
  </r>
  <r>
    <x v="0"/>
    <s v="Convenience stores"/>
    <x v="3"/>
    <s v="Salvadori"/>
    <s v="|26/02/59|"/>
    <n v="96"/>
    <n v="1.1499999999999999"/>
    <n v="1.25"/>
  </r>
  <r>
    <x v="0"/>
    <s v="Convenience stores"/>
    <x v="3"/>
    <s v="Salvadori"/>
    <s v="|26/02/60|"/>
    <n v="120"/>
    <n v="1"/>
    <n v="1.29"/>
  </r>
  <r>
    <x v="0"/>
    <s v="Convenience stores"/>
    <x v="3"/>
    <s v="Salvadori"/>
    <s v="|26/02/61|"/>
    <n v="60"/>
    <n v="1.2"/>
    <n v="1.32"/>
  </r>
  <r>
    <x v="0"/>
    <s v="Convenience stores"/>
    <x v="3"/>
    <s v="Salvadori"/>
    <s v="|26/02/62|"/>
    <n v="48"/>
    <n v="1"/>
    <n v="1.36"/>
  </r>
  <r>
    <x v="0"/>
    <s v="Convenience stores"/>
    <x v="3"/>
    <s v="Salvadori"/>
    <s v="|26/02/63|"/>
    <n v="108"/>
    <n v="1.06"/>
    <n v="1.31"/>
  </r>
  <r>
    <x v="0"/>
    <s v="Convenience stores"/>
    <x v="3"/>
    <s v="Salvadori"/>
    <s v="|26/02/64|"/>
    <n v="108"/>
    <n v="1.1000000000000001"/>
    <n v="1.21"/>
  </r>
  <r>
    <x v="0"/>
    <s v="Convenience stores"/>
    <x v="3"/>
    <s v="Salvadori"/>
    <s v="|26/02/65|"/>
    <n v="48"/>
    <n v="1.04"/>
    <n v="1.38"/>
  </r>
  <r>
    <x v="0"/>
    <s v="Convenience stores"/>
    <x v="3"/>
    <s v="Salvadori"/>
    <s v="|26/02/66|"/>
    <n v="60"/>
    <n v="1.1399999999999999"/>
    <n v="1.38"/>
  </r>
  <r>
    <x v="0"/>
    <s v="Convenience stores"/>
    <x v="3"/>
    <s v="Salvadori"/>
    <s v="|26/02/67|"/>
    <n v="156"/>
    <n v="1.1499999999999999"/>
    <n v="1.26"/>
  </r>
  <r>
    <x v="0"/>
    <s v="Convenience stores"/>
    <x v="3"/>
    <s v="Salvadori"/>
    <s v="|26/02/70|"/>
    <n v="84"/>
    <n v="1.1399999999999999"/>
    <n v="1.21"/>
  </r>
  <r>
    <x v="0"/>
    <s v="Convenience stores"/>
    <x v="3"/>
    <s v="Salvadori"/>
    <s v="|26/02/71|"/>
    <n v="72"/>
    <n v="1.0900000000000001"/>
    <n v="1.28"/>
  </r>
  <r>
    <x v="0"/>
    <s v="Convenience stores"/>
    <x v="3"/>
    <s v="Salvadori"/>
    <s v="|26/02/72|"/>
    <n v="132"/>
    <n v="1.1299999999999999"/>
    <n v="1.3"/>
  </r>
  <r>
    <x v="0"/>
    <s v="Convenience stores"/>
    <x v="3"/>
    <s v="Salvadori"/>
    <s v="|26/02/73|"/>
    <n v="144"/>
    <n v="1.1100000000000001"/>
    <n v="1.4"/>
  </r>
  <r>
    <x v="0"/>
    <s v="Convenience stores"/>
    <x v="3"/>
    <s v="Salvadori"/>
    <s v="|26/02/74|"/>
    <n v="156"/>
    <n v="1.1399999999999999"/>
    <n v="1.23"/>
  </r>
  <r>
    <x v="0"/>
    <s v="Convenience stores"/>
    <x v="3"/>
    <s v="Salvadori"/>
    <s v="|26/02/75|"/>
    <n v="168"/>
    <n v="1.02"/>
    <n v="1.29"/>
  </r>
  <r>
    <x v="0"/>
    <s v="Convenience stores"/>
    <x v="3"/>
    <s v="Salvadori"/>
    <s v="|26/02/98|"/>
    <n v="156"/>
    <n v="1.19"/>
    <n v="1.23"/>
  </r>
  <r>
    <x v="0"/>
    <s v="Convenience stores"/>
    <x v="3"/>
    <s v="Salvadori"/>
    <s v="|26/02/99|"/>
    <n v="108"/>
    <n v="1.04"/>
    <n v="1.36"/>
  </r>
  <r>
    <x v="0"/>
    <s v="Convenience stores"/>
    <x v="3"/>
    <s v="Salvadori"/>
    <s v="|26/03/01|"/>
    <n v="168"/>
    <n v="1.2"/>
    <n v="1.26"/>
  </r>
  <r>
    <x v="0"/>
    <s v="Convenience stores"/>
    <x v="3"/>
    <s v="Salvadori"/>
    <s v="|26/03/02|"/>
    <n v="84"/>
    <n v="1.07"/>
    <n v="1.22"/>
  </r>
  <r>
    <x v="0"/>
    <s v="Convenience stores"/>
    <x v="3"/>
    <s v="Salvadori"/>
    <s v="|26/03/03|"/>
    <n v="120"/>
    <n v="1.04"/>
    <n v="1.34"/>
  </r>
  <r>
    <x v="0"/>
    <s v="Convenience stores"/>
    <x v="3"/>
    <s v="Salvadori"/>
    <s v="|26/03/04|"/>
    <n v="48"/>
    <n v="1.1499999999999999"/>
    <n v="1.28"/>
  </r>
  <r>
    <x v="0"/>
    <s v="Convenience stores"/>
    <x v="3"/>
    <s v="Salvadori"/>
    <s v="|26/03/05|"/>
    <n v="144"/>
    <n v="1.07"/>
    <n v="1.26"/>
  </r>
  <r>
    <x v="0"/>
    <s v="Convenience stores"/>
    <x v="3"/>
    <s v="Salvadori"/>
    <s v="|26/99/91|"/>
    <n v="72"/>
    <n v="1.07"/>
    <n v="1.29"/>
  </r>
  <r>
    <x v="0"/>
    <s v="Convenience stores"/>
    <x v="3"/>
    <s v="Salvadori"/>
    <s v="|26/99/92|"/>
    <n v="156"/>
    <n v="1.06"/>
    <n v="1.22"/>
  </r>
  <r>
    <x v="0"/>
    <s v="Convenience stores"/>
    <x v="3"/>
    <s v="Salvadori"/>
    <s v="|26/99/93|"/>
    <n v="96"/>
    <n v="1.2"/>
    <n v="1.21"/>
  </r>
  <r>
    <x v="0"/>
    <s v="Convenience stores"/>
    <x v="3"/>
    <s v="Salvadori"/>
    <s v="|26/99/94|"/>
    <n v="132"/>
    <n v="1.02"/>
    <n v="1.24"/>
  </r>
  <r>
    <x v="0"/>
    <s v="Convenience stores"/>
    <x v="3"/>
    <s v="Salvadori"/>
    <s v="|26/99/95|"/>
    <n v="108"/>
    <n v="1.1599999999999999"/>
    <n v="1.25"/>
  </r>
  <r>
    <x v="0"/>
    <s v="Convenience stores"/>
    <x v="3"/>
    <s v="Salvadori"/>
    <s v="|26/99/96|"/>
    <n v="60"/>
    <n v="1.17"/>
    <n v="1.26"/>
  </r>
  <r>
    <x v="0"/>
    <s v="Convenience stores"/>
    <x v="3"/>
    <s v="Salvadori"/>
    <s v="|26/99/97|"/>
    <n v="108"/>
    <n v="1.03"/>
    <n v="1.35"/>
  </r>
  <r>
    <x v="0"/>
    <s v="Convenience stores"/>
    <x v="3"/>
    <s v="Salvadori"/>
    <s v="|73/01/01|"/>
    <n v="144"/>
    <n v="1.1100000000000001"/>
    <n v="1.28"/>
  </r>
  <r>
    <x v="0"/>
    <s v="Convenience stores"/>
    <x v="6"/>
    <s v="Momo figli"/>
    <s v="|67/01/01|"/>
    <n v="2388"/>
    <n v="2.83"/>
    <n v="3.57"/>
  </r>
  <r>
    <x v="0"/>
    <s v="Convenience stores"/>
    <x v="6"/>
    <s v="Momo figli"/>
    <s v="|67/01/02|"/>
    <n v="2688"/>
    <n v="2.78"/>
    <n v="3.72"/>
  </r>
  <r>
    <x v="0"/>
    <s v="Convenience stores"/>
    <x v="6"/>
    <s v="Momo figli"/>
    <s v="|67/01/03|"/>
    <n v="1248"/>
    <n v="2.98"/>
    <n v="3.36"/>
  </r>
  <r>
    <x v="0"/>
    <s v="Convenience stores"/>
    <x v="6"/>
    <s v="Momo figli"/>
    <s v="|67/01/04|"/>
    <n v="2196"/>
    <n v="2.2999999999999998"/>
    <n v="3.64"/>
  </r>
  <r>
    <x v="0"/>
    <s v="Convenience stores"/>
    <x v="6"/>
    <s v="Momo figli"/>
    <s v="|67/01/05|"/>
    <n v="1740"/>
    <n v="2.69"/>
    <n v="3.57"/>
  </r>
  <r>
    <x v="0"/>
    <s v="Convenience stores"/>
    <x v="6"/>
    <s v="Momo figli"/>
    <s v="|67/01/06|"/>
    <n v="1212"/>
    <n v="2.52"/>
    <n v="3.84"/>
  </r>
  <r>
    <x v="0"/>
    <s v="Convenience stores"/>
    <x v="6"/>
    <s v="Momo figli"/>
    <s v="|67/01/07|"/>
    <n v="2136"/>
    <n v="2.65"/>
    <n v="3.68"/>
  </r>
  <r>
    <x v="0"/>
    <s v="Convenience stores"/>
    <x v="6"/>
    <s v="Momo figli"/>
    <s v="|67/01/08|"/>
    <n v="2460"/>
    <n v="2.69"/>
    <n v="3.47"/>
  </r>
  <r>
    <x v="0"/>
    <s v="Convenience stores"/>
    <x v="6"/>
    <s v="Momo figli"/>
    <s v="|67/01/09|"/>
    <n v="2244"/>
    <n v="2.97"/>
    <n v="3.47"/>
  </r>
  <r>
    <x v="0"/>
    <s v="Convenience stores"/>
    <x v="1"/>
    <s v="Serwis"/>
    <s v="|99/02/01|"/>
    <n v="624"/>
    <n v="6.6533333333333333"/>
    <n v="7.4066666666666663"/>
  </r>
  <r>
    <x v="0"/>
    <s v="Convenience stores"/>
    <x v="1"/>
    <s v="Serwis"/>
    <s v="|99/02/02|"/>
    <n v="444"/>
    <n v="6.5"/>
    <n v="7.34"/>
  </r>
  <r>
    <x v="0"/>
    <s v="Convenience stores"/>
    <x v="1"/>
    <s v="Serwis"/>
    <s v="|99/02/03|"/>
    <n v="624"/>
    <n v="5.86"/>
    <n v="7.3866666666666667"/>
  </r>
  <r>
    <x v="0"/>
    <s v="Convenience stores"/>
    <x v="4"/>
    <s v="St.Dalfour"/>
    <s v="|24/28/01|"/>
    <n v="276"/>
    <n v="4.83"/>
    <n v="5.4"/>
  </r>
  <r>
    <x v="0"/>
    <s v="Convenience stores"/>
    <x v="4"/>
    <s v="St.Dalfour"/>
    <s v="|24/28/02|"/>
    <n v="504"/>
    <n v="4.6500000000000004"/>
    <n v="5.1100000000000003"/>
  </r>
  <r>
    <x v="0"/>
    <s v="Convenience stores"/>
    <x v="4"/>
    <s v="St.Dalfour"/>
    <s v="|24/28/03|"/>
    <n v="672"/>
    <n v="4.6900000000000004"/>
    <n v="5.23"/>
  </r>
  <r>
    <x v="0"/>
    <s v="Convenience stores"/>
    <x v="4"/>
    <s v="St.Dalfour"/>
    <s v="|24/28/04|"/>
    <n v="492"/>
    <n v="4.4400000000000004"/>
    <n v="5.01"/>
  </r>
  <r>
    <x v="0"/>
    <s v="Convenience stores"/>
    <x v="4"/>
    <s v="St.Dalfour"/>
    <s v="|24/28/05|"/>
    <n v="660"/>
    <n v="4.3499999999999996"/>
    <n v="5.07"/>
  </r>
  <r>
    <x v="0"/>
    <s v="Convenience stores"/>
    <x v="4"/>
    <s v="St.Dalfour"/>
    <s v="|24/28/06|"/>
    <n v="612"/>
    <n v="4.88"/>
    <n v="5.2"/>
  </r>
  <r>
    <x v="0"/>
    <s v="Convenience stores"/>
    <x v="4"/>
    <s v="St.Dalfour"/>
    <s v="|24/28/07|"/>
    <n v="264"/>
    <n v="4.26"/>
    <n v="5.01"/>
  </r>
  <r>
    <x v="0"/>
    <s v="Convenience stores"/>
    <x v="10"/>
    <s v="St.Dalfour"/>
    <s v="|120/01/13|"/>
    <n v="528"/>
    <n v="4.74"/>
    <n v="6.4"/>
  </r>
  <r>
    <x v="0"/>
    <s v="Convenience stores"/>
    <x v="10"/>
    <s v="St.Dalfour"/>
    <s v="|24/01/01|"/>
    <n v="540"/>
    <n v="3.35"/>
    <n v="5.46"/>
  </r>
  <r>
    <x v="0"/>
    <s v="Convenience stores"/>
    <x v="10"/>
    <s v="St.Dalfour"/>
    <s v="|24/01/02|"/>
    <n v="504"/>
    <n v="3.78"/>
    <n v="7"/>
  </r>
  <r>
    <x v="0"/>
    <s v="Convenience stores"/>
    <x v="10"/>
    <s v="St.Dalfour"/>
    <s v="|24/01/03|"/>
    <n v="396"/>
    <n v="4.7699999999999996"/>
    <n v="5.25"/>
  </r>
  <r>
    <x v="0"/>
    <s v="Convenience stores"/>
    <x v="10"/>
    <s v="St.Dalfour"/>
    <s v="|24/01/04|"/>
    <n v="396"/>
    <n v="3.04"/>
    <n v="5.65"/>
  </r>
  <r>
    <x v="0"/>
    <s v="Convenience stores"/>
    <x v="10"/>
    <s v="St.Dalfour"/>
    <s v="|24/01/05|"/>
    <n v="516"/>
    <n v="4.9000000000000004"/>
    <n v="6.75"/>
  </r>
  <r>
    <x v="0"/>
    <s v="Convenience stores"/>
    <x v="10"/>
    <s v="St.Dalfour"/>
    <s v="|24/01/06|"/>
    <n v="480"/>
    <n v="4.9800000000000004"/>
    <n v="5.44"/>
  </r>
  <r>
    <x v="0"/>
    <s v="Convenience stores"/>
    <x v="10"/>
    <s v="St.Dalfour"/>
    <s v="|24/01/07|"/>
    <n v="540"/>
    <n v="3.91"/>
    <n v="6.7"/>
  </r>
  <r>
    <x v="0"/>
    <s v="Convenience stores"/>
    <x v="10"/>
    <s v="St.Dalfour"/>
    <s v="|24/01/08|"/>
    <n v="432"/>
    <n v="4.53"/>
    <n v="5.54"/>
  </r>
  <r>
    <x v="0"/>
    <s v="Convenience stores"/>
    <x v="10"/>
    <s v="St.Dalfour"/>
    <s v="|24/01/09|"/>
    <n v="480"/>
    <n v="3.24"/>
    <n v="6.42"/>
  </r>
  <r>
    <x v="0"/>
    <s v="Convenience stores"/>
    <x v="10"/>
    <s v="St.Dalfour"/>
    <s v="|24/01/30|"/>
    <n v="456"/>
    <n v="4.0199999999999996"/>
    <n v="6.07"/>
  </r>
  <r>
    <x v="0"/>
    <s v="Convenience stores"/>
    <x v="10"/>
    <s v="St.Dalfour"/>
    <s v="|24/01/31|"/>
    <n v="468"/>
    <n v="3.12"/>
    <n v="5.0999999999999996"/>
  </r>
  <r>
    <x v="0"/>
    <s v="Convenience stores"/>
    <x v="10"/>
    <s v="St.Dalfour"/>
    <s v="|24/01/32|"/>
    <n v="516"/>
    <n v="4.75"/>
    <n v="5.15"/>
  </r>
  <r>
    <x v="0"/>
    <s v="Convenience stores"/>
    <x v="10"/>
    <s v="St.Dalfour"/>
    <s v="|24/01/33|"/>
    <n v="504"/>
    <n v="4.5"/>
    <n v="6.58"/>
  </r>
  <r>
    <x v="0"/>
    <s v="Convenience stores"/>
    <x v="10"/>
    <s v="St.Dalfour"/>
    <s v="|24/01/34|"/>
    <n v="528"/>
    <n v="3.74"/>
    <n v="5.22"/>
  </r>
  <r>
    <x v="0"/>
    <s v="Convenience stores"/>
    <x v="10"/>
    <s v="St.Dalfour"/>
    <s v="|24/01/35|"/>
    <n v="516"/>
    <n v="3.73"/>
    <n v="6.7"/>
  </r>
  <r>
    <x v="0"/>
    <s v="Convenience stores"/>
    <x v="10"/>
    <s v="St.Dalfour"/>
    <s v="|24/01/36|"/>
    <n v="444"/>
    <n v="4.3"/>
    <n v="6.45"/>
  </r>
  <r>
    <x v="0"/>
    <s v="Convenience stores"/>
    <x v="10"/>
    <s v="St.Dalfour"/>
    <s v="|24/01/37|"/>
    <n v="420"/>
    <n v="3.71"/>
    <n v="5.66"/>
  </r>
  <r>
    <x v="0"/>
    <s v="Convenience stores"/>
    <x v="10"/>
    <s v="St.Dalfour"/>
    <s v="|24/01/38|"/>
    <n v="360"/>
    <n v="4.59"/>
    <n v="6.82"/>
  </r>
  <r>
    <x v="0"/>
    <s v="Convenience stores"/>
    <x v="10"/>
    <s v="St.Dalfour"/>
    <s v="|24/24/01|"/>
    <n v="456"/>
    <n v="4.66"/>
    <n v="5.41"/>
  </r>
  <r>
    <x v="0"/>
    <s v="Convenience stores"/>
    <x v="10"/>
    <s v="St.Dalfour"/>
    <s v="|24/24/02|"/>
    <n v="456"/>
    <n v="4.3600000000000003"/>
    <n v="5.27"/>
  </r>
  <r>
    <x v="0"/>
    <s v="Convenience stores"/>
    <x v="10"/>
    <s v="St.Dalfour"/>
    <s v="|24/24/03|"/>
    <n v="372"/>
    <n v="4.3600000000000003"/>
    <n v="5.79"/>
  </r>
  <r>
    <x v="0"/>
    <s v="Convenience stores"/>
    <x v="10"/>
    <s v="St.Dalfour"/>
    <s v="|24/24/04|"/>
    <n v="540"/>
    <n v="3.28"/>
    <n v="5.66"/>
  </r>
  <r>
    <x v="0"/>
    <s v="Convenience stores"/>
    <x v="10"/>
    <s v="St.Dalfour"/>
    <s v="|24/24/05|"/>
    <n v="504"/>
    <n v="3.76"/>
    <n v="6.62"/>
  </r>
  <r>
    <x v="0"/>
    <s v="Convenience stores"/>
    <x v="10"/>
    <s v="St.Dalfour"/>
    <s v="|24/24/06|"/>
    <n v="528"/>
    <n v="4.68"/>
    <n v="6.07"/>
  </r>
  <r>
    <x v="0"/>
    <s v="Convenience stores"/>
    <x v="10"/>
    <s v="St.Dalfour"/>
    <s v="|24/24/07|"/>
    <n v="540"/>
    <n v="4.0599999999999996"/>
    <n v="5.3"/>
  </r>
  <r>
    <x v="0"/>
    <s v="Convenience stores"/>
    <x v="10"/>
    <s v="St.Dalfour"/>
    <s v="|24/24/08|"/>
    <n v="504"/>
    <n v="3.44"/>
    <n v="5.85"/>
  </r>
  <r>
    <x v="0"/>
    <s v="Convenience stores"/>
    <x v="10"/>
    <s v="St.Dalfour"/>
    <s v="|24/24/09|"/>
    <n v="468"/>
    <n v="3.59"/>
    <n v="5.17"/>
  </r>
  <r>
    <x v="0"/>
    <s v="Convenience stores"/>
    <x v="10"/>
    <s v="St.Dalfour"/>
    <s v="|24/24/10|"/>
    <n v="408"/>
    <n v="4.67"/>
    <n v="6.18"/>
  </r>
  <r>
    <x v="0"/>
    <s v="Convenience stores"/>
    <x v="10"/>
    <s v="St.Dalfour"/>
    <s v="|24/24/11|"/>
    <n v="540"/>
    <n v="3.17"/>
    <n v="6.95"/>
  </r>
  <r>
    <x v="0"/>
    <s v="Convenience stores"/>
    <x v="10"/>
    <s v="St.Dalfour"/>
    <s v="|24/24/12|"/>
    <n v="456"/>
    <n v="4.21"/>
    <n v="5.89"/>
  </r>
  <r>
    <x v="0"/>
    <s v="Convenience stores"/>
    <x v="10"/>
    <s v="St.Dalfour"/>
    <s v="|24/24/13|"/>
    <n v="384"/>
    <n v="4.59"/>
    <n v="6.32"/>
  </r>
  <r>
    <x v="0"/>
    <s v="Convenience stores"/>
    <x v="10"/>
    <s v="St.Dalfour"/>
    <s v="|24/24/14|"/>
    <n v="516"/>
    <n v="4.66"/>
    <n v="6.3"/>
  </r>
  <r>
    <x v="0"/>
    <s v="Convenience stores"/>
    <x v="10"/>
    <s v="St.Dalfour"/>
    <s v="|24/24/15|"/>
    <n v="396"/>
    <n v="3.28"/>
    <n v="5.78"/>
  </r>
  <r>
    <x v="0"/>
    <s v="Convenience stores"/>
    <x v="10"/>
    <s v="St.Dalfour"/>
    <s v="|24/24/16|"/>
    <n v="456"/>
    <n v="3.12"/>
    <n v="6.48"/>
  </r>
  <r>
    <x v="0"/>
    <s v="Convenience stores"/>
    <x v="10"/>
    <s v="St.Dalfour"/>
    <s v="|24/24/17|"/>
    <n v="480"/>
    <n v="4.4000000000000004"/>
    <n v="5.97"/>
  </r>
  <r>
    <x v="0"/>
    <s v="Convenience stores"/>
    <x v="10"/>
    <s v="St.Dalfour"/>
    <s v="|24/24/18|"/>
    <n v="468"/>
    <n v="4.93"/>
    <n v="6.46"/>
  </r>
  <r>
    <x v="0"/>
    <s v="Convenience stores"/>
    <x v="10"/>
    <s v="St.Dalfour"/>
    <s v="|24/24/19|"/>
    <n v="492"/>
    <n v="4.26"/>
    <n v="6.68"/>
  </r>
  <r>
    <x v="0"/>
    <s v="Convenience stores"/>
    <x v="10"/>
    <s v="St.Dalfour"/>
    <s v="|24/24/31|"/>
    <n v="360"/>
    <n v="5"/>
    <n v="6.15"/>
  </r>
  <r>
    <x v="0"/>
    <s v="Convenience stores"/>
    <x v="10"/>
    <s v="St.Dalfour"/>
    <s v="|24/24/32|"/>
    <n v="540"/>
    <n v="4.78"/>
    <n v="6"/>
  </r>
  <r>
    <x v="0"/>
    <s v="Convenience stores"/>
    <x v="10"/>
    <s v="St.Dalfour"/>
    <s v="|24/24/33|"/>
    <n v="444"/>
    <n v="3.7"/>
    <n v="5.6"/>
  </r>
  <r>
    <x v="0"/>
    <s v="Convenience stores"/>
    <x v="10"/>
    <s v="St.Dalfour"/>
    <s v="|24/24/34|"/>
    <n v="468"/>
    <n v="4.09"/>
    <n v="5.78"/>
  </r>
  <r>
    <x v="0"/>
    <s v="Convenience stores"/>
    <x v="10"/>
    <s v="St.Dalfour"/>
    <s v="|24/24/35|"/>
    <n v="528"/>
    <n v="3.87"/>
    <n v="6.11"/>
  </r>
  <r>
    <x v="0"/>
    <s v="Convenience stores"/>
    <x v="10"/>
    <s v="St.Dalfour"/>
    <s v="|24/24/36|"/>
    <n v="372"/>
    <n v="4.08"/>
    <n v="6.86"/>
  </r>
  <r>
    <x v="0"/>
    <s v="Convenience stores"/>
    <x v="10"/>
    <s v="St.Dalfour"/>
    <s v="|24/24/37|"/>
    <n v="492"/>
    <n v="3.41"/>
    <n v="5.88"/>
  </r>
  <r>
    <x v="0"/>
    <s v="Convenience stores"/>
    <x v="10"/>
    <s v="St.Dalfour"/>
    <s v="|24/24/38|"/>
    <n v="468"/>
    <n v="3.62"/>
    <n v="6.71"/>
  </r>
  <r>
    <x v="0"/>
    <s v="Convenience stores"/>
    <x v="10"/>
    <s v="St.Dalfour"/>
    <s v="|24/24/39|"/>
    <n v="372"/>
    <n v="3.48"/>
    <n v="5.91"/>
  </r>
  <r>
    <x v="0"/>
    <s v="Convenience stores"/>
    <x v="10"/>
    <s v="St.Dalfour"/>
    <s v="|24/24/40|"/>
    <n v="432"/>
    <n v="4.5599999999999996"/>
    <n v="5.25"/>
  </r>
  <r>
    <x v="0"/>
    <s v="Convenience stores"/>
    <x v="10"/>
    <s v="St.Dalfour"/>
    <s v="|24/24/41|"/>
    <n v="360"/>
    <n v="3.55"/>
    <n v="5.69"/>
  </r>
  <r>
    <x v="0"/>
    <s v="Convenience stores"/>
    <x v="10"/>
    <s v="St.Dalfour"/>
    <s v="|24/24/42|"/>
    <n v="516"/>
    <n v="3.52"/>
    <n v="6.24"/>
  </r>
  <r>
    <x v="0"/>
    <s v="Convenience stores"/>
    <x v="10"/>
    <s v="St.Dalfour"/>
    <s v="|24/24/43|"/>
    <n v="384"/>
    <n v="3.68"/>
    <n v="6.57"/>
  </r>
  <r>
    <x v="0"/>
    <s v="Convenience stores"/>
    <x v="10"/>
    <s v="St.Dalfour"/>
    <s v="|24/24/44|"/>
    <n v="504"/>
    <n v="3.18"/>
    <n v="6.55"/>
  </r>
  <r>
    <x v="0"/>
    <s v="Convenience stores"/>
    <x v="10"/>
    <s v="St.Dalfour"/>
    <s v="|24/24/45|"/>
    <n v="372"/>
    <n v="3.96"/>
    <n v="6.07"/>
  </r>
  <r>
    <x v="0"/>
    <s v="Convenience stores"/>
    <x v="10"/>
    <s v="St.Dalfour"/>
    <s v="|24/24/50|"/>
    <n v="420"/>
    <n v="4.5199999999999996"/>
    <n v="5.46"/>
  </r>
  <r>
    <x v="0"/>
    <s v="Convenience stores"/>
    <x v="10"/>
    <s v="St.Dalfour"/>
    <s v="|24/25/01|"/>
    <n v="480"/>
    <n v="3.04"/>
    <n v="5.76"/>
  </r>
  <r>
    <x v="0"/>
    <s v="Convenience stores"/>
    <x v="10"/>
    <s v="St.Dalfour"/>
    <s v="|24/25/02|"/>
    <n v="372"/>
    <n v="3.39"/>
    <n v="6.68"/>
  </r>
  <r>
    <x v="0"/>
    <s v="Convenience stores"/>
    <x v="10"/>
    <s v="St.Dalfour"/>
    <s v="|24/26/01|"/>
    <n v="432"/>
    <n v="4.8899999999999997"/>
    <n v="5.62"/>
  </r>
  <r>
    <x v="0"/>
    <s v="Convenience stores"/>
    <x v="10"/>
    <s v="St.Dalfour"/>
    <s v="|24/26/02|"/>
    <n v="444"/>
    <n v="3.87"/>
    <n v="6.04"/>
  </r>
  <r>
    <x v="0"/>
    <s v="Convenience stores"/>
    <x v="10"/>
    <s v="St.Dalfour"/>
    <s v="|24/26/03|"/>
    <n v="360"/>
    <n v="4.28"/>
    <n v="6.59"/>
  </r>
  <r>
    <x v="0"/>
    <s v="Convenience stores"/>
    <x v="10"/>
    <s v="St.Dalfour"/>
    <s v="|24/26/04|"/>
    <n v="444"/>
    <n v="4.5199999999999996"/>
    <n v="5.03"/>
  </r>
  <r>
    <x v="0"/>
    <s v="Convenience stores"/>
    <x v="10"/>
    <s v="St.Dalfour"/>
    <s v="|24/27/01|"/>
    <n v="384"/>
    <n v="4.49"/>
    <n v="6.99"/>
  </r>
  <r>
    <x v="0"/>
    <s v="Convenience stores"/>
    <x v="10"/>
    <s v="St.Dalfour"/>
    <s v="|24/27/02|"/>
    <n v="456"/>
    <n v="4.17"/>
    <n v="5.0599999999999996"/>
  </r>
  <r>
    <x v="0"/>
    <s v="Convenience stores"/>
    <x v="10"/>
    <s v="St.Dalfour"/>
    <s v="|24/27/03|"/>
    <n v="408"/>
    <n v="4.29"/>
    <n v="6.11"/>
  </r>
  <r>
    <x v="0"/>
    <s v="Convenience stores"/>
    <x v="9"/>
    <s v="P&amp;G"/>
    <s v="|128/01/01|"/>
    <n v="852"/>
    <n v="1.56"/>
    <n v="2.09"/>
  </r>
  <r>
    <x v="0"/>
    <s v="Convenience stores"/>
    <x v="9"/>
    <s v="P&amp;G"/>
    <s v="|128/01/02|"/>
    <n v="1080"/>
    <n v="1.99"/>
    <n v="3.29"/>
  </r>
  <r>
    <x v="0"/>
    <s v="Convenience stores"/>
    <x v="9"/>
    <s v="P&amp;G"/>
    <s v="|128/01/03|"/>
    <n v="744"/>
    <n v="1.68"/>
    <n v="3.42"/>
  </r>
  <r>
    <x v="0"/>
    <s v="Convenience stores"/>
    <x v="9"/>
    <s v="P&amp;G"/>
    <s v="|128/01/04|"/>
    <n v="720"/>
    <n v="2.44"/>
    <n v="3.34"/>
  </r>
  <r>
    <x v="0"/>
    <s v="Convenience stores"/>
    <x v="1"/>
    <s v="KBG"/>
    <s v="|117/02/01|"/>
    <n v="552"/>
    <n v="5.746666666666667"/>
    <n v="7.5333333333333332"/>
  </r>
  <r>
    <x v="0"/>
    <s v="Convenience stores"/>
    <x v="1"/>
    <s v="KBG"/>
    <s v="|117/02/02|"/>
    <n v="456"/>
    <n v="6.4733333333333336"/>
    <n v="8.2133333333333329"/>
  </r>
  <r>
    <x v="0"/>
    <s v="Convenience stores"/>
    <x v="1"/>
    <s v="KBG"/>
    <s v="|117/02/03|"/>
    <n v="480"/>
    <n v="5.6"/>
    <n v="7.94"/>
  </r>
  <r>
    <x v="0"/>
    <s v="Convenience stores"/>
    <x v="1"/>
    <s v="KBG"/>
    <s v="|117/02/04|"/>
    <n v="456"/>
    <n v="5.9933333333333332"/>
    <n v="8.6333333333333329"/>
  </r>
  <r>
    <x v="0"/>
    <s v="Convenience stores"/>
    <x v="1"/>
    <s v="KBG"/>
    <s v="|117/02/05|"/>
    <n v="480"/>
    <n v="6.4133333333333331"/>
    <n v="7.74"/>
  </r>
  <r>
    <x v="0"/>
    <s v="Convenience stores"/>
    <x v="1"/>
    <s v="KBG"/>
    <s v="|117/02/06|"/>
    <n v="588"/>
    <n v="5.72"/>
    <n v="7.9666666666666668"/>
  </r>
  <r>
    <x v="0"/>
    <s v="Convenience stores"/>
    <x v="1"/>
    <s v="KBG"/>
    <s v="|117/02/07|"/>
    <n v="444"/>
    <n v="6.54"/>
    <n v="8.6133333333333333"/>
  </r>
  <r>
    <x v="0"/>
    <s v="Convenience stores"/>
    <x v="1"/>
    <s v="KBG"/>
    <s v="|117/02/08|"/>
    <n v="636"/>
    <n v="6.24"/>
    <n v="7.8933333333333335"/>
  </r>
  <r>
    <x v="0"/>
    <s v="Convenience stores"/>
    <x v="1"/>
    <s v="KBG"/>
    <s v="|117/02/12|"/>
    <n v="516"/>
    <n v="6.16"/>
    <n v="8.4933333333333341"/>
  </r>
  <r>
    <x v="0"/>
    <s v="Convenience stores"/>
    <x v="1"/>
    <s v="KBG"/>
    <s v="|117/02/14|"/>
    <n v="564"/>
    <n v="5.5333333333333332"/>
    <n v="7.3866666666666667"/>
  </r>
  <r>
    <x v="0"/>
    <s v="Convenience stores"/>
    <x v="7"/>
    <s v="KBG"/>
    <s v="|117/01/01|"/>
    <n v="1176"/>
    <n v="2.3199999999999998"/>
    <n v="3.33"/>
  </r>
  <r>
    <x v="0"/>
    <s v="Convenience stores"/>
    <x v="7"/>
    <s v="KBG"/>
    <s v="|117/01/02|"/>
    <n v="1056"/>
    <n v="2.2200000000000002"/>
    <n v="3.58"/>
  </r>
  <r>
    <x v="0"/>
    <s v="Convenience stores"/>
    <x v="7"/>
    <s v="KBG"/>
    <s v="|117/01/03|"/>
    <n v="816"/>
    <n v="2.4900000000000002"/>
    <n v="3.25"/>
  </r>
  <r>
    <x v="0"/>
    <s v="Convenience stores"/>
    <x v="7"/>
    <s v="KBG"/>
    <s v="|117/01/04|"/>
    <n v="1188"/>
    <n v="2.2999999999999998"/>
    <n v="3.35"/>
  </r>
  <r>
    <x v="0"/>
    <s v="Convenience stores"/>
    <x v="7"/>
    <s v="KBG"/>
    <s v="|117/01/05|"/>
    <n v="768"/>
    <n v="2.81"/>
    <n v="3.3"/>
  </r>
  <r>
    <x v="0"/>
    <s v="Convenience stores"/>
    <x v="7"/>
    <s v="KBG"/>
    <s v="|117/01/06|"/>
    <n v="756"/>
    <n v="2.44"/>
    <n v="3.77"/>
  </r>
  <r>
    <x v="0"/>
    <s v="Convenience stores"/>
    <x v="7"/>
    <s v="KBG"/>
    <s v="|117/01/07|"/>
    <n v="960"/>
    <n v="2.2799999999999998"/>
    <n v="3.46"/>
  </r>
  <r>
    <x v="0"/>
    <s v="Convenience stores"/>
    <x v="7"/>
    <s v="KBG"/>
    <s v="|117/01/08|"/>
    <n v="780"/>
    <n v="2.68"/>
    <n v="3.57"/>
  </r>
  <r>
    <x v="0"/>
    <s v="Convenience stores"/>
    <x v="7"/>
    <s v="KBG"/>
    <s v="|117/01/09|"/>
    <n v="816"/>
    <n v="2.25"/>
    <n v="3.53"/>
  </r>
  <r>
    <x v="0"/>
    <s v="Convenience stores"/>
    <x v="7"/>
    <s v="KBG"/>
    <s v="|117/01/10|"/>
    <n v="840"/>
    <n v="2.56"/>
    <n v="3.52"/>
  </r>
  <r>
    <x v="0"/>
    <s v="Convenience stores"/>
    <x v="7"/>
    <s v="KBG"/>
    <s v="|117/01/11|"/>
    <n v="924"/>
    <n v="2.73"/>
    <n v="3.38"/>
  </r>
  <r>
    <x v="0"/>
    <s v="Convenience stores"/>
    <x v="7"/>
    <s v="KBG"/>
    <s v="|117/01/12|"/>
    <n v="960"/>
    <n v="2.29"/>
    <n v="3.54"/>
  </r>
  <r>
    <x v="0"/>
    <s v="Convenience stores"/>
    <x v="7"/>
    <s v="KBG"/>
    <s v="|117/01/13|"/>
    <n v="936"/>
    <n v="2.0099999999999998"/>
    <n v="3.37"/>
  </r>
  <r>
    <x v="0"/>
    <s v="Convenience stores"/>
    <x v="7"/>
    <s v="KBG"/>
    <s v="|117/01/14|"/>
    <n v="948"/>
    <n v="2.61"/>
    <n v="3.44"/>
  </r>
  <r>
    <x v="0"/>
    <s v="Convenience stores"/>
    <x v="7"/>
    <s v="KBG"/>
    <s v="|117/01/15|"/>
    <n v="960"/>
    <n v="2.48"/>
    <n v="3.63"/>
  </r>
  <r>
    <x v="0"/>
    <s v="Convenience stores"/>
    <x v="7"/>
    <s v="KBG"/>
    <s v="|117/01/16|"/>
    <n v="636"/>
    <n v="2.37"/>
    <n v="3.27"/>
  </r>
  <r>
    <x v="0"/>
    <s v="Convenience stores"/>
    <x v="7"/>
    <s v="KBG"/>
    <s v="|117/01/17|"/>
    <n v="732"/>
    <n v="2.54"/>
    <n v="3.4"/>
  </r>
  <r>
    <x v="0"/>
    <s v="Convenience stores"/>
    <x v="7"/>
    <s v="KBG"/>
    <s v="|117/01/18|"/>
    <n v="1008"/>
    <n v="2.14"/>
    <n v="3.8"/>
  </r>
  <r>
    <x v="0"/>
    <s v="Convenience stores"/>
    <x v="7"/>
    <s v="KBG"/>
    <s v="|117/01/19|"/>
    <n v="648"/>
    <n v="2.62"/>
    <n v="3.3"/>
  </r>
  <r>
    <x v="0"/>
    <s v="Convenience stores"/>
    <x v="6"/>
    <s v="Cherry dreams"/>
    <s v="|47/01/01|"/>
    <n v="2112"/>
    <n v="2.86"/>
    <n v="3.77"/>
  </r>
  <r>
    <x v="0"/>
    <s v="Convenience stores"/>
    <x v="6"/>
    <s v="Cherry dreams"/>
    <s v="|47/01/02|"/>
    <n v="2616"/>
    <n v="2.56"/>
    <n v="3.61"/>
  </r>
  <r>
    <x v="0"/>
    <s v="Convenience stores"/>
    <x v="6"/>
    <s v="Cherry dreams"/>
    <s v="|47/01/03|"/>
    <n v="1548"/>
    <n v="2.87"/>
    <n v="3.65"/>
  </r>
  <r>
    <x v="0"/>
    <s v="Convenience stores"/>
    <x v="6"/>
    <s v="Cherry dreams"/>
    <s v="|47/01/04|"/>
    <n v="1680"/>
    <n v="2.31"/>
    <n v="3.82"/>
  </r>
  <r>
    <x v="0"/>
    <s v="Convenience stores"/>
    <x v="6"/>
    <s v="Cherry dreams"/>
    <s v="|47/01/05|"/>
    <n v="2316"/>
    <n v="2.5099999999999998"/>
    <n v="3.79"/>
  </r>
  <r>
    <x v="0"/>
    <s v="Convenience stores"/>
    <x v="6"/>
    <s v="Cherry dreams"/>
    <s v="|47/01/06|"/>
    <n v="1572"/>
    <n v="2.33"/>
    <n v="3.38"/>
  </r>
  <r>
    <x v="0"/>
    <s v="Convenience stores"/>
    <x v="6"/>
    <s v="Cherry dreams"/>
    <s v="|47/01/07|"/>
    <n v="2664"/>
    <n v="2.6"/>
    <n v="3.99"/>
  </r>
  <r>
    <x v="0"/>
    <s v="Convenience stores"/>
    <x v="6"/>
    <s v="Cherry dreams"/>
    <s v="|47/01/08|"/>
    <n v="1368"/>
    <n v="2.99"/>
    <n v="3.93"/>
  </r>
  <r>
    <x v="0"/>
    <s v="Convenience stores"/>
    <x v="6"/>
    <s v="Cherry dreams"/>
    <s v="|47/01/09|"/>
    <n v="1224"/>
    <n v="2.5299999999999998"/>
    <n v="3.53"/>
  </r>
  <r>
    <x v="0"/>
    <s v="Convenience stores"/>
    <x v="6"/>
    <s v="Cherry dreams"/>
    <s v="|47/01/10|"/>
    <n v="2484"/>
    <n v="2.63"/>
    <n v="3.84"/>
  </r>
  <r>
    <x v="0"/>
    <s v="Convenience stores"/>
    <x v="6"/>
    <s v="Cherry dreams"/>
    <s v="|47/01/11|"/>
    <n v="2628"/>
    <n v="2.81"/>
    <n v="3.69"/>
  </r>
  <r>
    <x v="0"/>
    <s v="Convenience stores"/>
    <x v="6"/>
    <s v="Cherry dreams"/>
    <s v="|47/01/12|"/>
    <n v="2616"/>
    <n v="2.4900000000000002"/>
    <n v="3.83"/>
  </r>
  <r>
    <x v="0"/>
    <s v="Convenience stores"/>
    <x v="7"/>
    <s v="C&amp;C vegetables"/>
    <s v="|114/01/01|"/>
    <n v="1008"/>
    <n v="2.91"/>
    <n v="3.47"/>
  </r>
  <r>
    <x v="0"/>
    <s v="Convenience stores"/>
    <x v="7"/>
    <s v="C&amp;C vegetables"/>
    <s v="|114/01/02|"/>
    <n v="1140"/>
    <n v="2.94"/>
    <n v="3.54"/>
  </r>
  <r>
    <x v="0"/>
    <s v="Convenience stores"/>
    <x v="7"/>
    <s v="C&amp;C vegetables"/>
    <s v="|114/01/03|"/>
    <n v="636"/>
    <n v="2.65"/>
    <n v="3.73"/>
  </r>
  <r>
    <x v="0"/>
    <s v="Convenience stores"/>
    <x v="7"/>
    <s v="C&amp;C vegetables"/>
    <s v="|114/01/04|"/>
    <n v="996"/>
    <n v="2.04"/>
    <n v="3.45"/>
  </r>
  <r>
    <x v="0"/>
    <s v="Convenience stores"/>
    <x v="7"/>
    <s v="C&amp;C vegetables"/>
    <s v="|114/01/05|"/>
    <n v="708"/>
    <n v="2.79"/>
    <n v="3.31"/>
  </r>
  <r>
    <x v="0"/>
    <s v="Convenience stores"/>
    <x v="7"/>
    <s v="C&amp;C vegetables"/>
    <s v="|114/01/06|"/>
    <n v="840"/>
    <n v="2.76"/>
    <n v="3.26"/>
  </r>
  <r>
    <x v="0"/>
    <s v="Convenience stores"/>
    <x v="7"/>
    <s v="C&amp;C vegetables"/>
    <s v="|114/01/07|"/>
    <n v="1140"/>
    <n v="2.64"/>
    <n v="3.5"/>
  </r>
  <r>
    <x v="0"/>
    <s v="Convenience stores"/>
    <x v="7"/>
    <s v="C&amp;C vegetables"/>
    <s v="|114/01/08|"/>
    <n v="972"/>
    <n v="2.4700000000000002"/>
    <n v="3.3"/>
  </r>
  <r>
    <x v="0"/>
    <s v="Convenience stores"/>
    <x v="7"/>
    <s v="C&amp;C vegetables"/>
    <s v="|114/01/09|"/>
    <n v="636"/>
    <n v="2.94"/>
    <n v="3.67"/>
  </r>
  <r>
    <x v="0"/>
    <s v="Convenience stores"/>
    <x v="7"/>
    <s v="C&amp;C vegetables"/>
    <s v="|114/01/10|"/>
    <n v="1152"/>
    <n v="2.77"/>
    <n v="3.36"/>
  </r>
  <r>
    <x v="0"/>
    <s v="Convenience stores"/>
    <x v="7"/>
    <s v="C&amp;C vegetables"/>
    <s v="|114/01/11|"/>
    <n v="876"/>
    <n v="2.17"/>
    <n v="3.8"/>
  </r>
  <r>
    <x v="0"/>
    <s v="Convenience stores"/>
    <x v="7"/>
    <s v="C&amp;C vegetables"/>
    <s v="|114/01/12|"/>
    <n v="852"/>
    <n v="2.61"/>
    <n v="3.43"/>
  </r>
  <r>
    <x v="0"/>
    <s v="Convenience stores"/>
    <x v="7"/>
    <s v="C&amp;C vegetables"/>
    <s v="|114/01/13|"/>
    <n v="852"/>
    <n v="2.04"/>
    <n v="3.53"/>
  </r>
  <r>
    <x v="0"/>
    <s v="Convenience stores"/>
    <x v="7"/>
    <s v="C&amp;C vegetables"/>
    <s v="|114/01/14|"/>
    <n v="996"/>
    <n v="2.2400000000000002"/>
    <n v="3.22"/>
  </r>
  <r>
    <x v="0"/>
    <s v="Convenience stores"/>
    <x v="7"/>
    <s v="C&amp;C vegetables"/>
    <s v="|114/01/15|"/>
    <n v="1200"/>
    <n v="2.79"/>
    <n v="3.22"/>
  </r>
  <r>
    <x v="0"/>
    <s v="Convenience stores"/>
    <x v="7"/>
    <s v="C&amp;C vegetables"/>
    <s v="|114/01/16|"/>
    <n v="696"/>
    <n v="2.91"/>
    <n v="3.59"/>
  </r>
  <r>
    <x v="0"/>
    <s v="Convenience stores"/>
    <x v="7"/>
    <s v="C&amp;C vegetables"/>
    <s v="|114/01/17|"/>
    <n v="864"/>
    <n v="2.8"/>
    <n v="3.49"/>
  </r>
  <r>
    <x v="0"/>
    <s v="Convenience stores"/>
    <x v="7"/>
    <s v="C&amp;C vegetables"/>
    <s v="|114/01/18|"/>
    <n v="1056"/>
    <n v="2.29"/>
    <n v="3.51"/>
  </r>
  <r>
    <x v="0"/>
    <s v="Convenience stores"/>
    <x v="7"/>
    <s v="C&amp;C vegetables"/>
    <s v="|114/01/19|"/>
    <n v="1068"/>
    <n v="2.78"/>
    <n v="3.4"/>
  </r>
  <r>
    <x v="0"/>
    <s v="Convenience stores"/>
    <x v="7"/>
    <s v="C&amp;C vegetables"/>
    <s v="|114/01/20|"/>
    <n v="1116"/>
    <n v="2.33"/>
    <n v="3.88"/>
  </r>
  <r>
    <x v="0"/>
    <s v="Convenience stores"/>
    <x v="7"/>
    <s v="C&amp;C vegetables"/>
    <s v="|114/01/21|"/>
    <n v="864"/>
    <n v="2.92"/>
    <n v="3.37"/>
  </r>
  <r>
    <x v="0"/>
    <s v="Convenience stores"/>
    <x v="1"/>
    <s v="Gelati e altro"/>
    <s v="|05/00/01|"/>
    <n v="600"/>
    <n v="6.3733333333333331"/>
    <n v="7.4133333333333331"/>
  </r>
  <r>
    <x v="0"/>
    <s v="Convenience stores"/>
    <x v="6"/>
    <s v="Gelati e altro"/>
    <s v="|05/04/01|"/>
    <n v="2532"/>
    <n v="2.59"/>
    <n v="3.62"/>
  </r>
  <r>
    <x v="0"/>
    <s v="Convenience stores"/>
    <x v="6"/>
    <s v="Gelati e altro"/>
    <s v="|05/04/02|"/>
    <n v="2580"/>
    <n v="2.99"/>
    <n v="3.37"/>
  </r>
  <r>
    <x v="0"/>
    <s v="Convenience stores"/>
    <x v="6"/>
    <s v="Gelati e altro"/>
    <s v="|05/04/03|"/>
    <n v="1608"/>
    <n v="2.58"/>
    <n v="3.75"/>
  </r>
  <r>
    <x v="0"/>
    <s v="Convenience stores"/>
    <x v="6"/>
    <s v="Gelati e altro"/>
    <s v="|05/04/04|"/>
    <n v="2760"/>
    <n v="2.3199999999999998"/>
    <n v="3.39"/>
  </r>
  <r>
    <x v="0"/>
    <s v="Convenience stores"/>
    <x v="6"/>
    <s v="Gelati e altro"/>
    <s v="|05/04/05|"/>
    <n v="2304"/>
    <n v="2.4300000000000002"/>
    <n v="3.53"/>
  </r>
  <r>
    <x v="0"/>
    <s v="Convenience stores"/>
    <x v="6"/>
    <s v="Gelati e altro"/>
    <s v="|05/04/06|"/>
    <n v="1452"/>
    <n v="2.87"/>
    <n v="3.8"/>
  </r>
  <r>
    <x v="0"/>
    <s v="Convenience stores"/>
    <x v="6"/>
    <s v="Gelati e altro"/>
    <s v="|05/04/07|"/>
    <n v="1428"/>
    <n v="2.64"/>
    <n v="3.31"/>
  </r>
  <r>
    <x v="0"/>
    <s v="Convenience stores"/>
    <x v="6"/>
    <s v="Gelati e altro"/>
    <s v="|05/04/08|"/>
    <n v="1272"/>
    <n v="2.59"/>
    <n v="3.39"/>
  </r>
  <r>
    <x v="0"/>
    <s v="Convenience stores"/>
    <x v="6"/>
    <s v="Gelati e altro"/>
    <s v="|05/04/09|"/>
    <n v="1572"/>
    <n v="2.57"/>
    <n v="3.73"/>
  </r>
  <r>
    <x v="0"/>
    <s v="Convenience stores"/>
    <x v="6"/>
    <s v="Gelati e altro"/>
    <s v="|05/04/10|"/>
    <n v="2424"/>
    <n v="2.84"/>
    <n v="3.9"/>
  </r>
  <r>
    <x v="0"/>
    <s v="Convenience stores"/>
    <x v="6"/>
    <s v="Gelati e altro"/>
    <s v="|05/04/11|"/>
    <n v="1500"/>
    <n v="2.63"/>
    <n v="3.38"/>
  </r>
  <r>
    <x v="0"/>
    <s v="Convenience stores"/>
    <x v="6"/>
    <s v="Gelati e altro"/>
    <s v="|05/04/12|"/>
    <n v="2256"/>
    <n v="2.93"/>
    <n v="3.96"/>
  </r>
  <r>
    <x v="0"/>
    <s v="Convenience stores"/>
    <x v="4"/>
    <s v="Valtaro"/>
    <s v="|41/01/01|"/>
    <n v="324"/>
    <n v="4.37"/>
    <n v="5.38"/>
  </r>
  <r>
    <x v="0"/>
    <s v="Convenience stores"/>
    <x v="5"/>
    <s v="Buonissimi"/>
    <s v="|53/01/00|"/>
    <n v="588"/>
    <n v="1.2"/>
    <n v="1.79"/>
  </r>
  <r>
    <x v="0"/>
    <s v="Convenience stores"/>
    <x v="5"/>
    <s v="Buonissimi"/>
    <s v="|53/01/01|"/>
    <n v="648"/>
    <n v="1.1399999999999999"/>
    <n v="1.68"/>
  </r>
  <r>
    <x v="0"/>
    <s v="Convenience stores"/>
    <x v="5"/>
    <s v="Buonissimi"/>
    <s v="|53/01/02|"/>
    <n v="792"/>
    <n v="1.2"/>
    <n v="1.82"/>
  </r>
  <r>
    <x v="0"/>
    <s v="Convenience stores"/>
    <x v="5"/>
    <s v="Buonissimi"/>
    <s v="|53/01/03|"/>
    <n v="888"/>
    <n v="1.34"/>
    <n v="1.86"/>
  </r>
  <r>
    <x v="0"/>
    <s v="Convenience stores"/>
    <x v="5"/>
    <s v="Buonissimi"/>
    <s v="|53/01/04|"/>
    <n v="744"/>
    <n v="1.46"/>
    <n v="1.74"/>
  </r>
  <r>
    <x v="0"/>
    <s v="Convenience stores"/>
    <x v="5"/>
    <s v="Buonissimi"/>
    <s v="|53/01/05|"/>
    <n v="1020"/>
    <n v="1.5"/>
    <n v="1.84"/>
  </r>
  <r>
    <x v="0"/>
    <s v="Convenience stores"/>
    <x v="5"/>
    <s v="Buonissimi"/>
    <s v="|53/01/06|"/>
    <n v="792"/>
    <n v="1.42"/>
    <n v="1.73"/>
  </r>
  <r>
    <x v="0"/>
    <s v="Convenience stores"/>
    <x v="5"/>
    <s v="Buonissimi"/>
    <s v="|53/01/07|"/>
    <n v="1128"/>
    <n v="1.43"/>
    <n v="1.8"/>
  </r>
  <r>
    <x v="0"/>
    <s v="Convenience stores"/>
    <x v="5"/>
    <s v="Buonissimi"/>
    <s v="|53/01/08|"/>
    <n v="1188"/>
    <n v="1.44"/>
    <n v="1.86"/>
  </r>
  <r>
    <x v="0"/>
    <s v="Convenience stores"/>
    <x v="5"/>
    <s v="Buonissimi"/>
    <s v="|53/01/09|"/>
    <n v="624"/>
    <n v="1.17"/>
    <n v="1.75"/>
  </r>
  <r>
    <x v="0"/>
    <s v="Convenience stores"/>
    <x v="5"/>
    <s v="Buonissimi"/>
    <s v="|53/01/10|"/>
    <n v="1080"/>
    <n v="1.1599999999999999"/>
    <n v="1.78"/>
  </r>
  <r>
    <x v="0"/>
    <s v="Convenience stores"/>
    <x v="5"/>
    <s v="Buonissimi"/>
    <s v="|53/01/11|"/>
    <n v="1200"/>
    <n v="1.1599999999999999"/>
    <n v="1.75"/>
  </r>
  <r>
    <x v="0"/>
    <s v="Convenience stores"/>
    <x v="5"/>
    <s v="Buonissimi"/>
    <s v="|53/01/12|"/>
    <n v="912"/>
    <n v="1.22"/>
    <n v="1.77"/>
  </r>
  <r>
    <x v="0"/>
    <s v="Convenience stores"/>
    <x v="5"/>
    <s v="Buonissimi"/>
    <s v="|53/01/13|"/>
    <n v="900"/>
    <n v="1.46"/>
    <n v="1.73"/>
  </r>
  <r>
    <x v="0"/>
    <s v="Convenience stores"/>
    <x v="5"/>
    <s v="Buonissimi"/>
    <s v="|53/01/14|"/>
    <n v="576"/>
    <n v="1.33"/>
    <n v="1.63"/>
  </r>
  <r>
    <x v="0"/>
    <s v="Convenience stores"/>
    <x v="5"/>
    <s v="Buonissimi"/>
    <s v="|53/01/15|"/>
    <n v="1296"/>
    <n v="1.46"/>
    <n v="1.84"/>
  </r>
  <r>
    <x v="0"/>
    <s v="Convenience stores"/>
    <x v="5"/>
    <s v="Buonissimi"/>
    <s v="|53/01/16|"/>
    <n v="924"/>
    <n v="1.3"/>
    <n v="1.86"/>
  </r>
  <r>
    <x v="0"/>
    <s v="Convenience stores"/>
    <x v="5"/>
    <s v="Buonissimi"/>
    <s v="|53/01/17|"/>
    <n v="612"/>
    <n v="1.5"/>
    <n v="1.84"/>
  </r>
  <r>
    <x v="0"/>
    <s v="Convenience stores"/>
    <x v="5"/>
    <s v="Buonissimi"/>
    <s v="|53/01/18|"/>
    <n v="1164"/>
    <n v="1.48"/>
    <n v="1.72"/>
  </r>
  <r>
    <x v="0"/>
    <s v="Convenience stores"/>
    <x v="5"/>
    <s v="Buonissimi"/>
    <s v="|53/01/19|"/>
    <n v="840"/>
    <n v="1.39"/>
    <n v="1.75"/>
  </r>
  <r>
    <x v="0"/>
    <s v="Convenience stores"/>
    <x v="5"/>
    <s v="Buonissimi"/>
    <s v="|53/01/20|"/>
    <n v="1152"/>
    <n v="1.17"/>
    <n v="1.67"/>
  </r>
  <r>
    <x v="0"/>
    <s v="Convenience stores"/>
    <x v="5"/>
    <s v="Buonissimi"/>
    <s v="|53/01/21|"/>
    <n v="660"/>
    <n v="1.33"/>
    <n v="1.62"/>
  </r>
  <r>
    <x v="0"/>
    <s v="Convenience stores"/>
    <x v="5"/>
    <s v="Buonissimi"/>
    <s v="|53/01/22|"/>
    <n v="720"/>
    <n v="1.17"/>
    <n v="1.85"/>
  </r>
  <r>
    <x v="0"/>
    <s v="Convenience stores"/>
    <x v="5"/>
    <s v="Buonissimi"/>
    <s v="|53/01/23|"/>
    <n v="588"/>
    <n v="1.41"/>
    <n v="1.71"/>
  </r>
  <r>
    <x v="0"/>
    <s v="Convenience stores"/>
    <x v="5"/>
    <s v="Buonissimi"/>
    <s v="|53/01/24|"/>
    <n v="900"/>
    <n v="1.36"/>
    <n v="1.89"/>
  </r>
  <r>
    <x v="0"/>
    <s v="Convenience stores"/>
    <x v="5"/>
    <s v="Buonissimi"/>
    <s v="|53/01/25|"/>
    <n v="780"/>
    <n v="1.17"/>
    <n v="1.77"/>
  </r>
  <r>
    <x v="0"/>
    <s v="Convenience stores"/>
    <x v="5"/>
    <s v="Buonissimi"/>
    <s v="|53/01/26|"/>
    <n v="984"/>
    <n v="1.49"/>
    <n v="1.67"/>
  </r>
  <r>
    <x v="0"/>
    <s v="Convenience stores"/>
    <x v="5"/>
    <s v="Buonissimi"/>
    <s v="|53/01/27|"/>
    <n v="624"/>
    <n v="1.44"/>
    <n v="1.76"/>
  </r>
  <r>
    <x v="0"/>
    <s v="Convenience stores"/>
    <x v="5"/>
    <s v="Buonissimi"/>
    <s v="|53/01/28|"/>
    <n v="684"/>
    <n v="1.33"/>
    <n v="1.89"/>
  </r>
  <r>
    <x v="0"/>
    <s v="Convenience stores"/>
    <x v="5"/>
    <s v="Buonissimi"/>
    <s v="|53/01/29|"/>
    <n v="1128"/>
    <n v="1.29"/>
    <n v="1.6"/>
  </r>
  <r>
    <x v="0"/>
    <s v="Convenience stores"/>
    <x v="5"/>
    <s v="Buonissimi"/>
    <s v="|53/01/30|"/>
    <n v="1224"/>
    <n v="1.39"/>
    <n v="1.61"/>
  </r>
  <r>
    <x v="0"/>
    <s v="Convenience stores"/>
    <x v="5"/>
    <s v="Buonissimi"/>
    <s v="|53/01/31|"/>
    <n v="828"/>
    <n v="1.23"/>
    <n v="1.79"/>
  </r>
  <r>
    <x v="0"/>
    <s v="Convenience stores"/>
    <x v="5"/>
    <s v="Buonissimi"/>
    <s v="|53/01/32|"/>
    <n v="996"/>
    <n v="1.5"/>
    <n v="1.79"/>
  </r>
  <r>
    <x v="0"/>
    <s v="Convenience stores"/>
    <x v="5"/>
    <s v="Buonissimi"/>
    <s v="|53/01/33|"/>
    <n v="588"/>
    <n v="1.1299999999999999"/>
    <n v="1.89"/>
  </r>
  <r>
    <x v="0"/>
    <s v="Convenience stores"/>
    <x v="5"/>
    <s v="Buonissimi"/>
    <s v="|53/01/34|"/>
    <n v="660"/>
    <n v="1.21"/>
    <n v="1.75"/>
  </r>
  <r>
    <x v="0"/>
    <s v="Convenience stores"/>
    <x v="5"/>
    <s v="Buonissimi"/>
    <s v="|53/01/35|"/>
    <n v="660"/>
    <n v="1.22"/>
    <n v="1.86"/>
  </r>
  <r>
    <x v="0"/>
    <s v="Convenience stores"/>
    <x v="5"/>
    <s v="Buonissimi"/>
    <s v="|53/01/36|"/>
    <n v="1044"/>
    <n v="1.32"/>
    <n v="1.6"/>
  </r>
  <r>
    <x v="0"/>
    <s v="Convenience stores"/>
    <x v="5"/>
    <s v="Buonissimi"/>
    <s v="|53/01/37|"/>
    <n v="924"/>
    <n v="1.28"/>
    <n v="1.89"/>
  </r>
  <r>
    <x v="0"/>
    <s v="Convenience stores"/>
    <x v="5"/>
    <s v="Buonissimi"/>
    <s v="|53/01/38|"/>
    <n v="1308"/>
    <n v="1.17"/>
    <n v="1.9"/>
  </r>
  <r>
    <x v="0"/>
    <s v="Convenience stores"/>
    <x v="5"/>
    <s v="Buonissimi"/>
    <s v="|53/02/01|"/>
    <n v="1284"/>
    <n v="1.29"/>
    <n v="1.61"/>
  </r>
  <r>
    <x v="0"/>
    <s v="Convenience stores"/>
    <x v="5"/>
    <s v="Buonissimi"/>
    <s v="|53/02/02|"/>
    <n v="744"/>
    <n v="1.47"/>
    <n v="1.89"/>
  </r>
  <r>
    <x v="0"/>
    <s v="Convenience stores"/>
    <x v="5"/>
    <s v="Buonissimi"/>
    <s v="|53/02/03|"/>
    <n v="744"/>
    <n v="1.44"/>
    <n v="1.81"/>
  </r>
  <r>
    <x v="0"/>
    <s v="Convenience stores"/>
    <x v="5"/>
    <s v="Buonissimi"/>
    <s v="|53/02/04|"/>
    <n v="792"/>
    <n v="1.28"/>
    <n v="1.78"/>
  </r>
  <r>
    <x v="0"/>
    <s v="Convenience stores"/>
    <x v="5"/>
    <s v="Buonissimi"/>
    <s v="|53/02/05|"/>
    <n v="588"/>
    <n v="1.23"/>
    <n v="1.7"/>
  </r>
  <r>
    <x v="0"/>
    <s v="Convenience stores"/>
    <x v="5"/>
    <s v="Buonissimi"/>
    <s v="|53/02/06|"/>
    <n v="756"/>
    <n v="1.25"/>
    <n v="1.72"/>
  </r>
  <r>
    <x v="0"/>
    <s v="Convenience stores"/>
    <x v="5"/>
    <s v="Buonissimi"/>
    <s v="|53/02/07|"/>
    <n v="708"/>
    <n v="1.46"/>
    <n v="1.71"/>
  </r>
  <r>
    <x v="0"/>
    <s v="Convenience stores"/>
    <x v="5"/>
    <s v="Buonissimi"/>
    <s v="|53/02/08|"/>
    <n v="996"/>
    <n v="1.22"/>
    <n v="1.87"/>
  </r>
  <r>
    <x v="0"/>
    <s v="Convenience stores"/>
    <x v="5"/>
    <s v="Buonissimi"/>
    <s v="|53/02/09|"/>
    <n v="948"/>
    <n v="1.43"/>
    <n v="1.72"/>
  </r>
  <r>
    <x v="0"/>
    <s v="Convenience stores"/>
    <x v="5"/>
    <s v="Buonissimi"/>
    <s v="|53/02/10|"/>
    <n v="1248"/>
    <n v="1.43"/>
    <n v="1.6"/>
  </r>
  <r>
    <x v="0"/>
    <s v="Convenience stores"/>
    <x v="5"/>
    <s v="Buonissimi"/>
    <s v="|53/02/11|"/>
    <n v="624"/>
    <n v="1.39"/>
    <n v="1.84"/>
  </r>
  <r>
    <x v="0"/>
    <s v="Convenience stores"/>
    <x v="5"/>
    <s v="Buonissimi"/>
    <s v="|53/02/12|"/>
    <n v="1176"/>
    <n v="1.45"/>
    <n v="1.71"/>
  </r>
  <r>
    <x v="0"/>
    <s v="Convenience stores"/>
    <x v="5"/>
    <s v="Buonissimi"/>
    <s v="|53/02/13|"/>
    <n v="948"/>
    <n v="1.1200000000000001"/>
    <n v="1.71"/>
  </r>
  <r>
    <x v="0"/>
    <s v="Convenience stores"/>
    <x v="5"/>
    <s v="Buonissimi"/>
    <s v="|53/02/14|"/>
    <n v="1248"/>
    <n v="1.47"/>
    <n v="1.88"/>
  </r>
  <r>
    <x v="0"/>
    <s v="Convenience stores"/>
    <x v="5"/>
    <s v="Buonissimi"/>
    <s v="|53/02/15|"/>
    <n v="1260"/>
    <n v="1.1499999999999999"/>
    <n v="1.71"/>
  </r>
  <r>
    <x v="0"/>
    <s v="Convenience stores"/>
    <x v="5"/>
    <s v="Buonissimi"/>
    <s v="|53/02/16|"/>
    <n v="1068"/>
    <n v="1.37"/>
    <n v="1.79"/>
  </r>
  <r>
    <x v="0"/>
    <s v="Convenience stores"/>
    <x v="5"/>
    <s v="Buonissimi"/>
    <s v="|53/02/17|"/>
    <n v="1152"/>
    <n v="1.27"/>
    <n v="1.69"/>
  </r>
  <r>
    <x v="0"/>
    <s v="Convenience stores"/>
    <x v="5"/>
    <s v="Buonissimi"/>
    <s v="|53/03/01|"/>
    <n v="1284"/>
    <n v="1.25"/>
    <n v="1.65"/>
  </r>
  <r>
    <x v="0"/>
    <s v="Convenience stores"/>
    <x v="5"/>
    <s v="Buonissimi"/>
    <s v="|53/03/02|"/>
    <n v="1080"/>
    <n v="1.28"/>
    <n v="1.78"/>
  </r>
  <r>
    <x v="0"/>
    <s v="Convenience stores"/>
    <x v="5"/>
    <s v="Buonissimi"/>
    <s v="|53/03/03|"/>
    <n v="936"/>
    <n v="1.19"/>
    <n v="1.83"/>
  </r>
  <r>
    <x v="0"/>
    <s v="Hypermarkets"/>
    <x v="12"/>
    <s v="Barilla"/>
    <s v="|56/01/01|"/>
    <n v="156"/>
    <n v="2.7266666666666666"/>
    <n v="2.9666666666666668"/>
  </r>
  <r>
    <x v="0"/>
    <s v="Hypermarkets"/>
    <x v="12"/>
    <s v="Barilla"/>
    <s v="|56/01/02|"/>
    <n v="156"/>
    <n v="2.8"/>
    <n v="2.9"/>
  </r>
  <r>
    <x v="0"/>
    <s v="Hypermarkets"/>
    <x v="12"/>
    <s v="Barilla"/>
    <s v="|56/01/03|"/>
    <n v="180"/>
    <n v="2.5666666666666669"/>
    <n v="2.98"/>
  </r>
  <r>
    <x v="0"/>
    <s v="Hypermarkets"/>
    <x v="12"/>
    <s v="Barilla"/>
    <s v="|56/01/04|"/>
    <n v="180"/>
    <n v="2.6133333333333333"/>
    <n v="2.9266666666666667"/>
  </r>
  <r>
    <x v="0"/>
    <s v="Hypermarkets"/>
    <x v="12"/>
    <s v="Barilla"/>
    <s v="|56/01/05|"/>
    <n v="180"/>
    <n v="2.44"/>
    <n v="2.9133333333333336"/>
  </r>
  <r>
    <x v="0"/>
    <s v="Hypermarkets"/>
    <x v="12"/>
    <s v="Barilla"/>
    <s v="|56/01/06|"/>
    <n v="144"/>
    <n v="2.46"/>
    <n v="2.92"/>
  </r>
  <r>
    <x v="0"/>
    <s v="Hypermarkets"/>
    <x v="12"/>
    <s v="Barilla"/>
    <s v="|56/01/07|"/>
    <n v="132"/>
    <n v="2.56"/>
    <n v="2.9"/>
  </r>
  <r>
    <x v="0"/>
    <s v="Hypermarkets"/>
    <x v="12"/>
    <s v="Barilla"/>
    <s v="|56/01/08|"/>
    <n v="156"/>
    <n v="2.6133333333333333"/>
    <n v="2.94"/>
  </r>
  <r>
    <x v="0"/>
    <s v="Hypermarkets"/>
    <x v="12"/>
    <s v="Barilla"/>
    <s v="|56/01/09|"/>
    <n v="144"/>
    <n v="2.44"/>
    <n v="2.9066666666666667"/>
  </r>
  <r>
    <x v="0"/>
    <s v="Hypermarkets"/>
    <x v="12"/>
    <s v="Barilla"/>
    <s v="|56/01/10|"/>
    <n v="168"/>
    <n v="2.6933333333333334"/>
    <n v="2.8733333333333335"/>
  </r>
  <r>
    <x v="0"/>
    <s v="Hypermarkets"/>
    <x v="12"/>
    <s v="Barilla"/>
    <s v="|56/01/11|"/>
    <n v="144"/>
    <n v="2.5333333333333332"/>
    <n v="2.9"/>
  </r>
  <r>
    <x v="0"/>
    <s v="Hypermarkets"/>
    <x v="12"/>
    <s v="Barilla"/>
    <s v="|56/01/12|"/>
    <n v="120"/>
    <n v="2.3466666666666667"/>
    <n v="2.92"/>
  </r>
  <r>
    <x v="0"/>
    <s v="Hypermarkets"/>
    <x v="12"/>
    <s v="Barilla"/>
    <s v="|56/01/13|"/>
    <n v="156"/>
    <n v="2.6666666666666665"/>
    <n v="2.9"/>
  </r>
  <r>
    <x v="0"/>
    <s v="Hypermarkets"/>
    <x v="12"/>
    <s v="Barilla"/>
    <s v="|56/01/14|"/>
    <n v="168"/>
    <n v="2.7866666666666666"/>
    <n v="2.9666666666666668"/>
  </r>
  <r>
    <x v="0"/>
    <s v="Hypermarkets"/>
    <x v="12"/>
    <s v="Barilla"/>
    <s v="|56/01/15|"/>
    <n v="120"/>
    <n v="2.52"/>
    <n v="2.9133333333333336"/>
  </r>
  <r>
    <x v="0"/>
    <s v="Hypermarkets"/>
    <x v="12"/>
    <s v="Barilla"/>
    <s v="|56/01/16|"/>
    <n v="180"/>
    <n v="2.7266666666666666"/>
    <n v="2.9333333333333331"/>
  </r>
  <r>
    <x v="0"/>
    <s v="Hypermarkets"/>
    <x v="12"/>
    <s v="Barilla"/>
    <s v="|56/01/17|"/>
    <n v="180"/>
    <n v="2.3666666666666667"/>
    <n v="2.8933333333333335"/>
  </r>
  <r>
    <x v="0"/>
    <s v="Hypermarkets"/>
    <x v="12"/>
    <s v="Barilla"/>
    <s v="|56/01/18|"/>
    <n v="132"/>
    <n v="2.2666666666666666"/>
    <n v="2.94"/>
  </r>
  <r>
    <x v="0"/>
    <s v="Hypermarkets"/>
    <x v="12"/>
    <s v="Barilla"/>
    <s v="|56/01/19|"/>
    <n v="132"/>
    <n v="2.3866666666666667"/>
    <n v="2.9133333333333336"/>
  </r>
  <r>
    <x v="0"/>
    <s v="Hypermarkets"/>
    <x v="12"/>
    <s v="Barilla"/>
    <s v="|56/01/20|"/>
    <n v="144"/>
    <n v="2.5866666666666664"/>
    <n v="2.9533333333333331"/>
  </r>
  <r>
    <x v="0"/>
    <s v="Hypermarkets"/>
    <x v="12"/>
    <s v="Barilla"/>
    <s v="|56/01/21|"/>
    <n v="132"/>
    <n v="2.7666666666666666"/>
    <n v="2.9733333333333332"/>
  </r>
  <r>
    <x v="0"/>
    <s v="Hypermarkets"/>
    <x v="12"/>
    <s v="Barilla"/>
    <s v="|56/01/22|"/>
    <n v="156"/>
    <n v="2.34"/>
    <n v="2.8866666666666667"/>
  </r>
  <r>
    <x v="0"/>
    <s v="Hypermarkets"/>
    <x v="12"/>
    <s v="Barilla"/>
    <s v="|56/01/23|"/>
    <n v="120"/>
    <n v="2.3533333333333335"/>
    <n v="2.9066666666666667"/>
  </r>
  <r>
    <x v="0"/>
    <s v="Hypermarkets"/>
    <x v="12"/>
    <s v="Barilla"/>
    <s v="|56/01/24|"/>
    <n v="144"/>
    <n v="2.68"/>
    <n v="2.9"/>
  </r>
  <r>
    <x v="0"/>
    <s v="Hypermarkets"/>
    <x v="12"/>
    <s v="Barilla"/>
    <s v="|56/01/25|"/>
    <n v="120"/>
    <n v="2.3333333333333335"/>
    <n v="2.8933333333333335"/>
  </r>
  <r>
    <x v="0"/>
    <s v="Hypermarkets"/>
    <x v="12"/>
    <s v="Barilla"/>
    <s v="|56/01/26|"/>
    <n v="168"/>
    <n v="2.3666666666666667"/>
    <n v="2.9733333333333332"/>
  </r>
  <r>
    <x v="0"/>
    <s v="Hypermarkets"/>
    <x v="12"/>
    <s v="Barilla"/>
    <s v="|56/01/27|"/>
    <n v="144"/>
    <n v="2.7666666666666666"/>
    <n v="2.8666666666666667"/>
  </r>
  <r>
    <x v="0"/>
    <s v="Hypermarkets"/>
    <x v="12"/>
    <s v="Barilla"/>
    <s v="|56/01/28|"/>
    <n v="180"/>
    <n v="2.7066666666666666"/>
    <n v="3"/>
  </r>
  <r>
    <x v="0"/>
    <s v="Hypermarkets"/>
    <x v="12"/>
    <s v="Barilla"/>
    <s v="|56/01/29|"/>
    <n v="144"/>
    <n v="2.6933333333333334"/>
    <n v="2.98"/>
  </r>
  <r>
    <x v="0"/>
    <s v="Hypermarkets"/>
    <x v="12"/>
    <s v="Barilla"/>
    <s v="|56/01/30|"/>
    <n v="180"/>
    <n v="2.6466666666666665"/>
    <n v="2.96"/>
  </r>
  <r>
    <x v="0"/>
    <s v="Hypermarkets"/>
    <x v="12"/>
    <s v="Barilla"/>
    <s v="|56/01/31|"/>
    <n v="168"/>
    <n v="2.62"/>
    <n v="2.9266666666666667"/>
  </r>
  <r>
    <x v="0"/>
    <s v="Hypermarkets"/>
    <x v="12"/>
    <s v="Barilla"/>
    <s v="|56/01/32|"/>
    <n v="156"/>
    <n v="2.3933333333333335"/>
    <n v="2.9266666666666667"/>
  </r>
  <r>
    <x v="0"/>
    <s v="Hypermarkets"/>
    <x v="12"/>
    <s v="Barilla"/>
    <s v="|56/01/33|"/>
    <n v="168"/>
    <n v="2.3133333333333335"/>
    <n v="2.9"/>
  </r>
  <r>
    <x v="0"/>
    <s v="Hypermarkets"/>
    <x v="12"/>
    <s v="Barilla"/>
    <s v="|56/01/34|"/>
    <n v="156"/>
    <n v="2.2733333333333334"/>
    <n v="2.96"/>
  </r>
  <r>
    <x v="0"/>
    <s v="Hypermarkets"/>
    <x v="12"/>
    <s v="Barilla"/>
    <s v="|56/01/35|"/>
    <n v="168"/>
    <n v="2.3333333333333335"/>
    <n v="2.8933333333333335"/>
  </r>
  <r>
    <x v="0"/>
    <s v="Hypermarkets"/>
    <x v="12"/>
    <s v="Barilla"/>
    <s v="|56/01/36|"/>
    <n v="132"/>
    <n v="2.3866666666666667"/>
    <n v="2.9866666666666668"/>
  </r>
  <r>
    <x v="0"/>
    <s v="Hypermarkets"/>
    <x v="12"/>
    <s v="Barilla"/>
    <s v="|56/01/37|"/>
    <n v="168"/>
    <n v="2.7733333333333334"/>
    <n v="2.9866666666666668"/>
  </r>
  <r>
    <x v="0"/>
    <s v="Hypermarkets"/>
    <x v="12"/>
    <s v="Barilla"/>
    <s v="|56/01/38|"/>
    <n v="156"/>
    <n v="2.36"/>
    <n v="2.9933333333333332"/>
  </r>
  <r>
    <x v="0"/>
    <s v="Hypermarkets"/>
    <x v="12"/>
    <s v="Barilla"/>
    <s v="|56/01/39|"/>
    <n v="168"/>
    <n v="2.46"/>
    <n v="2.9866666666666668"/>
  </r>
  <r>
    <x v="0"/>
    <s v="Hypermarkets"/>
    <x v="12"/>
    <s v="Barilla"/>
    <s v="|56/01/40|"/>
    <n v="132"/>
    <n v="2.72"/>
    <n v="2.92"/>
  </r>
  <r>
    <x v="0"/>
    <s v="Hypermarkets"/>
    <x v="12"/>
    <s v="Barilla"/>
    <s v="|56/01/41|"/>
    <n v="156"/>
    <n v="2.3733333333333335"/>
    <n v="2.9933333333333332"/>
  </r>
  <r>
    <x v="0"/>
    <s v="Hypermarkets"/>
    <x v="12"/>
    <s v="Barilla"/>
    <s v="|56/01/42|"/>
    <n v="168"/>
    <n v="2.48"/>
    <n v="2.9466666666666668"/>
  </r>
  <r>
    <x v="0"/>
    <s v="Hypermarkets"/>
    <x v="12"/>
    <s v="Barilla"/>
    <s v="|56/01/43|"/>
    <n v="144"/>
    <n v="2.7866666666666666"/>
    <n v="2.94"/>
  </r>
  <r>
    <x v="0"/>
    <s v="Hypermarkets"/>
    <x v="12"/>
    <s v="Barilla"/>
    <s v="|56/01/44|"/>
    <n v="156"/>
    <n v="2.5866666666666664"/>
    <n v="2.9"/>
  </r>
  <r>
    <x v="0"/>
    <s v="Hypermarkets"/>
    <x v="12"/>
    <s v="Barilla"/>
    <s v="|56/01/45|"/>
    <n v="156"/>
    <n v="2.3466666666666667"/>
    <n v="2.8733333333333335"/>
  </r>
  <r>
    <x v="0"/>
    <s v="Hypermarkets"/>
    <x v="12"/>
    <s v="Barilla"/>
    <s v="|56/01/46|"/>
    <n v="168"/>
    <n v="2.6066666666666665"/>
    <n v="2.9066666666666667"/>
  </r>
  <r>
    <x v="0"/>
    <s v="Hypermarkets"/>
    <x v="12"/>
    <s v="Barilla"/>
    <s v="|56/01/47|"/>
    <n v="144"/>
    <n v="2.62"/>
    <n v="2.9533333333333331"/>
  </r>
  <r>
    <x v="0"/>
    <s v="Hypermarkets"/>
    <x v="12"/>
    <s v="Barilla"/>
    <s v="|56/01/48|"/>
    <n v="120"/>
    <n v="2.3199999999999998"/>
    <n v="2.9066666666666667"/>
  </r>
  <r>
    <x v="0"/>
    <s v="Hypermarkets"/>
    <x v="12"/>
    <s v="Barilla"/>
    <s v="|56/01/49|"/>
    <n v="120"/>
    <n v="2.4066666666666667"/>
    <n v="2.8866666666666667"/>
  </r>
  <r>
    <x v="0"/>
    <s v="Hypermarkets"/>
    <x v="12"/>
    <s v="Barilla"/>
    <s v="|56/01/50|"/>
    <n v="168"/>
    <n v="2.7866666666666666"/>
    <n v="2.9066666666666667"/>
  </r>
  <r>
    <x v="0"/>
    <s v="Hypermarkets"/>
    <x v="12"/>
    <s v="Barilla"/>
    <s v="|56/01/51|"/>
    <n v="132"/>
    <n v="2.46"/>
    <n v="2.9266666666666667"/>
  </r>
  <r>
    <x v="0"/>
    <s v="Hypermarkets"/>
    <x v="12"/>
    <s v="Barilla"/>
    <s v="|56/01/52|"/>
    <n v="168"/>
    <n v="2.5733333333333333"/>
    <n v="2.88"/>
  </r>
  <r>
    <x v="0"/>
    <s v="Hypermarkets"/>
    <x v="12"/>
    <s v="Barilla"/>
    <s v="|56/01/53|"/>
    <n v="180"/>
    <n v="2.62"/>
    <n v="2.9466666666666668"/>
  </r>
  <r>
    <x v="0"/>
    <s v="Hypermarkets"/>
    <x v="12"/>
    <s v="Barilla"/>
    <s v="|56/01/54|"/>
    <n v="168"/>
    <n v="2.46"/>
    <n v="2.9466666666666668"/>
  </r>
  <r>
    <x v="0"/>
    <s v="Hypermarkets"/>
    <x v="12"/>
    <s v="Barilla"/>
    <s v="|56/01/55|"/>
    <n v="156"/>
    <n v="2.6066666666666665"/>
    <n v="2.9666666666666668"/>
  </r>
  <r>
    <x v="0"/>
    <s v="Hypermarkets"/>
    <x v="12"/>
    <s v="Barilla"/>
    <s v="|56/01/56|"/>
    <n v="156"/>
    <n v="2.5666666666666669"/>
    <n v="2.9066666666666667"/>
  </r>
  <r>
    <x v="0"/>
    <s v="Hypermarkets"/>
    <x v="12"/>
    <s v="Barilla"/>
    <s v="|56/01/57|"/>
    <n v="132"/>
    <n v="2.6933333333333334"/>
    <n v="3"/>
  </r>
  <r>
    <x v="0"/>
    <s v="Hypermarkets"/>
    <x v="12"/>
    <s v="Own label"/>
    <s v="|132/01/02|"/>
    <n v="156"/>
    <n v="2.52"/>
    <n v="2.9466666666666668"/>
  </r>
  <r>
    <x v="0"/>
    <s v="Hypermarkets"/>
    <x v="13"/>
    <s v="Danone"/>
    <s v="|68/01/01|"/>
    <n v="132"/>
    <n v="2.6"/>
    <n v="3.23"/>
  </r>
  <r>
    <x v="0"/>
    <s v="Hypermarkets"/>
    <x v="13"/>
    <s v="Danone"/>
    <s v="|68/01/02|"/>
    <n v="576"/>
    <n v="2.76"/>
    <n v="3.33"/>
  </r>
  <r>
    <x v="0"/>
    <s v="Hypermarkets"/>
    <x v="13"/>
    <s v="Danone"/>
    <s v="|68/01/03|"/>
    <n v="204"/>
    <n v="2.2799999999999998"/>
    <n v="3.43"/>
  </r>
  <r>
    <x v="0"/>
    <s v="Hypermarkets"/>
    <x v="13"/>
    <s v="Danone"/>
    <s v="|68/01/04|"/>
    <n v="312"/>
    <n v="2.2799999999999998"/>
    <n v="3.09"/>
  </r>
  <r>
    <x v="0"/>
    <s v="Hypermarkets"/>
    <x v="13"/>
    <s v="Danone"/>
    <s v="|68/01/05|"/>
    <n v="396"/>
    <n v="2.72"/>
    <n v="3.7"/>
  </r>
  <r>
    <x v="0"/>
    <s v="Hypermarkets"/>
    <x v="13"/>
    <s v="Danone"/>
    <s v="|68/01/06|"/>
    <n v="300"/>
    <n v="2.48"/>
    <n v="3.31"/>
  </r>
  <r>
    <x v="0"/>
    <s v="Hypermarkets"/>
    <x v="13"/>
    <s v="Danone"/>
    <s v="|68/01/07|"/>
    <n v="144"/>
    <n v="2.4500000000000002"/>
    <n v="3.15"/>
  </r>
  <r>
    <x v="0"/>
    <s v="Hypermarkets"/>
    <x v="13"/>
    <s v="Danone"/>
    <s v="|68/01/08|"/>
    <n v="204"/>
    <n v="2.54"/>
    <n v="3.29"/>
  </r>
  <r>
    <x v="0"/>
    <s v="Hypermarkets"/>
    <x v="13"/>
    <s v="Danone"/>
    <s v="|68/01/09|"/>
    <n v="468"/>
    <n v="2.3199999999999998"/>
    <n v="3.02"/>
  </r>
  <r>
    <x v="0"/>
    <s v="Hypermarkets"/>
    <x v="13"/>
    <s v="Danone"/>
    <s v="|68/01/10|"/>
    <n v="240"/>
    <n v="2.52"/>
    <n v="3.36"/>
  </r>
  <r>
    <x v="0"/>
    <s v="Hypermarkets"/>
    <x v="13"/>
    <s v="Danone"/>
    <s v="|68/01/11|"/>
    <n v="516"/>
    <n v="2.25"/>
    <n v="3.22"/>
  </r>
  <r>
    <x v="0"/>
    <s v="Hypermarkets"/>
    <x v="13"/>
    <s v="Danone"/>
    <s v="|68/01/12|"/>
    <n v="432"/>
    <n v="2.2000000000000002"/>
    <n v="3.13"/>
  </r>
  <r>
    <x v="0"/>
    <s v="Hypermarkets"/>
    <x v="13"/>
    <s v="Danone"/>
    <s v="|68/01/13|"/>
    <n v="528"/>
    <n v="2.46"/>
    <n v="3.02"/>
  </r>
  <r>
    <x v="0"/>
    <s v="Hypermarkets"/>
    <x v="13"/>
    <s v="Danone"/>
    <s v="|68/01/14|"/>
    <n v="564"/>
    <n v="2.64"/>
    <n v="3"/>
  </r>
  <r>
    <x v="0"/>
    <s v="Hypermarkets"/>
    <x v="13"/>
    <s v="Danone"/>
    <s v="|68/01/15|"/>
    <n v="408"/>
    <n v="2.3199999999999998"/>
    <n v="3.55"/>
  </r>
  <r>
    <x v="0"/>
    <s v="Hypermarkets"/>
    <x v="13"/>
    <s v="Danone"/>
    <s v="|68/01/16|"/>
    <n v="480"/>
    <n v="2.59"/>
    <n v="3.06"/>
  </r>
  <r>
    <x v="0"/>
    <s v="Hypermarkets"/>
    <x v="13"/>
    <s v="Danone"/>
    <s v="|68/01/17|"/>
    <n v="564"/>
    <n v="2.36"/>
    <n v="3.63"/>
  </r>
  <r>
    <x v="0"/>
    <s v="Hypermarkets"/>
    <x v="12"/>
    <s v="Cirio"/>
    <s v="|71/01/01|"/>
    <n v="132"/>
    <n v="2.66"/>
    <n v="2.9733333333333332"/>
  </r>
  <r>
    <x v="0"/>
    <s v="Hypermarkets"/>
    <x v="12"/>
    <s v="Cirio"/>
    <s v="|71/01/02|"/>
    <n v="120"/>
    <n v="2.3933333333333335"/>
    <n v="2.9466666666666668"/>
  </r>
  <r>
    <x v="0"/>
    <s v="Hypermarkets"/>
    <x v="12"/>
    <s v="Cirio"/>
    <s v="|71/01/03|"/>
    <n v="120"/>
    <n v="2.2733333333333334"/>
    <n v="2.8733333333333335"/>
  </r>
  <r>
    <x v="0"/>
    <s v="Hypermarkets"/>
    <x v="12"/>
    <s v="Cirio"/>
    <s v="|71/01/04|"/>
    <n v="132"/>
    <n v="2.2733333333333334"/>
    <n v="2.9"/>
  </r>
  <r>
    <x v="0"/>
    <s v="Hypermarkets"/>
    <x v="12"/>
    <s v="Cirio"/>
    <s v="|71/01/05|"/>
    <n v="168"/>
    <n v="2.68"/>
    <n v="2.94"/>
  </r>
  <r>
    <x v="0"/>
    <s v="Hypermarkets"/>
    <x v="12"/>
    <s v="Cirio"/>
    <s v="|71/01/06|"/>
    <n v="180"/>
    <n v="2.2733333333333334"/>
    <n v="2.9266666666666667"/>
  </r>
  <r>
    <x v="0"/>
    <s v="Hypermarkets"/>
    <x v="12"/>
    <s v="Cirio"/>
    <s v="|71/01/07|"/>
    <n v="120"/>
    <n v="2.7933333333333334"/>
    <n v="2.92"/>
  </r>
  <r>
    <x v="0"/>
    <s v="Hypermarkets"/>
    <x v="12"/>
    <s v="Cirio"/>
    <s v="|71/01/08|"/>
    <n v="132"/>
    <n v="2.6666666666666665"/>
    <n v="2.92"/>
  </r>
  <r>
    <x v="0"/>
    <s v="Hypermarkets"/>
    <x v="12"/>
    <s v="Cirio"/>
    <s v="|71/01/09|"/>
    <n v="180"/>
    <n v="2.5133333333333332"/>
    <n v="2.9733333333333332"/>
  </r>
  <r>
    <x v="0"/>
    <s v="Hypermarkets"/>
    <x v="12"/>
    <s v="Cirio"/>
    <s v="|71/01/10|"/>
    <n v="168"/>
    <n v="2.66"/>
    <n v="2.8666666666666667"/>
  </r>
  <r>
    <x v="0"/>
    <s v="Hypermarkets"/>
    <x v="12"/>
    <s v="Cirio"/>
    <s v="|71/01/11|"/>
    <n v="132"/>
    <n v="2.38"/>
    <n v="2.8933333333333335"/>
  </r>
  <r>
    <x v="0"/>
    <s v="Hypermarkets"/>
    <x v="12"/>
    <s v="Cirio"/>
    <s v="|71/02/01|"/>
    <n v="120"/>
    <n v="2.3066666666666666"/>
    <n v="2.9066666666666667"/>
  </r>
  <r>
    <x v="0"/>
    <s v="Hypermarkets"/>
    <x v="12"/>
    <s v="Cirio"/>
    <s v="|71/02/02|"/>
    <n v="156"/>
    <n v="2.3933333333333335"/>
    <n v="2.9866666666666668"/>
  </r>
  <r>
    <x v="0"/>
    <s v="Hypermarkets"/>
    <x v="12"/>
    <s v="Cirio"/>
    <s v="|71/02/03|"/>
    <n v="132"/>
    <n v="2.62"/>
    <n v="2.9666666666666668"/>
  </r>
  <r>
    <x v="0"/>
    <s v="Hypermarkets"/>
    <x v="14"/>
    <s v="San Benedetto Bread"/>
    <s v="|27/01/01|"/>
    <n v="1560"/>
    <n v="0.85"/>
    <n v="0.93"/>
  </r>
  <r>
    <x v="0"/>
    <s v="Hypermarkets"/>
    <x v="14"/>
    <s v="San Benedetto Bread"/>
    <s v="|27/01/02|"/>
    <n v="2040"/>
    <n v="0.88"/>
    <n v="0.95"/>
  </r>
  <r>
    <x v="0"/>
    <s v="Hypermarkets"/>
    <x v="14"/>
    <s v="San Benedetto Bread"/>
    <s v="|27/01/03|"/>
    <n v="1908"/>
    <n v="0.79"/>
    <n v="0.97"/>
  </r>
  <r>
    <x v="0"/>
    <s v="Hypermarkets"/>
    <x v="14"/>
    <s v="San Benedetto Bread"/>
    <s v="|27/01/04|"/>
    <n v="1920"/>
    <n v="0.73"/>
    <n v="0.94"/>
  </r>
  <r>
    <x v="0"/>
    <s v="Hypermarkets"/>
    <x v="14"/>
    <s v="San Benedetto Bread"/>
    <s v="|27/01/10|"/>
    <n v="1812"/>
    <n v="0.86"/>
    <n v="0.92"/>
  </r>
  <r>
    <x v="0"/>
    <s v="Hypermarkets"/>
    <x v="14"/>
    <s v="San Benedetto Bread"/>
    <s v="|27/01/11|"/>
    <n v="2340"/>
    <n v="0.81"/>
    <n v="0.99"/>
  </r>
  <r>
    <x v="0"/>
    <s v="Hypermarkets"/>
    <x v="14"/>
    <s v="San Benedetto Bread"/>
    <s v="|27/01/12|"/>
    <n v="1440"/>
    <n v="0.87"/>
    <n v="0.97"/>
  </r>
  <r>
    <x v="0"/>
    <s v="Hypermarkets"/>
    <x v="14"/>
    <s v="San Benedetto Bread"/>
    <s v="|27/01/13|"/>
    <n v="2376"/>
    <n v="0.8"/>
    <n v="0.94"/>
  </r>
  <r>
    <x v="0"/>
    <s v="Hypermarkets"/>
    <x v="14"/>
    <s v="San Benedetto Bread"/>
    <s v="|27/01/20|"/>
    <n v="2088"/>
    <n v="0.71"/>
    <n v="0.96"/>
  </r>
  <r>
    <x v="0"/>
    <s v="Hypermarkets"/>
    <x v="14"/>
    <s v="San Benedetto Bread"/>
    <s v="|27/01/21|"/>
    <n v="1992"/>
    <n v="0.76"/>
    <n v="0.99"/>
  </r>
  <r>
    <x v="0"/>
    <s v="Hypermarkets"/>
    <x v="14"/>
    <s v="San Benedetto Bread"/>
    <s v="|27/01/22|"/>
    <n v="1332"/>
    <n v="0.87"/>
    <n v="0.96"/>
  </r>
  <r>
    <x v="0"/>
    <s v="Hypermarkets"/>
    <x v="14"/>
    <s v="San Benedetto Bread"/>
    <s v="|27/01/23|"/>
    <n v="1704"/>
    <n v="0.79"/>
    <n v="0.9"/>
  </r>
  <r>
    <x v="0"/>
    <s v="Hypermarkets"/>
    <x v="12"/>
    <s v="Atkins"/>
    <s v="|80/00/05|"/>
    <n v="168"/>
    <n v="2.5666666666666669"/>
    <n v="2.8933333333333335"/>
  </r>
  <r>
    <x v="0"/>
    <s v="Hypermarkets"/>
    <x v="12"/>
    <s v="Atkins"/>
    <s v="|88/00/00|"/>
    <n v="144"/>
    <n v="2.54"/>
    <n v="2.9466666666666668"/>
  </r>
  <r>
    <x v="0"/>
    <s v="Hypermarkets"/>
    <x v="12"/>
    <s v="Atkins"/>
    <s v="|88/00/01|"/>
    <n v="132"/>
    <n v="2.7466666666666666"/>
    <n v="2.8933333333333335"/>
  </r>
  <r>
    <x v="0"/>
    <s v="Hypermarkets"/>
    <x v="12"/>
    <s v="Atkins"/>
    <s v="|88/00/02|"/>
    <n v="180"/>
    <n v="2.7666666666666666"/>
    <n v="2.94"/>
  </r>
  <r>
    <x v="0"/>
    <s v="Hypermarkets"/>
    <x v="12"/>
    <s v="Atkins"/>
    <s v="|88/00/03|"/>
    <n v="132"/>
    <n v="2.2733333333333334"/>
    <n v="2.9933333333333332"/>
  </r>
  <r>
    <x v="0"/>
    <s v="Hypermarkets"/>
    <x v="12"/>
    <s v="Atkins"/>
    <s v="|88/00/04|"/>
    <n v="168"/>
    <n v="2.3266666666666667"/>
    <n v="2.9533333333333331"/>
  </r>
  <r>
    <x v="0"/>
    <s v="Hypermarkets"/>
    <x v="12"/>
    <s v="Atkins"/>
    <s v="|88/00/05|"/>
    <n v="144"/>
    <n v="2.5466666666666669"/>
    <n v="2.9333333333333331"/>
  </r>
  <r>
    <x v="0"/>
    <s v="Hypermarkets"/>
    <x v="12"/>
    <s v="Atkins"/>
    <s v="|88/00/06|"/>
    <n v="156"/>
    <n v="2.4466666666666668"/>
    <n v="2.8866666666666667"/>
  </r>
  <r>
    <x v="0"/>
    <s v="Hypermarkets"/>
    <x v="12"/>
    <s v="Atkins"/>
    <s v="|88/00/07|"/>
    <n v="168"/>
    <n v="2.42"/>
    <n v="2.96"/>
  </r>
  <r>
    <x v="0"/>
    <s v="Hypermarkets"/>
    <x v="12"/>
    <s v="Atkins"/>
    <s v="|88/00/08|"/>
    <n v="156"/>
    <n v="2.5333333333333332"/>
    <n v="2.8933333333333335"/>
  </r>
  <r>
    <x v="0"/>
    <s v="Hypermarkets"/>
    <x v="12"/>
    <s v="Atkins"/>
    <s v="|88/00/09|"/>
    <n v="132"/>
    <n v="2.7133333333333334"/>
    <n v="2.88"/>
  </r>
  <r>
    <x v="0"/>
    <s v="Hypermarkets"/>
    <x v="12"/>
    <s v="Atkins"/>
    <s v="|88/00/10|"/>
    <n v="120"/>
    <n v="2.4866666666666668"/>
    <n v="2.9466666666666668"/>
  </r>
  <r>
    <x v="0"/>
    <s v="Hypermarkets"/>
    <x v="12"/>
    <s v="Atkins"/>
    <s v="|88/00/11|"/>
    <n v="168"/>
    <n v="2.7733333333333334"/>
    <n v="2.9666666666666668"/>
  </r>
  <r>
    <x v="0"/>
    <s v="Hypermarkets"/>
    <x v="12"/>
    <s v="Atkins"/>
    <s v="|88/00/12|"/>
    <n v="168"/>
    <n v="2.3066666666666666"/>
    <n v="2.9466666666666668"/>
  </r>
  <r>
    <x v="0"/>
    <s v="Hypermarkets"/>
    <x v="12"/>
    <s v="Atkins"/>
    <s v="|88/00/13|"/>
    <n v="144"/>
    <n v="2.3066666666666666"/>
    <n v="2.9533333333333331"/>
  </r>
  <r>
    <x v="0"/>
    <s v="Hypermarkets"/>
    <x v="12"/>
    <s v="Atkins"/>
    <s v="|88/00/14|"/>
    <n v="180"/>
    <n v="2.34"/>
    <n v="2.9933333333333332"/>
  </r>
  <r>
    <x v="0"/>
    <s v="Hypermarkets"/>
    <x v="12"/>
    <s v="Atkins"/>
    <s v="|88/00/15|"/>
    <n v="132"/>
    <n v="2.6733333333333333"/>
    <n v="2.9733333333333332"/>
  </r>
  <r>
    <x v="0"/>
    <s v="Hypermarkets"/>
    <x v="12"/>
    <s v="Atkins"/>
    <s v="|88/00/16|"/>
    <n v="132"/>
    <n v="2.4"/>
    <n v="2.9666666666666668"/>
  </r>
  <r>
    <x v="0"/>
    <s v="Hypermarkets"/>
    <x v="12"/>
    <s v="Atkins"/>
    <s v="|88/00/17|"/>
    <n v="144"/>
    <n v="2.3266666666666667"/>
    <n v="2.9133333333333336"/>
  </r>
  <r>
    <x v="0"/>
    <s v="Hypermarkets"/>
    <x v="12"/>
    <s v="Atkins"/>
    <s v="|88/00/18|"/>
    <n v="168"/>
    <n v="2.56"/>
    <n v="2.94"/>
  </r>
  <r>
    <x v="0"/>
    <s v="Hypermarkets"/>
    <x v="12"/>
    <s v="Atkins"/>
    <s v="|88/00/19|"/>
    <n v="144"/>
    <n v="2.2666666666666666"/>
    <n v="2.9333333333333331"/>
  </r>
  <r>
    <x v="0"/>
    <s v="Hypermarkets"/>
    <x v="12"/>
    <s v="Atkins"/>
    <s v="|88/00/20|"/>
    <n v="180"/>
    <n v="2.46"/>
    <n v="2.9333333333333331"/>
  </r>
  <r>
    <x v="0"/>
    <s v="Hypermarkets"/>
    <x v="12"/>
    <s v="Atkins"/>
    <s v="|88/00/21|"/>
    <n v="168"/>
    <n v="2.64"/>
    <n v="2.9333333333333331"/>
  </r>
  <r>
    <x v="0"/>
    <s v="Hypermarkets"/>
    <x v="12"/>
    <s v="Atkins"/>
    <s v="|88/00/22|"/>
    <n v="180"/>
    <n v="2.5066666666666668"/>
    <n v="2.9133333333333336"/>
  </r>
  <r>
    <x v="0"/>
    <s v="Hypermarkets"/>
    <x v="12"/>
    <s v="Atkins"/>
    <s v="|88/00/23|"/>
    <n v="168"/>
    <n v="2.5"/>
    <n v="2.9"/>
  </r>
  <r>
    <x v="0"/>
    <s v="Hypermarkets"/>
    <x v="12"/>
    <s v="Atkins"/>
    <s v="|88/00/24|"/>
    <n v="144"/>
    <n v="2.7533333333333334"/>
    <n v="2.9733333333333332"/>
  </r>
  <r>
    <x v="0"/>
    <s v="Hypermarkets"/>
    <x v="12"/>
    <s v="Atkins"/>
    <s v="|88/00/25|"/>
    <n v="132"/>
    <n v="2.2933333333333334"/>
    <n v="2.92"/>
  </r>
  <r>
    <x v="0"/>
    <s v="Hypermarkets"/>
    <x v="12"/>
    <s v="Atkins"/>
    <s v="|88/00/26|"/>
    <n v="120"/>
    <n v="2.5"/>
    <n v="2.8733333333333335"/>
  </r>
  <r>
    <x v="0"/>
    <s v="Hypermarkets"/>
    <x v="12"/>
    <s v="Atkins"/>
    <s v="|88/00/27|"/>
    <n v="132"/>
    <n v="2.4333333333333331"/>
    <n v="2.9466666666666668"/>
  </r>
  <r>
    <x v="0"/>
    <s v="Hypermarkets"/>
    <x v="12"/>
    <s v="Atkins"/>
    <s v="|88/00/28|"/>
    <n v="120"/>
    <n v="2.42"/>
    <n v="2.8866666666666667"/>
  </r>
  <r>
    <x v="0"/>
    <s v="Hypermarkets"/>
    <x v="12"/>
    <s v="Atkins"/>
    <s v="|88/00/29|"/>
    <n v="132"/>
    <n v="2.6866666666666665"/>
    <n v="2.98"/>
  </r>
  <r>
    <x v="0"/>
    <s v="Hypermarkets"/>
    <x v="12"/>
    <s v="Atkins"/>
    <s v="|88/00/30|"/>
    <n v="156"/>
    <n v="2.64"/>
    <n v="2.8666666666666667"/>
  </r>
  <r>
    <x v="0"/>
    <s v="Hypermarkets"/>
    <x v="12"/>
    <s v="Atkins"/>
    <s v="|88/00/31|"/>
    <n v="120"/>
    <n v="2.3933333333333335"/>
    <n v="2.98"/>
  </r>
  <r>
    <x v="0"/>
    <s v="Hypermarkets"/>
    <x v="12"/>
    <s v="Atkins"/>
    <s v="|88/00/32|"/>
    <n v="144"/>
    <n v="2.7"/>
    <n v="2.9533333333333331"/>
  </r>
  <r>
    <x v="0"/>
    <s v="Hypermarkets"/>
    <x v="12"/>
    <s v="Atkins"/>
    <s v="|88/00/33|"/>
    <n v="120"/>
    <n v="2.38"/>
    <n v="2.96"/>
  </r>
  <r>
    <x v="0"/>
    <s v="Hypermarkets"/>
    <x v="12"/>
    <s v="Atkins"/>
    <s v="|88/00/34|"/>
    <n v="120"/>
    <n v="2.6266666666666665"/>
    <n v="2.9066666666666667"/>
  </r>
  <r>
    <x v="0"/>
    <s v="Hypermarkets"/>
    <x v="12"/>
    <s v="Atkins"/>
    <s v="|88/00/35|"/>
    <n v="132"/>
    <n v="2.3666666666666667"/>
    <n v="2.9533333333333331"/>
  </r>
  <r>
    <x v="0"/>
    <s v="Hypermarkets"/>
    <x v="12"/>
    <s v="Atkins"/>
    <s v="|88/00/36|"/>
    <n v="156"/>
    <n v="2.3733333333333335"/>
    <n v="2.9"/>
  </r>
  <r>
    <x v="0"/>
    <s v="Hypermarkets"/>
    <x v="12"/>
    <s v="Atkins"/>
    <s v="|88/00/37|"/>
    <n v="156"/>
    <n v="2.6133333333333333"/>
    <n v="2.98"/>
  </r>
  <r>
    <x v="0"/>
    <s v="Hypermarkets"/>
    <x v="12"/>
    <s v="Atkins"/>
    <s v="|88/00/38|"/>
    <n v="156"/>
    <n v="2.5066666666666668"/>
    <n v="3"/>
  </r>
  <r>
    <x v="0"/>
    <s v="Hypermarkets"/>
    <x v="12"/>
    <s v="Atkins"/>
    <s v="|88/00/39|"/>
    <n v="168"/>
    <n v="2.4133333333333336"/>
    <n v="2.8866666666666667"/>
  </r>
  <r>
    <x v="0"/>
    <s v="Hypermarkets"/>
    <x v="12"/>
    <s v="Atkins"/>
    <s v="|88/00/40|"/>
    <n v="144"/>
    <n v="2.6933333333333334"/>
    <n v="2.8733333333333335"/>
  </r>
  <r>
    <x v="0"/>
    <s v="Hypermarkets"/>
    <x v="12"/>
    <s v="Atkins"/>
    <s v="|88/00/41|"/>
    <n v="156"/>
    <n v="2.2733333333333334"/>
    <n v="2.9733333333333332"/>
  </r>
  <r>
    <x v="0"/>
    <s v="Hypermarkets"/>
    <x v="12"/>
    <s v="Atkins"/>
    <s v="|88/00/42|"/>
    <n v="180"/>
    <n v="2.58"/>
    <n v="2.94"/>
  </r>
  <r>
    <x v="0"/>
    <s v="Hypermarkets"/>
    <x v="12"/>
    <s v="Atkins"/>
    <s v="|88/00/43|"/>
    <n v="156"/>
    <n v="2.5733333333333333"/>
    <n v="2.96"/>
  </r>
  <r>
    <x v="0"/>
    <s v="Hypermarkets"/>
    <x v="12"/>
    <s v="Atkins"/>
    <s v="|88/00/44|"/>
    <n v="144"/>
    <n v="2.3266666666666667"/>
    <n v="2.8666666666666667"/>
  </r>
  <r>
    <x v="0"/>
    <s v="Hypermarkets"/>
    <x v="12"/>
    <s v="Atkins"/>
    <s v="|88/00/46|"/>
    <n v="132"/>
    <n v="2.5266666666666668"/>
    <n v="2.9066666666666667"/>
  </r>
  <r>
    <x v="0"/>
    <s v="Hypermarkets"/>
    <x v="12"/>
    <s v="Atkins"/>
    <s v="|88/00/47|"/>
    <n v="168"/>
    <n v="2.4133333333333336"/>
    <n v="3"/>
  </r>
  <r>
    <x v="0"/>
    <s v="Hypermarkets"/>
    <x v="12"/>
    <s v="Atkins"/>
    <s v="|88/00/48|"/>
    <n v="180"/>
    <n v="2.58"/>
    <n v="2.9666666666666668"/>
  </r>
  <r>
    <x v="0"/>
    <s v="Hypermarkets"/>
    <x v="12"/>
    <s v="Atkins"/>
    <s v="|88/00/49|"/>
    <n v="168"/>
    <n v="2.7466666666666666"/>
    <n v="2.9933333333333332"/>
  </r>
  <r>
    <x v="0"/>
    <s v="Hypermarkets"/>
    <x v="12"/>
    <s v="Atkins"/>
    <s v="|88/00/50|"/>
    <n v="180"/>
    <n v="2.5133333333333332"/>
    <n v="2.9"/>
  </r>
  <r>
    <x v="0"/>
    <s v="Hypermarkets"/>
    <x v="12"/>
    <s v="Atkins"/>
    <s v="|88/00/51|"/>
    <n v="132"/>
    <n v="2.6133333333333333"/>
    <n v="2.9533333333333331"/>
  </r>
  <r>
    <x v="0"/>
    <s v="Hypermarkets"/>
    <x v="12"/>
    <s v="Atkins"/>
    <s v="|88/00/52|"/>
    <n v="144"/>
    <n v="2.5733333333333333"/>
    <n v="2.9933333333333332"/>
  </r>
  <r>
    <x v="0"/>
    <s v="Hypermarkets"/>
    <x v="12"/>
    <s v="Atkins"/>
    <s v="|88/00/53|"/>
    <n v="144"/>
    <n v="2.3066666666666666"/>
    <n v="2.8733333333333335"/>
  </r>
  <r>
    <x v="0"/>
    <s v="Hypermarkets"/>
    <x v="12"/>
    <s v="Atkins"/>
    <s v="|88/00/54|"/>
    <n v="132"/>
    <n v="2.5133333333333332"/>
    <n v="2.9"/>
  </r>
  <r>
    <x v="0"/>
    <s v="Hypermarkets"/>
    <x v="12"/>
    <s v="Atkins"/>
    <s v="|88/00/55|"/>
    <n v="180"/>
    <n v="2.4933333333333332"/>
    <n v="2.9866666666666668"/>
  </r>
  <r>
    <x v="0"/>
    <s v="Hypermarkets"/>
    <x v="12"/>
    <s v="Atkins"/>
    <s v="|88/00/56|"/>
    <n v="168"/>
    <n v="2.5266666666666668"/>
    <n v="2.9733333333333332"/>
  </r>
  <r>
    <x v="0"/>
    <s v="Hypermarkets"/>
    <x v="12"/>
    <s v="Atkins"/>
    <s v="|88/00/57|"/>
    <n v="144"/>
    <n v="2.5466666666666669"/>
    <n v="2.9333333333333331"/>
  </r>
  <r>
    <x v="0"/>
    <s v="Hypermarkets"/>
    <x v="12"/>
    <s v="Atkins"/>
    <s v="|88/00/58|"/>
    <n v="180"/>
    <n v="2.6266666666666665"/>
    <n v="2.9466666666666668"/>
  </r>
  <r>
    <x v="0"/>
    <s v="Hypermarkets"/>
    <x v="12"/>
    <s v="Atkins"/>
    <s v="|88/00/59|"/>
    <n v="168"/>
    <n v="2.68"/>
    <n v="2.88"/>
  </r>
  <r>
    <x v="0"/>
    <s v="Hypermarkets"/>
    <x v="12"/>
    <s v="Atkins"/>
    <s v="|88/00/60|"/>
    <n v="180"/>
    <n v="2.6066666666666665"/>
    <n v="2.9333333333333331"/>
  </r>
  <r>
    <x v="0"/>
    <s v="Hypermarkets"/>
    <x v="12"/>
    <s v="Atkins"/>
    <s v="|88/00/61|"/>
    <n v="120"/>
    <n v="2.6733333333333333"/>
    <n v="2.8933333333333335"/>
  </r>
  <r>
    <x v="0"/>
    <s v="Hypermarkets"/>
    <x v="12"/>
    <s v="Atkins"/>
    <s v="|88/00/62|"/>
    <n v="144"/>
    <n v="2.6"/>
    <n v="2.9266666666666667"/>
  </r>
  <r>
    <x v="0"/>
    <s v="Hypermarkets"/>
    <x v="12"/>
    <s v="Atkins"/>
    <s v="|88/00/64|"/>
    <n v="120"/>
    <n v="2.6066666666666665"/>
    <n v="2.9"/>
  </r>
  <r>
    <x v="0"/>
    <s v="Hypermarkets"/>
    <x v="12"/>
    <s v="Atkins"/>
    <s v="|88/00/65|"/>
    <n v="156"/>
    <n v="2.5866666666666664"/>
    <n v="2.88"/>
  </r>
  <r>
    <x v="0"/>
    <s v="Hypermarkets"/>
    <x v="12"/>
    <s v="Atkins"/>
    <s v="|88/00/67|"/>
    <n v="168"/>
    <n v="2.4666666666666668"/>
    <n v="2.9466666666666668"/>
  </r>
  <r>
    <x v="0"/>
    <s v="Hypermarkets"/>
    <x v="12"/>
    <s v="Atkins"/>
    <s v="|88/00/68|"/>
    <n v="156"/>
    <n v="2.5733333333333333"/>
    <n v="2.9533333333333331"/>
  </r>
  <r>
    <x v="0"/>
    <s v="Hypermarkets"/>
    <x v="12"/>
    <s v="Atkins"/>
    <s v="|88/00/69|"/>
    <n v="168"/>
    <n v="2.5"/>
    <n v="3"/>
  </r>
  <r>
    <x v="0"/>
    <s v="Hypermarkets"/>
    <x v="12"/>
    <s v="Atkins"/>
    <s v="|88/00/70|"/>
    <n v="156"/>
    <n v="2.58"/>
    <n v="2.9733333333333332"/>
  </r>
  <r>
    <x v="0"/>
    <s v="Hypermarkets"/>
    <x v="12"/>
    <s v="Atkins"/>
    <s v="|88/00/71|"/>
    <n v="120"/>
    <n v="2.34"/>
    <n v="2.8933333333333335"/>
  </r>
  <r>
    <x v="0"/>
    <s v="Hypermarkets"/>
    <x v="12"/>
    <s v="Atkins"/>
    <s v="|88/00/72|"/>
    <n v="120"/>
    <n v="2.4133333333333336"/>
    <n v="2.9"/>
  </r>
  <r>
    <x v="0"/>
    <s v="Hypermarkets"/>
    <x v="12"/>
    <s v="Spicers"/>
    <s v="|127/01/01|"/>
    <n v="132"/>
    <n v="2.4133333333333336"/>
    <n v="2.96"/>
  </r>
  <r>
    <x v="0"/>
    <s v="Hypermarkets"/>
    <x v="12"/>
    <s v="Spicers"/>
    <s v="|127/01/02|"/>
    <n v="132"/>
    <n v="2.78"/>
    <n v="2.88"/>
  </r>
  <r>
    <x v="0"/>
    <s v="Hypermarkets"/>
    <x v="12"/>
    <s v="Spicers"/>
    <s v="|127/01/03|"/>
    <n v="144"/>
    <n v="2.46"/>
    <n v="2.9533333333333331"/>
  </r>
  <r>
    <x v="0"/>
    <s v="Hypermarkets"/>
    <x v="12"/>
    <s v="Parmareggio"/>
    <s v="|101/01/00|"/>
    <n v="180"/>
    <n v="2.6666666666666665"/>
    <n v="2.9"/>
  </r>
  <r>
    <x v="0"/>
    <s v="Hypermarkets"/>
    <x v="12"/>
    <s v="Parmareggio"/>
    <s v="|101/01/01|"/>
    <n v="120"/>
    <n v="2.4866666666666668"/>
    <n v="2.9266666666666667"/>
  </r>
  <r>
    <x v="0"/>
    <s v="Hypermarkets"/>
    <x v="12"/>
    <s v="Parmareggio"/>
    <s v="|101/01/02|"/>
    <n v="132"/>
    <n v="2.52"/>
    <n v="2.9066666666666667"/>
  </r>
  <r>
    <x v="0"/>
    <s v="Hypermarkets"/>
    <x v="12"/>
    <s v="Parmareggio"/>
    <s v="|101/01/03|"/>
    <n v="156"/>
    <n v="2.4666666666666668"/>
    <n v="2.88"/>
  </r>
  <r>
    <x v="0"/>
    <s v="Hypermarkets"/>
    <x v="12"/>
    <s v="Parmareggio"/>
    <s v="|101/01/04|"/>
    <n v="168"/>
    <n v="2.3066666666666666"/>
    <n v="2.96"/>
  </r>
  <r>
    <x v="0"/>
    <s v="Hypermarkets"/>
    <x v="12"/>
    <s v="Parmareggio"/>
    <s v="|101/01/05|"/>
    <n v="156"/>
    <n v="2.7333333333333334"/>
    <n v="2.9733333333333332"/>
  </r>
  <r>
    <x v="0"/>
    <s v="Hypermarkets"/>
    <x v="12"/>
    <s v="Parmareggio"/>
    <s v="|101/01/06|"/>
    <n v="120"/>
    <n v="2.74"/>
    <n v="2.9"/>
  </r>
  <r>
    <x v="0"/>
    <s v="Hypermarkets"/>
    <x v="12"/>
    <s v="Parmareggio"/>
    <s v="|101/01/07|"/>
    <n v="144"/>
    <n v="2.58"/>
    <n v="2.8933333333333335"/>
  </r>
  <r>
    <x v="0"/>
    <s v="Hypermarkets"/>
    <x v="12"/>
    <s v="Parmareggio"/>
    <s v="|101/01/08|"/>
    <n v="156"/>
    <n v="2.34"/>
    <n v="2.9933333333333332"/>
  </r>
  <r>
    <x v="0"/>
    <s v="Hypermarkets"/>
    <x v="12"/>
    <s v="Parmareggio"/>
    <s v="|101/01/09|"/>
    <n v="180"/>
    <n v="2.4066666666666667"/>
    <n v="2.98"/>
  </r>
  <r>
    <x v="0"/>
    <s v="Hypermarkets"/>
    <x v="12"/>
    <s v="Parmareggio"/>
    <s v="|101/01/10|"/>
    <n v="180"/>
    <n v="2.38"/>
    <n v="2.96"/>
  </r>
  <r>
    <x v="0"/>
    <s v="Hypermarkets"/>
    <x v="14"/>
    <s v="Rana"/>
    <s v="|29/02/01|"/>
    <n v="2016"/>
    <n v="0.89"/>
    <n v="0.99"/>
  </r>
  <r>
    <x v="0"/>
    <s v="Hypermarkets"/>
    <x v="14"/>
    <s v="Rana"/>
    <s v="|29/02/02|"/>
    <n v="1284"/>
    <n v="0.73"/>
    <n v="0.96"/>
  </r>
  <r>
    <x v="0"/>
    <s v="Hypermarkets"/>
    <x v="14"/>
    <s v="Rana"/>
    <s v="|29/02/03|"/>
    <n v="1992"/>
    <n v="0.81"/>
    <n v="0.91"/>
  </r>
  <r>
    <x v="0"/>
    <s v="Hypermarkets"/>
    <x v="14"/>
    <s v="Rana"/>
    <s v="|29/02/04|"/>
    <n v="2232"/>
    <n v="0.72"/>
    <n v="0.95"/>
  </r>
  <r>
    <x v="0"/>
    <s v="Hypermarkets"/>
    <x v="14"/>
    <s v="Rana"/>
    <s v="|29/02/05|"/>
    <n v="1548"/>
    <n v="0.74"/>
    <n v="0.93"/>
  </r>
  <r>
    <x v="0"/>
    <s v="Hypermarkets"/>
    <x v="14"/>
    <s v="Rana"/>
    <s v="|29/02/06|"/>
    <n v="1812"/>
    <n v="0.7"/>
    <n v="0.98"/>
  </r>
  <r>
    <x v="0"/>
    <s v="Hypermarkets"/>
    <x v="14"/>
    <s v="Rana"/>
    <s v="|29/02/07|"/>
    <n v="2160"/>
    <n v="0.82"/>
    <n v="0.96"/>
  </r>
  <r>
    <x v="0"/>
    <s v="Hypermarkets"/>
    <x v="14"/>
    <s v="Rana"/>
    <s v="|29/02/08|"/>
    <n v="1428"/>
    <n v="0.84"/>
    <n v="0.91"/>
  </r>
  <r>
    <x v="0"/>
    <s v="Hypermarkets"/>
    <x v="14"/>
    <s v="Rana"/>
    <s v="|29/02/09|"/>
    <n v="1284"/>
    <n v="0.7"/>
    <n v="0.99"/>
  </r>
  <r>
    <x v="0"/>
    <s v="Hypermarkets"/>
    <x v="14"/>
    <s v="Rana"/>
    <s v="|29/02/10|"/>
    <n v="1848"/>
    <n v="0.84"/>
    <n v="1"/>
  </r>
  <r>
    <x v="0"/>
    <s v="Hypermarkets"/>
    <x v="14"/>
    <s v="Rana"/>
    <s v="|29/02/11|"/>
    <n v="2052"/>
    <n v="0.79"/>
    <n v="0.98"/>
  </r>
  <r>
    <x v="0"/>
    <s v="Hypermarkets"/>
    <x v="14"/>
    <s v="Rana"/>
    <s v="|29/02/12|"/>
    <n v="1344"/>
    <n v="0.89"/>
    <n v="0.92"/>
  </r>
  <r>
    <x v="0"/>
    <s v="Hypermarkets"/>
    <x v="14"/>
    <s v="Rana"/>
    <s v="|29/02/13|"/>
    <n v="1824"/>
    <n v="0.76"/>
    <n v="0.98"/>
  </r>
  <r>
    <x v="0"/>
    <s v="Hypermarkets"/>
    <x v="14"/>
    <s v="Rana"/>
    <s v="|29/02/14|"/>
    <n v="1800"/>
    <n v="0.85"/>
    <n v="0.91"/>
  </r>
  <r>
    <x v="0"/>
    <s v="Hypermarkets"/>
    <x v="14"/>
    <s v="Rana"/>
    <s v="|29/02/15|"/>
    <n v="2004"/>
    <n v="0.7"/>
    <n v="0.9"/>
  </r>
  <r>
    <x v="0"/>
    <s v="Hypermarkets"/>
    <x v="14"/>
    <s v="Rana"/>
    <s v="|29/02/16|"/>
    <n v="1500"/>
    <n v="0.83"/>
    <n v="0.93"/>
  </r>
  <r>
    <x v="0"/>
    <s v="Hypermarkets"/>
    <x v="14"/>
    <s v="Rana"/>
    <s v="|29/02/17|"/>
    <n v="1656"/>
    <n v="0.83"/>
    <n v="1"/>
  </r>
  <r>
    <x v="0"/>
    <s v="Hypermarkets"/>
    <x v="14"/>
    <s v="Rana"/>
    <s v="|29/02/18|"/>
    <n v="2016"/>
    <n v="0.81"/>
    <n v="1"/>
  </r>
  <r>
    <x v="0"/>
    <s v="Hypermarkets"/>
    <x v="14"/>
    <s v="Rana"/>
    <s v="|29/02/19|"/>
    <n v="1404"/>
    <n v="0.84"/>
    <n v="0.92"/>
  </r>
  <r>
    <x v="0"/>
    <s v="Hypermarkets"/>
    <x v="14"/>
    <s v="Rana"/>
    <s v="|29/02/20|"/>
    <n v="2268"/>
    <n v="0.77"/>
    <n v="0.95"/>
  </r>
  <r>
    <x v="0"/>
    <s v="Hypermarkets"/>
    <x v="14"/>
    <s v="Rana"/>
    <s v="|29/02/21|"/>
    <n v="2232"/>
    <n v="0.82"/>
    <n v="0.94"/>
  </r>
  <r>
    <x v="0"/>
    <s v="Hypermarkets"/>
    <x v="14"/>
    <s v="Rana"/>
    <s v="|29/02/22|"/>
    <n v="2184"/>
    <n v="0.88"/>
    <n v="0.99"/>
  </r>
  <r>
    <x v="0"/>
    <s v="Hypermarkets"/>
    <x v="14"/>
    <s v="Rana"/>
    <s v="|29/02/23|"/>
    <n v="2268"/>
    <n v="0.88"/>
    <n v="0.95"/>
  </r>
  <r>
    <x v="0"/>
    <s v="Hypermarkets"/>
    <x v="14"/>
    <s v="Rana"/>
    <s v="|29/02/24|"/>
    <n v="1524"/>
    <n v="0.71"/>
    <n v="0.94"/>
  </r>
  <r>
    <x v="0"/>
    <s v="Hypermarkets"/>
    <x v="14"/>
    <s v="Rana"/>
    <s v="|29/02/25|"/>
    <n v="1728"/>
    <n v="0.9"/>
    <n v="0.98"/>
  </r>
  <r>
    <x v="0"/>
    <s v="Hypermarkets"/>
    <x v="14"/>
    <s v="Rana"/>
    <s v="|29/02/26|"/>
    <n v="1224"/>
    <n v="0.72"/>
    <n v="0.9"/>
  </r>
  <r>
    <x v="0"/>
    <s v="Hypermarkets"/>
    <x v="14"/>
    <s v="Rana"/>
    <s v="|29/02/27|"/>
    <n v="1944"/>
    <n v="0.89"/>
    <n v="1"/>
  </r>
  <r>
    <x v="0"/>
    <s v="Hypermarkets"/>
    <x v="14"/>
    <s v="Rana"/>
    <s v="|29/02/30|"/>
    <n v="1404"/>
    <n v="0.83"/>
    <n v="0.96"/>
  </r>
  <r>
    <x v="0"/>
    <s v="Hypermarkets"/>
    <x v="14"/>
    <s v="Rana"/>
    <s v="|29/02/31|"/>
    <n v="2052"/>
    <n v="0.7"/>
    <n v="1"/>
  </r>
  <r>
    <x v="0"/>
    <s v="Hypermarkets"/>
    <x v="14"/>
    <s v="Rana"/>
    <s v="|29/02/32|"/>
    <n v="1368"/>
    <n v="0.75"/>
    <n v="0.99"/>
  </r>
  <r>
    <x v="0"/>
    <s v="Hypermarkets"/>
    <x v="14"/>
    <s v="Rana"/>
    <s v="|29/02/33|"/>
    <n v="2232"/>
    <n v="0.82"/>
    <n v="1"/>
  </r>
  <r>
    <x v="0"/>
    <s v="Hypermarkets"/>
    <x v="14"/>
    <s v="Rana"/>
    <s v="|29/02/34|"/>
    <n v="2328"/>
    <n v="0.8"/>
    <n v="0.98"/>
  </r>
  <r>
    <x v="0"/>
    <s v="Hypermarkets"/>
    <x v="14"/>
    <s v="Rana"/>
    <s v="|29/02/35|"/>
    <n v="2028"/>
    <n v="0.82"/>
    <n v="0.99"/>
  </r>
  <r>
    <x v="0"/>
    <s v="Hypermarkets"/>
    <x v="14"/>
    <s v="Rana"/>
    <s v="|29/02/36|"/>
    <n v="1704"/>
    <n v="0.86"/>
    <n v="0.9"/>
  </r>
  <r>
    <x v="0"/>
    <s v="Hypermarkets"/>
    <x v="14"/>
    <s v="Rana"/>
    <s v="|29/02/40|"/>
    <n v="1668"/>
    <n v="0.8"/>
    <n v="0.94"/>
  </r>
  <r>
    <x v="0"/>
    <s v="Hypermarkets"/>
    <x v="14"/>
    <s v="Rana"/>
    <s v="|29/02/41|"/>
    <n v="1932"/>
    <n v="0.7"/>
    <n v="0.92"/>
  </r>
  <r>
    <x v="0"/>
    <s v="Hypermarkets"/>
    <x v="12"/>
    <s v="Real quality"/>
    <s v="|132/01/01|"/>
    <n v="168"/>
    <n v="2.3866666666666667"/>
    <n v="2.9"/>
  </r>
  <r>
    <x v="0"/>
    <s v="Hypermarkets"/>
    <x v="13"/>
    <s v="Lactalis"/>
    <s v="|54/01/01|"/>
    <n v="552"/>
    <n v="2.12"/>
    <n v="3.74"/>
  </r>
  <r>
    <x v="0"/>
    <s v="Hypermarkets"/>
    <x v="13"/>
    <s v="Lactalis"/>
    <s v="|54/01/02|"/>
    <n v="156"/>
    <n v="2.34"/>
    <n v="3.02"/>
  </r>
  <r>
    <x v="0"/>
    <s v="Hypermarkets"/>
    <x v="13"/>
    <s v="Lactalis"/>
    <s v="|54/01/03|"/>
    <n v="444"/>
    <n v="2.38"/>
    <n v="3.04"/>
  </r>
  <r>
    <x v="0"/>
    <s v="Hypermarkets"/>
    <x v="13"/>
    <s v="Lactalis"/>
    <s v="|54/01/04|"/>
    <n v="384"/>
    <n v="2.46"/>
    <n v="3.72"/>
  </r>
  <r>
    <x v="0"/>
    <s v="Hypermarkets"/>
    <x v="13"/>
    <s v="Lactalis"/>
    <s v="|54/01/05|"/>
    <n v="228"/>
    <n v="2.4500000000000002"/>
    <n v="3.05"/>
  </r>
  <r>
    <x v="0"/>
    <s v="Hypermarkets"/>
    <x v="13"/>
    <s v="Lactalis"/>
    <s v="|54/01/06|"/>
    <n v="336"/>
    <n v="2.3199999999999998"/>
    <n v="3.04"/>
  </r>
  <r>
    <x v="0"/>
    <s v="Hypermarkets"/>
    <x v="13"/>
    <s v="Lactalis"/>
    <s v="|54/01/07|"/>
    <n v="300"/>
    <n v="2.61"/>
    <n v="3.5"/>
  </r>
  <r>
    <x v="0"/>
    <s v="Hypermarkets"/>
    <x v="13"/>
    <s v="Lactalis"/>
    <s v="|54/01/08|"/>
    <n v="156"/>
    <n v="2.71"/>
    <n v="3.42"/>
  </r>
  <r>
    <x v="0"/>
    <s v="Hypermarkets"/>
    <x v="13"/>
    <s v="Lactalis"/>
    <s v="|54/01/09|"/>
    <n v="588"/>
    <n v="2.69"/>
    <n v="3.41"/>
  </r>
  <r>
    <x v="0"/>
    <s v="Hypermarkets"/>
    <x v="13"/>
    <s v="Lactalis"/>
    <s v="|54/01/10|"/>
    <n v="576"/>
    <n v="2.71"/>
    <n v="3.14"/>
  </r>
  <r>
    <x v="0"/>
    <s v="Hypermarkets"/>
    <x v="13"/>
    <s v="Lactalis"/>
    <s v="|54/01/11|"/>
    <n v="156"/>
    <n v="2.66"/>
    <n v="3.47"/>
  </r>
  <r>
    <x v="0"/>
    <s v="Hypermarkets"/>
    <x v="13"/>
    <s v="Lactalis"/>
    <s v="|54/01/12|"/>
    <n v="564"/>
    <n v="2.04"/>
    <n v="3.66"/>
  </r>
  <r>
    <x v="0"/>
    <s v="Hypermarkets"/>
    <x v="13"/>
    <s v="Lactalis"/>
    <s v="|54/01/13|"/>
    <n v="312"/>
    <n v="2.63"/>
    <n v="3.19"/>
  </r>
  <r>
    <x v="0"/>
    <s v="Hypermarkets"/>
    <x v="13"/>
    <s v="Lactalis"/>
    <s v="|54/01/14|"/>
    <n v="240"/>
    <n v="2.21"/>
    <n v="3.1"/>
  </r>
  <r>
    <x v="0"/>
    <s v="Hypermarkets"/>
    <x v="13"/>
    <s v="Lactalis"/>
    <s v="|54/01/15|"/>
    <n v="480"/>
    <n v="2.0099999999999998"/>
    <n v="3.64"/>
  </r>
  <r>
    <x v="0"/>
    <s v="Hypermarkets"/>
    <x v="13"/>
    <s v="Lactalis"/>
    <s v="|54/01/16|"/>
    <n v="192"/>
    <n v="2.79"/>
    <n v="3.11"/>
  </r>
  <r>
    <x v="0"/>
    <s v="Hypermarkets"/>
    <x v="13"/>
    <s v="Lactalis"/>
    <s v="|54/01/17|"/>
    <n v="300"/>
    <n v="2.19"/>
    <n v="3.51"/>
  </r>
  <r>
    <x v="0"/>
    <s v="Hypermarkets"/>
    <x v="13"/>
    <s v="Lactalis"/>
    <s v="|54/01/18|"/>
    <n v="348"/>
    <n v="2.4900000000000002"/>
    <n v="3.7"/>
  </r>
  <r>
    <x v="0"/>
    <s v="Hypermarkets"/>
    <x v="13"/>
    <s v="Lactalis"/>
    <s v="|54/01/19|"/>
    <n v="384"/>
    <n v="2.13"/>
    <n v="3.48"/>
  </r>
  <r>
    <x v="0"/>
    <s v="Hypermarkets"/>
    <x v="13"/>
    <s v="Lactalis"/>
    <s v="|54/01/20|"/>
    <n v="216"/>
    <n v="2.1"/>
    <n v="3.21"/>
  </r>
  <r>
    <x v="0"/>
    <s v="Hypermarkets"/>
    <x v="13"/>
    <s v="Lactalis"/>
    <s v="|54/01/21|"/>
    <n v="516"/>
    <n v="2"/>
    <n v="3.67"/>
  </r>
  <r>
    <x v="0"/>
    <s v="Hypermarkets"/>
    <x v="13"/>
    <s v="Lactalis"/>
    <s v="|54/01/22|"/>
    <n v="600"/>
    <n v="2.08"/>
    <n v="3"/>
  </r>
  <r>
    <x v="0"/>
    <s v="Hypermarkets"/>
    <x v="13"/>
    <s v="Lactalis"/>
    <s v="|54/01/23|"/>
    <n v="180"/>
    <n v="2.71"/>
    <n v="3.11"/>
  </r>
  <r>
    <x v="0"/>
    <s v="Hypermarkets"/>
    <x v="13"/>
    <s v="Lactalis"/>
    <s v="|54/01/24|"/>
    <n v="420"/>
    <n v="2.1800000000000002"/>
    <n v="3.33"/>
  </r>
  <r>
    <x v="0"/>
    <s v="Hypermarkets"/>
    <x v="13"/>
    <s v="Lactalis"/>
    <s v="|54/01/25|"/>
    <n v="432"/>
    <n v="2.77"/>
    <n v="3.74"/>
  </r>
  <r>
    <x v="0"/>
    <s v="Hypermarkets"/>
    <x v="13"/>
    <s v="Lactalis"/>
    <s v="|54/01/26|"/>
    <n v="516"/>
    <n v="2.8"/>
    <n v="3.19"/>
  </r>
  <r>
    <x v="0"/>
    <s v="Hypermarkets"/>
    <x v="13"/>
    <s v="Lactalis"/>
    <s v="|54/01/27|"/>
    <n v="600"/>
    <n v="2.4"/>
    <n v="3.05"/>
  </r>
  <r>
    <x v="0"/>
    <s v="Hypermarkets"/>
    <x v="13"/>
    <s v="Lactalis"/>
    <s v="|54/01/28|"/>
    <n v="180"/>
    <n v="2.34"/>
    <n v="3.52"/>
  </r>
  <r>
    <x v="0"/>
    <s v="Hypermarkets"/>
    <x v="13"/>
    <s v="Lactalis"/>
    <s v="|54/01/29|"/>
    <n v="492"/>
    <n v="2.39"/>
    <n v="3.38"/>
  </r>
  <r>
    <x v="0"/>
    <s v="Hypermarkets"/>
    <x v="13"/>
    <s v="Lactalis"/>
    <s v="|54/01/30|"/>
    <n v="300"/>
    <n v="2.41"/>
    <n v="3.23"/>
  </r>
  <r>
    <x v="0"/>
    <s v="Hypermarkets"/>
    <x v="13"/>
    <s v="Lactalis"/>
    <s v="|54/01/31|"/>
    <n v="276"/>
    <n v="2"/>
    <n v="3.78"/>
  </r>
  <r>
    <x v="0"/>
    <s v="Hypermarkets"/>
    <x v="13"/>
    <s v="Lactalis"/>
    <s v="|54/01/32|"/>
    <n v="588"/>
    <n v="2.8"/>
    <n v="3.7"/>
  </r>
  <r>
    <x v="0"/>
    <s v="Hypermarkets"/>
    <x v="13"/>
    <s v="Lactalis"/>
    <s v="|54/01/33|"/>
    <n v="336"/>
    <n v="2.1"/>
    <n v="3.18"/>
  </r>
  <r>
    <x v="0"/>
    <s v="Hypermarkets"/>
    <x v="13"/>
    <s v="Lactalis"/>
    <s v="|54/01/34|"/>
    <n v="252"/>
    <n v="2.65"/>
    <n v="3.1"/>
  </r>
  <r>
    <x v="0"/>
    <s v="Hypermarkets"/>
    <x v="13"/>
    <s v="Lactalis"/>
    <s v="|54/01/35|"/>
    <n v="396"/>
    <n v="2.25"/>
    <n v="3.7"/>
  </r>
  <r>
    <x v="0"/>
    <s v="Hypermarkets"/>
    <x v="13"/>
    <s v="Lactalis"/>
    <s v="|54/01/36|"/>
    <n v="456"/>
    <n v="2.2799999999999998"/>
    <n v="3.66"/>
  </r>
  <r>
    <x v="0"/>
    <s v="Hypermarkets"/>
    <x v="13"/>
    <s v="Lactalis"/>
    <s v="|54/01/37|"/>
    <n v="216"/>
    <n v="2.19"/>
    <n v="3.63"/>
  </r>
  <r>
    <x v="0"/>
    <s v="Hypermarkets"/>
    <x v="13"/>
    <s v="Lactalis"/>
    <s v="|54/01/90|"/>
    <n v="120"/>
    <n v="2.79"/>
    <n v="3.6"/>
  </r>
  <r>
    <x v="0"/>
    <s v="Hypermarkets"/>
    <x v="12"/>
    <s v="Bella's"/>
    <s v="|35/01/01|"/>
    <n v="132"/>
    <n v="2.7"/>
    <n v="2.9866666666666668"/>
  </r>
  <r>
    <x v="0"/>
    <s v="Hypermarkets"/>
    <x v="12"/>
    <s v="Bella's"/>
    <s v="|35/01/02|"/>
    <n v="156"/>
    <n v="2.38"/>
    <n v="2.9466666666666668"/>
  </r>
  <r>
    <x v="0"/>
    <s v="Hypermarkets"/>
    <x v="12"/>
    <s v="Bella's"/>
    <s v="|35/01/03|"/>
    <n v="132"/>
    <n v="2.6066666666666665"/>
    <n v="2.88"/>
  </r>
  <r>
    <x v="0"/>
    <s v="Hypermarkets"/>
    <x v="12"/>
    <s v="Bella's"/>
    <s v="|35/01/04|"/>
    <n v="144"/>
    <n v="2.3533333333333335"/>
    <n v="2.9733333333333332"/>
  </r>
  <r>
    <x v="0"/>
    <s v="Hypermarkets"/>
    <x v="12"/>
    <s v="Bella's"/>
    <s v="|35/01/05|"/>
    <n v="156"/>
    <n v="2.5266666666666668"/>
    <n v="2.9533333333333331"/>
  </r>
  <r>
    <x v="0"/>
    <s v="Hypermarkets"/>
    <x v="12"/>
    <s v="Bella's"/>
    <s v="|35/01/06|"/>
    <n v="144"/>
    <n v="2.4466666666666668"/>
    <n v="2.9866666666666668"/>
  </r>
  <r>
    <x v="0"/>
    <s v="Hypermarkets"/>
    <x v="12"/>
    <s v="Bella's"/>
    <s v="|35/01/07|"/>
    <n v="144"/>
    <n v="2.2733333333333334"/>
    <n v="2.9066666666666667"/>
  </r>
  <r>
    <x v="0"/>
    <s v="Hypermarkets"/>
    <x v="12"/>
    <s v="Bella's"/>
    <s v="|35/01/08|"/>
    <n v="168"/>
    <n v="2.56"/>
    <n v="2.9266666666666667"/>
  </r>
  <r>
    <x v="0"/>
    <s v="Hypermarkets"/>
    <x v="12"/>
    <s v="Bella's"/>
    <s v="|35/01/09|"/>
    <n v="132"/>
    <n v="2.2866666666666666"/>
    <n v="2.9266666666666667"/>
  </r>
  <r>
    <x v="0"/>
    <s v="Hypermarkets"/>
    <x v="12"/>
    <s v="Bella's"/>
    <s v="|35/01/10|"/>
    <n v="144"/>
    <n v="2.4933333333333332"/>
    <n v="2.9266666666666667"/>
  </r>
  <r>
    <x v="0"/>
    <s v="Hypermarkets"/>
    <x v="12"/>
    <s v="Bella's"/>
    <s v="|35/01/11|"/>
    <n v="156"/>
    <n v="2.4666666666666668"/>
    <n v="2.9933333333333332"/>
  </r>
  <r>
    <x v="0"/>
    <s v="Hypermarkets"/>
    <x v="12"/>
    <s v="Bella's"/>
    <s v="|35/01/12|"/>
    <n v="144"/>
    <n v="2.2733333333333334"/>
    <n v="2.8666666666666667"/>
  </r>
  <r>
    <x v="0"/>
    <s v="Hypermarkets"/>
    <x v="12"/>
    <s v="Bella's"/>
    <s v="|35/01/13|"/>
    <n v="120"/>
    <n v="2.66"/>
    <n v="2.9333333333333331"/>
  </r>
  <r>
    <x v="0"/>
    <s v="Hypermarkets"/>
    <x v="12"/>
    <s v="Bella's"/>
    <s v="|35/01/14|"/>
    <n v="156"/>
    <n v="2.3199999999999998"/>
    <n v="2.8866666666666667"/>
  </r>
  <r>
    <x v="0"/>
    <s v="Hypermarkets"/>
    <x v="12"/>
    <s v="Bella's"/>
    <s v="|35/01/20|"/>
    <n v="120"/>
    <n v="2.7533333333333334"/>
    <n v="2.8666666666666667"/>
  </r>
  <r>
    <x v="0"/>
    <s v="Hypermarkets"/>
    <x v="12"/>
    <s v="Bella's"/>
    <s v="|35/01/21|"/>
    <n v="120"/>
    <n v="2.4666666666666668"/>
    <n v="2.92"/>
  </r>
  <r>
    <x v="0"/>
    <s v="Hypermarkets"/>
    <x v="12"/>
    <s v="Bella's"/>
    <s v="|35/01/22|"/>
    <n v="144"/>
    <n v="2.4666666666666668"/>
    <n v="2.8933333333333335"/>
  </r>
  <r>
    <x v="0"/>
    <s v="Hypermarkets"/>
    <x v="12"/>
    <s v="Bella's"/>
    <s v="|35/01/23|"/>
    <n v="180"/>
    <n v="2.3266666666666667"/>
    <n v="2.8866666666666667"/>
  </r>
  <r>
    <x v="0"/>
    <s v="Hypermarkets"/>
    <x v="12"/>
    <s v="Bella's"/>
    <s v="|35/01/24|"/>
    <n v="144"/>
    <n v="2.6866666666666665"/>
    <n v="2.9066666666666667"/>
  </r>
  <r>
    <x v="0"/>
    <s v="Hypermarkets"/>
    <x v="12"/>
    <s v="Bella's"/>
    <s v="|35/01/31|"/>
    <n v="180"/>
    <n v="2.46"/>
    <n v="2.9"/>
  </r>
  <r>
    <x v="0"/>
    <s v="Hypermarkets"/>
    <x v="12"/>
    <s v="Bella's"/>
    <s v="|35/01/32|"/>
    <n v="156"/>
    <n v="2.6066666666666665"/>
    <n v="2.8666666666666667"/>
  </r>
  <r>
    <x v="0"/>
    <s v="Hypermarkets"/>
    <x v="12"/>
    <s v="Bella's"/>
    <s v="|35/01/33|"/>
    <n v="180"/>
    <n v="2.42"/>
    <n v="2.9266666666666667"/>
  </r>
  <r>
    <x v="0"/>
    <s v="Hypermarkets"/>
    <x v="12"/>
    <s v="Bella's"/>
    <s v="|35/01/34|"/>
    <n v="156"/>
    <n v="2.2999999999999998"/>
    <n v="2.8733333333333335"/>
  </r>
  <r>
    <x v="0"/>
    <s v="Hypermarkets"/>
    <x v="12"/>
    <s v="Bella's"/>
    <s v="|35/01/35|"/>
    <n v="168"/>
    <n v="2.7666666666666666"/>
    <n v="2.8733333333333335"/>
  </r>
  <r>
    <x v="0"/>
    <s v="Hypermarkets"/>
    <x v="12"/>
    <s v="Bella's"/>
    <s v="|35/01/40|"/>
    <n v="120"/>
    <n v="2.7733333333333334"/>
    <n v="2.9933333333333332"/>
  </r>
  <r>
    <x v="0"/>
    <s v="Hypermarkets"/>
    <x v="12"/>
    <s v="Bella's"/>
    <s v="|35/01/41|"/>
    <n v="120"/>
    <n v="2.4333333333333331"/>
    <n v="2.9466666666666668"/>
  </r>
  <r>
    <x v="0"/>
    <s v="Hypermarkets"/>
    <x v="12"/>
    <s v="Bella's"/>
    <s v="|35/01/42|"/>
    <n v="144"/>
    <n v="2.7066666666666666"/>
    <n v="2.92"/>
  </r>
  <r>
    <x v="0"/>
    <s v="Hypermarkets"/>
    <x v="12"/>
    <s v="Bella's"/>
    <s v="|35/01/50|"/>
    <n v="144"/>
    <n v="2.3466666666666667"/>
    <n v="2.96"/>
  </r>
  <r>
    <x v="0"/>
    <s v="Hypermarkets"/>
    <x v="12"/>
    <s v="Bella's"/>
    <s v="|35/01/51|"/>
    <n v="156"/>
    <n v="2.2666666666666666"/>
    <n v="3"/>
  </r>
  <r>
    <x v="0"/>
    <s v="Hypermarkets"/>
    <x v="12"/>
    <s v="Bella's"/>
    <s v="|35/01/52|"/>
    <n v="168"/>
    <n v="2.4333333333333331"/>
    <n v="2.9133333333333336"/>
  </r>
  <r>
    <x v="0"/>
    <s v="Hypermarkets"/>
    <x v="12"/>
    <s v="Bella's"/>
    <s v="|35/01/53|"/>
    <n v="156"/>
    <n v="2.2733333333333334"/>
    <n v="2.8933333333333335"/>
  </r>
  <r>
    <x v="0"/>
    <s v="Hypermarkets"/>
    <x v="12"/>
    <s v="Bella's"/>
    <s v="|35/01/54|"/>
    <n v="180"/>
    <n v="2.62"/>
    <n v="2.8866666666666667"/>
  </r>
  <r>
    <x v="0"/>
    <s v="Hypermarkets"/>
    <x v="12"/>
    <s v="Bella's"/>
    <s v="|35/01/60|"/>
    <n v="132"/>
    <n v="2.78"/>
    <n v="2.9333333333333331"/>
  </r>
  <r>
    <x v="0"/>
    <s v="Hypermarkets"/>
    <x v="12"/>
    <s v="Bella's"/>
    <s v="|35/01/61|"/>
    <n v="168"/>
    <n v="2.7333333333333334"/>
    <n v="2.8866666666666667"/>
  </r>
  <r>
    <x v="0"/>
    <s v="Hypermarkets"/>
    <x v="12"/>
    <s v="Bella's"/>
    <s v="|35/01/62|"/>
    <n v="156"/>
    <n v="2.3266666666666667"/>
    <n v="2.9066666666666667"/>
  </r>
  <r>
    <x v="0"/>
    <s v="Hypermarkets"/>
    <x v="12"/>
    <s v="Bella's"/>
    <s v="|35/01/63|"/>
    <n v="144"/>
    <n v="2.52"/>
    <n v="2.9133333333333336"/>
  </r>
  <r>
    <x v="0"/>
    <s v="Hypermarkets"/>
    <x v="12"/>
    <s v="Bella's"/>
    <s v="|35/01/70|"/>
    <n v="120"/>
    <n v="2.7733333333333334"/>
    <n v="2.9733333333333332"/>
  </r>
  <r>
    <x v="0"/>
    <s v="Hypermarkets"/>
    <x v="12"/>
    <s v="Bella's"/>
    <s v="|35/01/71|"/>
    <n v="144"/>
    <n v="2.4266666666666667"/>
    <n v="2.94"/>
  </r>
  <r>
    <x v="0"/>
    <s v="Hypermarkets"/>
    <x v="12"/>
    <s v="Bella's"/>
    <s v="|35/01/72|"/>
    <n v="132"/>
    <n v="2.6933333333333334"/>
    <n v="2.9866666666666668"/>
  </r>
  <r>
    <x v="0"/>
    <s v="Hypermarkets"/>
    <x v="12"/>
    <s v="Bella's"/>
    <s v="|35/01/73|"/>
    <n v="156"/>
    <n v="2.4733333333333332"/>
    <n v="2.9933333333333332"/>
  </r>
  <r>
    <x v="0"/>
    <s v="Hypermarkets"/>
    <x v="12"/>
    <s v="Bella's"/>
    <s v="|35/01/74|"/>
    <n v="180"/>
    <n v="2.7866666666666666"/>
    <n v="2.9333333333333331"/>
  </r>
  <r>
    <x v="0"/>
    <s v="Hypermarkets"/>
    <x v="12"/>
    <s v="Bella's"/>
    <s v="|35/01/75|"/>
    <n v="132"/>
    <n v="2.36"/>
    <n v="2.9"/>
  </r>
  <r>
    <x v="0"/>
    <s v="Hypermarkets"/>
    <x v="12"/>
    <s v="Bella's"/>
    <s v="|35/01/76|"/>
    <n v="144"/>
    <n v="2.7533333333333334"/>
    <n v="2.94"/>
  </r>
  <r>
    <x v="0"/>
    <s v="Hypermarkets"/>
    <x v="12"/>
    <s v="Bella's"/>
    <s v="|35/01/80|"/>
    <n v="156"/>
    <n v="2.64"/>
    <n v="2.9266666666666667"/>
  </r>
  <r>
    <x v="0"/>
    <s v="Hypermarkets"/>
    <x v="12"/>
    <s v="Bella's"/>
    <s v="|35/01/81|"/>
    <n v="180"/>
    <n v="2.52"/>
    <n v="2.9666666666666668"/>
  </r>
  <r>
    <x v="0"/>
    <s v="Hypermarkets"/>
    <x v="12"/>
    <s v="Bella's"/>
    <s v="|35/01/82|"/>
    <n v="144"/>
    <n v="2.7266666666666666"/>
    <n v="2.98"/>
  </r>
  <r>
    <x v="0"/>
    <s v="Hypermarkets"/>
    <x v="12"/>
    <s v="Bella's"/>
    <s v="|35/01/83|"/>
    <n v="156"/>
    <n v="2.42"/>
    <n v="2.8933333333333335"/>
  </r>
  <r>
    <x v="0"/>
    <s v="Hypermarkets"/>
    <x v="12"/>
    <s v="Bella's"/>
    <s v="|35/01/84|"/>
    <n v="144"/>
    <n v="2.3533333333333335"/>
    <n v="2.9066666666666667"/>
  </r>
  <r>
    <x v="0"/>
    <s v="Hypermarkets"/>
    <x v="12"/>
    <s v="Bella's"/>
    <s v="|35/01/85|"/>
    <n v="132"/>
    <n v="2.4866666666666668"/>
    <n v="2.9466666666666668"/>
  </r>
  <r>
    <x v="0"/>
    <s v="Hypermarkets"/>
    <x v="12"/>
    <s v="Bella's"/>
    <s v="|35/01/86|"/>
    <n v="180"/>
    <n v="2.4866666666666668"/>
    <n v="2.8933333333333335"/>
  </r>
  <r>
    <x v="0"/>
    <s v="Hypermarkets"/>
    <x v="12"/>
    <s v="Bella's"/>
    <s v="|35/01/87|"/>
    <n v="120"/>
    <n v="2.6266666666666665"/>
    <n v="2.92"/>
  </r>
  <r>
    <x v="0"/>
    <s v="Hypermarkets"/>
    <x v="12"/>
    <s v="Bella's"/>
    <s v="|35/01/88|"/>
    <n v="180"/>
    <n v="2.66"/>
    <n v="2.8866666666666667"/>
  </r>
  <r>
    <x v="0"/>
    <s v="Hypermarkets"/>
    <x v="12"/>
    <s v="Bella's"/>
    <s v="|35/01/89|"/>
    <n v="168"/>
    <n v="2.58"/>
    <n v="2.96"/>
  </r>
  <r>
    <x v="0"/>
    <s v="Hypermarkets"/>
    <x v="12"/>
    <s v="Bella's"/>
    <s v="|35/01/90|"/>
    <n v="132"/>
    <n v="2.54"/>
    <n v="2.9066666666666667"/>
  </r>
  <r>
    <x v="0"/>
    <s v="Hypermarkets"/>
    <x v="12"/>
    <s v="Bella's"/>
    <s v="|35/01/90a|"/>
    <n v="156"/>
    <n v="2.4266666666666667"/>
    <n v="2.9066666666666667"/>
  </r>
  <r>
    <x v="0"/>
    <s v="Hypermarkets"/>
    <x v="12"/>
    <s v="Bella's"/>
    <s v="|35/01/91|"/>
    <n v="144"/>
    <n v="2.7066666666666666"/>
    <n v="2.9266666666666667"/>
  </r>
  <r>
    <x v="0"/>
    <s v="Hypermarkets"/>
    <x v="12"/>
    <s v="Bella's"/>
    <s v="|35/01/91a|"/>
    <n v="156"/>
    <n v="2.44"/>
    <n v="2.9"/>
  </r>
  <r>
    <x v="0"/>
    <s v="Hypermarkets"/>
    <x v="12"/>
    <s v="Bella's"/>
    <s v="|35/01/92|"/>
    <n v="168"/>
    <n v="2.46"/>
    <n v="2.9933333333333332"/>
  </r>
  <r>
    <x v="0"/>
    <s v="Hypermarkets"/>
    <x v="12"/>
    <s v="Bella's"/>
    <s v="|35/01/92a|"/>
    <n v="144"/>
    <n v="2.2933333333333334"/>
    <n v="2.9733333333333332"/>
  </r>
  <r>
    <x v="0"/>
    <s v="Hypermarkets"/>
    <x v="12"/>
    <s v="Bella's"/>
    <s v="|35/01/93|"/>
    <n v="132"/>
    <n v="2.7"/>
    <n v="2.9533333333333331"/>
  </r>
  <r>
    <x v="0"/>
    <s v="Hypermarkets"/>
    <x v="12"/>
    <s v="Bella's"/>
    <s v="|35/01/93a|"/>
    <n v="168"/>
    <n v="2.3533333333333335"/>
    <n v="2.8733333333333335"/>
  </r>
  <r>
    <x v="0"/>
    <s v="Hypermarkets"/>
    <x v="12"/>
    <s v="Bella's"/>
    <s v="|35/01/94|"/>
    <n v="144"/>
    <n v="2.7066666666666666"/>
    <n v="2.9266666666666667"/>
  </r>
  <r>
    <x v="0"/>
    <s v="Supermarkets"/>
    <x v="1"/>
    <s v="Mindi"/>
    <s v="|106/02/07|"/>
    <n v="552"/>
    <n v="6.4533333333333331"/>
    <n v="7.96"/>
  </r>
  <r>
    <x v="0"/>
    <s v="Supermarkets"/>
    <x v="15"/>
    <s v="Mindi"/>
    <s v="|79/01/01|"/>
    <n v="1356"/>
    <n v="0.65"/>
    <n v="0.95"/>
  </r>
  <r>
    <x v="0"/>
    <s v="Supermarkets"/>
    <x v="15"/>
    <s v="Mindi"/>
    <s v="|79/01/02|"/>
    <n v="1572"/>
    <n v="0.75"/>
    <n v="0.96"/>
  </r>
  <r>
    <x v="0"/>
    <s v="Supermarkets"/>
    <x v="15"/>
    <s v="Mindi"/>
    <s v="|79/01/03|"/>
    <n v="1416"/>
    <n v="0.81"/>
    <n v="0.93"/>
  </r>
  <r>
    <x v="0"/>
    <s v="Supermarkets"/>
    <x v="15"/>
    <s v="Mindi"/>
    <s v="|79/01/04|"/>
    <n v="1308"/>
    <n v="0.79"/>
    <n v="1.01"/>
  </r>
  <r>
    <x v="0"/>
    <s v="Supermarkets"/>
    <x v="15"/>
    <s v="Mindi"/>
    <s v="|79/01/05|"/>
    <n v="1200"/>
    <n v="0.73"/>
    <n v="0.97"/>
  </r>
  <r>
    <x v="0"/>
    <s v="Supermarkets"/>
    <x v="15"/>
    <s v="Mindi"/>
    <s v="|79/01/06|"/>
    <n v="1656"/>
    <n v="0.89"/>
    <n v="1.1100000000000001"/>
  </r>
  <r>
    <x v="0"/>
    <s v="Supermarkets"/>
    <x v="15"/>
    <s v="Mindi"/>
    <s v="|79/01/07|"/>
    <n v="1428"/>
    <n v="0.82"/>
    <n v="1.01"/>
  </r>
  <r>
    <x v="0"/>
    <s v="Supermarkets"/>
    <x v="15"/>
    <s v="Mindi"/>
    <s v="|79/01/08|"/>
    <n v="1500"/>
    <n v="0.6"/>
    <n v="0.97"/>
  </r>
  <r>
    <x v="0"/>
    <s v="Supermarkets"/>
    <x v="15"/>
    <s v="Mindi"/>
    <s v="|79/01/09|"/>
    <n v="1272"/>
    <n v="0.88"/>
    <n v="1.03"/>
  </r>
  <r>
    <x v="0"/>
    <s v="Supermarkets"/>
    <x v="15"/>
    <s v="Mindi"/>
    <s v="|79/01/10|"/>
    <n v="1392"/>
    <n v="0.72"/>
    <n v="0.91"/>
  </r>
  <r>
    <x v="0"/>
    <s v="Supermarkets"/>
    <x v="15"/>
    <s v="Mindi"/>
    <s v="|79/01/100|"/>
    <n v="1464"/>
    <n v="0.67"/>
    <n v="0.97"/>
  </r>
  <r>
    <x v="0"/>
    <s v="Supermarkets"/>
    <x v="15"/>
    <s v="Mindi"/>
    <s v="|79/01/102|"/>
    <n v="1308"/>
    <n v="0.88"/>
    <n v="1.2"/>
  </r>
  <r>
    <x v="0"/>
    <s v="Supermarkets"/>
    <x v="15"/>
    <s v="Mindi"/>
    <s v="|79/01/103|"/>
    <n v="1320"/>
    <n v="0.6"/>
    <n v="1.17"/>
  </r>
  <r>
    <x v="0"/>
    <s v="Supermarkets"/>
    <x v="15"/>
    <s v="Mindi"/>
    <s v="|79/01/104|"/>
    <n v="1392"/>
    <n v="0.77"/>
    <n v="0.93"/>
  </r>
  <r>
    <x v="0"/>
    <s v="Supermarkets"/>
    <x v="15"/>
    <s v="Mindi"/>
    <s v="|79/01/105|"/>
    <n v="1560"/>
    <n v="0.81"/>
    <n v="0.94"/>
  </r>
  <r>
    <x v="0"/>
    <s v="Supermarkets"/>
    <x v="15"/>
    <s v="Mindi"/>
    <s v="|79/01/106|"/>
    <n v="1560"/>
    <n v="0.69"/>
    <n v="0.94"/>
  </r>
  <r>
    <x v="0"/>
    <s v="Supermarkets"/>
    <x v="15"/>
    <s v="Mindi"/>
    <s v="|79/01/107|"/>
    <n v="1464"/>
    <n v="0.79"/>
    <n v="1.0900000000000001"/>
  </r>
  <r>
    <x v="0"/>
    <s v="Supermarkets"/>
    <x v="15"/>
    <s v="Mindi"/>
    <s v="|79/01/108|"/>
    <n v="1488"/>
    <n v="0.83"/>
    <n v="1.06"/>
  </r>
  <r>
    <x v="0"/>
    <s v="Supermarkets"/>
    <x v="15"/>
    <s v="Mindi"/>
    <s v="|79/01/109|"/>
    <n v="1392"/>
    <n v="0.79"/>
    <n v="1.1299999999999999"/>
  </r>
  <r>
    <x v="0"/>
    <s v="Supermarkets"/>
    <x v="15"/>
    <s v="Mindi"/>
    <s v="|79/01/11|"/>
    <n v="1632"/>
    <n v="0.83"/>
    <n v="1.1100000000000001"/>
  </r>
  <r>
    <x v="0"/>
    <s v="Supermarkets"/>
    <x v="15"/>
    <s v="Mindi"/>
    <s v="|79/01/110|"/>
    <n v="1404"/>
    <n v="0.67"/>
    <n v="1.1200000000000001"/>
  </r>
  <r>
    <x v="0"/>
    <s v="Supermarkets"/>
    <x v="15"/>
    <s v="Mindi"/>
    <s v="|79/01/111|"/>
    <n v="1440"/>
    <n v="0.84"/>
    <n v="1.07"/>
  </r>
  <r>
    <x v="0"/>
    <s v="Supermarkets"/>
    <x v="15"/>
    <s v="Mindi"/>
    <s v="|79/01/112|"/>
    <n v="1236"/>
    <n v="0.72"/>
    <n v="1.17"/>
  </r>
  <r>
    <x v="0"/>
    <s v="Supermarkets"/>
    <x v="15"/>
    <s v="Mindi"/>
    <s v="|79/01/113|"/>
    <n v="1428"/>
    <n v="0.85"/>
    <n v="1.1200000000000001"/>
  </r>
  <r>
    <x v="0"/>
    <s v="Supermarkets"/>
    <x v="15"/>
    <s v="Mindi"/>
    <s v="|79/01/114|"/>
    <n v="1224"/>
    <n v="0.87"/>
    <n v="1.1599999999999999"/>
  </r>
  <r>
    <x v="0"/>
    <s v="Supermarkets"/>
    <x v="15"/>
    <s v="Mindi"/>
    <s v="|79/01/115|"/>
    <n v="1224"/>
    <n v="0.8"/>
    <n v="0.93"/>
  </r>
  <r>
    <x v="0"/>
    <s v="Supermarkets"/>
    <x v="15"/>
    <s v="Mindi"/>
    <s v="|79/01/116|"/>
    <n v="1320"/>
    <n v="0.82"/>
    <n v="0.96"/>
  </r>
  <r>
    <x v="0"/>
    <s v="Supermarkets"/>
    <x v="15"/>
    <s v="Mindi"/>
    <s v="|79/01/117|"/>
    <n v="1224"/>
    <n v="0.76"/>
    <n v="0.92"/>
  </r>
  <r>
    <x v="0"/>
    <s v="Supermarkets"/>
    <x v="15"/>
    <s v="Mindi"/>
    <s v="|79/01/118|"/>
    <n v="1596"/>
    <n v="0.69"/>
    <n v="1.17"/>
  </r>
  <r>
    <x v="0"/>
    <s v="Supermarkets"/>
    <x v="15"/>
    <s v="Mindi"/>
    <s v="|79/01/119|"/>
    <n v="1548"/>
    <n v="0.85"/>
    <n v="1.1399999999999999"/>
  </r>
  <r>
    <x v="0"/>
    <s v="Supermarkets"/>
    <x v="15"/>
    <s v="Mindi"/>
    <s v="|79/01/12|"/>
    <n v="1416"/>
    <n v="0.82"/>
    <n v="1.18"/>
  </r>
  <r>
    <x v="0"/>
    <s v="Supermarkets"/>
    <x v="15"/>
    <s v="Mindi"/>
    <s v="|79/01/120|"/>
    <n v="1416"/>
    <n v="0.7"/>
    <n v="0.92"/>
  </r>
  <r>
    <x v="0"/>
    <s v="Supermarkets"/>
    <x v="15"/>
    <s v="Mindi"/>
    <s v="|79/01/13|"/>
    <n v="1608"/>
    <n v="0.62"/>
    <n v="0.98"/>
  </r>
  <r>
    <x v="0"/>
    <s v="Supermarkets"/>
    <x v="15"/>
    <s v="Mindi"/>
    <s v="|79/01/14|"/>
    <n v="1212"/>
    <n v="0.81"/>
    <n v="1"/>
  </r>
  <r>
    <x v="0"/>
    <s v="Supermarkets"/>
    <x v="15"/>
    <s v="Mindi"/>
    <s v="|79/01/15|"/>
    <n v="1452"/>
    <n v="0.8"/>
    <n v="0.93"/>
  </r>
  <r>
    <x v="0"/>
    <s v="Supermarkets"/>
    <x v="15"/>
    <s v="Mindi"/>
    <s v="|79/01/16|"/>
    <n v="1572"/>
    <n v="0.77"/>
    <n v="1.04"/>
  </r>
  <r>
    <x v="0"/>
    <s v="Supermarkets"/>
    <x v="15"/>
    <s v="Mindi"/>
    <s v="|79/01/17|"/>
    <n v="1200"/>
    <n v="0.84"/>
    <n v="1.1100000000000001"/>
  </r>
  <r>
    <x v="0"/>
    <s v="Supermarkets"/>
    <x v="15"/>
    <s v="Mindi"/>
    <s v="|79/01/18|"/>
    <n v="1428"/>
    <n v="0.75"/>
    <n v="1.18"/>
  </r>
  <r>
    <x v="0"/>
    <s v="Supermarkets"/>
    <x v="15"/>
    <s v="Mindi"/>
    <s v="|79/01/19|"/>
    <n v="1224"/>
    <n v="0.86"/>
    <n v="1.17"/>
  </r>
  <r>
    <x v="0"/>
    <s v="Supermarkets"/>
    <x v="15"/>
    <s v="Mindi"/>
    <s v="|79/01/20|"/>
    <n v="1236"/>
    <n v="0.67"/>
    <n v="1"/>
  </r>
  <r>
    <x v="0"/>
    <s v="Supermarkets"/>
    <x v="15"/>
    <s v="Mindi"/>
    <s v="|79/01/21|"/>
    <n v="1500"/>
    <n v="0.61"/>
    <n v="0.95"/>
  </r>
  <r>
    <x v="0"/>
    <s v="Supermarkets"/>
    <x v="15"/>
    <s v="Mindi"/>
    <s v="|79/01/22|"/>
    <n v="1512"/>
    <n v="0.68"/>
    <n v="0.95"/>
  </r>
  <r>
    <x v="0"/>
    <s v="Supermarkets"/>
    <x v="15"/>
    <s v="Mindi"/>
    <s v="|79/01/23|"/>
    <n v="1368"/>
    <n v="0.86"/>
    <n v="1.18"/>
  </r>
  <r>
    <x v="0"/>
    <s v="Supermarkets"/>
    <x v="15"/>
    <s v="Mindi"/>
    <s v="|79/01/24|"/>
    <n v="1452"/>
    <n v="0.65"/>
    <n v="1.19"/>
  </r>
  <r>
    <x v="0"/>
    <s v="Supermarkets"/>
    <x v="15"/>
    <s v="Mindi"/>
    <s v="|79/01/25|"/>
    <n v="1488"/>
    <n v="0.83"/>
    <n v="1.1299999999999999"/>
  </r>
  <r>
    <x v="0"/>
    <s v="Supermarkets"/>
    <x v="15"/>
    <s v="Mindi"/>
    <s v="|79/01/26|"/>
    <n v="1272"/>
    <n v="0.67"/>
    <n v="1.03"/>
  </r>
  <r>
    <x v="0"/>
    <s v="Supermarkets"/>
    <x v="15"/>
    <s v="Mindi"/>
    <s v="|79/01/27|"/>
    <n v="1428"/>
    <n v="0.67"/>
    <n v="0.94"/>
  </r>
  <r>
    <x v="0"/>
    <s v="Supermarkets"/>
    <x v="15"/>
    <s v="Mindi"/>
    <s v="|79/01/28|"/>
    <n v="1620"/>
    <n v="0.73"/>
    <n v="1"/>
  </r>
  <r>
    <x v="0"/>
    <s v="Supermarkets"/>
    <x v="15"/>
    <s v="Mindi"/>
    <s v="|79/01/29|"/>
    <n v="1200"/>
    <n v="0.62"/>
    <n v="1.04"/>
  </r>
  <r>
    <x v="0"/>
    <s v="Supermarkets"/>
    <x v="15"/>
    <s v="Mindi"/>
    <s v="|79/01/30|"/>
    <n v="1344"/>
    <n v="0.62"/>
    <n v="1.04"/>
  </r>
  <r>
    <x v="0"/>
    <s v="Supermarkets"/>
    <x v="15"/>
    <s v="Mindi"/>
    <s v="|79/01/31|"/>
    <n v="1260"/>
    <n v="0.77"/>
    <n v="1.0900000000000001"/>
  </r>
  <r>
    <x v="0"/>
    <s v="Supermarkets"/>
    <x v="15"/>
    <s v="Mindi"/>
    <s v="|79/01/32|"/>
    <n v="1644"/>
    <n v="0.76"/>
    <n v="1.07"/>
  </r>
  <r>
    <x v="0"/>
    <s v="Supermarkets"/>
    <x v="15"/>
    <s v="Mindi"/>
    <s v="|79/01/33|"/>
    <n v="1464"/>
    <n v="0.72"/>
    <n v="0.99"/>
  </r>
  <r>
    <x v="0"/>
    <s v="Supermarkets"/>
    <x v="15"/>
    <s v="Mindi"/>
    <s v="|79/01/34|"/>
    <n v="1632"/>
    <n v="0.78"/>
    <n v="1"/>
  </r>
  <r>
    <x v="0"/>
    <s v="Supermarkets"/>
    <x v="15"/>
    <s v="Mindi"/>
    <s v="|79/01/35|"/>
    <n v="1512"/>
    <n v="0.62"/>
    <n v="1.1399999999999999"/>
  </r>
  <r>
    <x v="0"/>
    <s v="Supermarkets"/>
    <x v="15"/>
    <s v="Mindi"/>
    <s v="|79/01/36|"/>
    <n v="1404"/>
    <n v="0.85"/>
    <n v="1.2"/>
  </r>
  <r>
    <x v="0"/>
    <s v="Supermarkets"/>
    <x v="15"/>
    <s v="Mindi"/>
    <s v="|79/01/37|"/>
    <n v="1404"/>
    <n v="0.78"/>
    <n v="1.05"/>
  </r>
  <r>
    <x v="0"/>
    <s v="Supermarkets"/>
    <x v="15"/>
    <s v="Mindi"/>
    <s v="|79/01/38|"/>
    <n v="1572"/>
    <n v="0.71"/>
    <n v="1.1299999999999999"/>
  </r>
  <r>
    <x v="0"/>
    <s v="Supermarkets"/>
    <x v="15"/>
    <s v="Mindi"/>
    <s v="|79/01/39|"/>
    <n v="1416"/>
    <n v="0.72"/>
    <n v="0.92"/>
  </r>
  <r>
    <x v="0"/>
    <s v="Supermarkets"/>
    <x v="15"/>
    <s v="Mindi"/>
    <s v="|79/01/40|"/>
    <n v="1572"/>
    <n v="0.71"/>
    <n v="0.93"/>
  </r>
  <r>
    <x v="0"/>
    <s v="Supermarkets"/>
    <x v="15"/>
    <s v="Mindi"/>
    <s v="|79/01/41|"/>
    <n v="1236"/>
    <n v="0.75"/>
    <n v="0.91"/>
  </r>
  <r>
    <x v="0"/>
    <s v="Supermarkets"/>
    <x v="15"/>
    <s v="Mindi"/>
    <s v="|79/01/42|"/>
    <n v="1668"/>
    <n v="0.82"/>
    <n v="0.92"/>
  </r>
  <r>
    <x v="0"/>
    <s v="Supermarkets"/>
    <x v="15"/>
    <s v="Mindi"/>
    <s v="|79/01/43|"/>
    <n v="1572"/>
    <n v="0.65"/>
    <n v="1.05"/>
  </r>
  <r>
    <x v="0"/>
    <s v="Supermarkets"/>
    <x v="15"/>
    <s v="Mindi"/>
    <s v="|79/01/44|"/>
    <n v="1464"/>
    <n v="0.71"/>
    <n v="1.05"/>
  </r>
  <r>
    <x v="0"/>
    <s v="Supermarkets"/>
    <x v="15"/>
    <s v="Mindi"/>
    <s v="|79/01/45|"/>
    <n v="1428"/>
    <n v="0.61"/>
    <n v="1.06"/>
  </r>
  <r>
    <x v="0"/>
    <s v="Supermarkets"/>
    <x v="15"/>
    <s v="Mindi"/>
    <s v="|79/01/46|"/>
    <n v="1596"/>
    <n v="0.73"/>
    <n v="0.99"/>
  </r>
  <r>
    <x v="0"/>
    <s v="Supermarkets"/>
    <x v="15"/>
    <s v="Mindi"/>
    <s v="|79/01/47|"/>
    <n v="1632"/>
    <n v="0.6"/>
    <n v="0.92"/>
  </r>
  <r>
    <x v="0"/>
    <s v="Supermarkets"/>
    <x v="15"/>
    <s v="Mindi"/>
    <s v="|79/01/50|"/>
    <n v="1632"/>
    <n v="0.81"/>
    <n v="1.1000000000000001"/>
  </r>
  <r>
    <x v="0"/>
    <s v="Supermarkets"/>
    <x v="15"/>
    <s v="Mindi"/>
    <s v="|79/01/51|"/>
    <n v="1344"/>
    <n v="0.7"/>
    <n v="1.2"/>
  </r>
  <r>
    <x v="0"/>
    <s v="Supermarkets"/>
    <x v="15"/>
    <s v="Mindi"/>
    <s v="|79/01/52|"/>
    <n v="1272"/>
    <n v="0.85"/>
    <n v="1.2"/>
  </r>
  <r>
    <x v="0"/>
    <s v="Supermarkets"/>
    <x v="15"/>
    <s v="Mindi"/>
    <s v="|79/01/53|"/>
    <n v="1476"/>
    <n v="0.84"/>
    <n v="0.99"/>
  </r>
  <r>
    <x v="0"/>
    <s v="Supermarkets"/>
    <x v="15"/>
    <s v="Mindi"/>
    <s v="|79/01/54|"/>
    <n v="1296"/>
    <n v="0.75"/>
    <n v="0.96"/>
  </r>
  <r>
    <x v="0"/>
    <s v="Supermarkets"/>
    <x v="15"/>
    <s v="Mindi"/>
    <s v="|79/01/55|"/>
    <n v="1404"/>
    <n v="0.77"/>
    <n v="0.96"/>
  </r>
  <r>
    <x v="0"/>
    <s v="Supermarkets"/>
    <x v="15"/>
    <s v="Mindi"/>
    <s v="|79/01/56|"/>
    <n v="1392"/>
    <n v="0.83"/>
    <n v="1.1599999999999999"/>
  </r>
  <r>
    <x v="0"/>
    <s v="Supermarkets"/>
    <x v="15"/>
    <s v="Mindi"/>
    <s v="|79/01/57|"/>
    <n v="1548"/>
    <n v="0.76"/>
    <n v="1.02"/>
  </r>
  <r>
    <x v="0"/>
    <s v="Supermarkets"/>
    <x v="15"/>
    <s v="Mindi"/>
    <s v="|79/01/58|"/>
    <n v="1644"/>
    <n v="0.69"/>
    <n v="0.96"/>
  </r>
  <r>
    <x v="0"/>
    <s v="Supermarkets"/>
    <x v="15"/>
    <s v="Mindi"/>
    <s v="|79/01/59|"/>
    <n v="1236"/>
    <n v="0.86"/>
    <n v="1.1299999999999999"/>
  </r>
  <r>
    <x v="0"/>
    <s v="Supermarkets"/>
    <x v="15"/>
    <s v="Mindi"/>
    <s v="|79/01/60|"/>
    <n v="1212"/>
    <n v="0.81"/>
    <n v="1.1200000000000001"/>
  </r>
  <r>
    <x v="0"/>
    <s v="Supermarkets"/>
    <x v="15"/>
    <s v="Mindi"/>
    <s v="|79/01/61|"/>
    <n v="1632"/>
    <n v="0.86"/>
    <n v="1.18"/>
  </r>
  <r>
    <x v="0"/>
    <s v="Supermarkets"/>
    <x v="15"/>
    <s v="Mindi"/>
    <s v="|79/01/62|"/>
    <n v="1464"/>
    <n v="0.61"/>
    <n v="1.18"/>
  </r>
  <r>
    <x v="0"/>
    <s v="Supermarkets"/>
    <x v="15"/>
    <s v="Mindi"/>
    <s v="|79/01/63|"/>
    <n v="1512"/>
    <n v="0.89"/>
    <n v="1.1399999999999999"/>
  </r>
  <r>
    <x v="0"/>
    <s v="Supermarkets"/>
    <x v="15"/>
    <s v="Mindi"/>
    <s v="|79/01/64|"/>
    <n v="1272"/>
    <n v="0.63"/>
    <n v="0.99"/>
  </r>
  <r>
    <x v="0"/>
    <s v="Supermarkets"/>
    <x v="15"/>
    <s v="Mindi"/>
    <s v="|79/01/65|"/>
    <n v="1536"/>
    <n v="0.73"/>
    <n v="0.98"/>
  </r>
  <r>
    <x v="0"/>
    <s v="Supermarkets"/>
    <x v="15"/>
    <s v="Mindi"/>
    <s v="|79/01/66|"/>
    <n v="1632"/>
    <n v="0.73"/>
    <n v="1.1000000000000001"/>
  </r>
  <r>
    <x v="0"/>
    <s v="Supermarkets"/>
    <x v="15"/>
    <s v="Mindi"/>
    <s v="|79/01/67|"/>
    <n v="1488"/>
    <n v="0.9"/>
    <n v="1.1299999999999999"/>
  </r>
  <r>
    <x v="0"/>
    <s v="Supermarkets"/>
    <x v="15"/>
    <s v="Mindi"/>
    <s v="|79/01/68|"/>
    <n v="1632"/>
    <n v="0.9"/>
    <n v="0.99"/>
  </r>
  <r>
    <x v="0"/>
    <s v="Supermarkets"/>
    <x v="15"/>
    <s v="Mindi"/>
    <s v="|79/01/69|"/>
    <n v="1548"/>
    <n v="0.61"/>
    <n v="1.01"/>
  </r>
  <r>
    <x v="0"/>
    <s v="Supermarkets"/>
    <x v="15"/>
    <s v="Mindi"/>
    <s v="|79/01/70|"/>
    <n v="1248"/>
    <n v="0.69"/>
    <n v="0.95"/>
  </r>
  <r>
    <x v="0"/>
    <s v="Supermarkets"/>
    <x v="15"/>
    <s v="Mindi"/>
    <s v="|79/01/71|"/>
    <n v="1572"/>
    <n v="0.66"/>
    <n v="1.17"/>
  </r>
  <r>
    <x v="0"/>
    <s v="Supermarkets"/>
    <x v="15"/>
    <s v="Mindi"/>
    <s v="|79/01/72|"/>
    <n v="1668"/>
    <n v="0.79"/>
    <n v="1.1299999999999999"/>
  </r>
  <r>
    <x v="0"/>
    <s v="Supermarkets"/>
    <x v="15"/>
    <s v="Mindi"/>
    <s v="|79/01/73|"/>
    <n v="1356"/>
    <n v="0.77"/>
    <n v="1.1499999999999999"/>
  </r>
  <r>
    <x v="0"/>
    <s v="Supermarkets"/>
    <x v="15"/>
    <s v="Mindi"/>
    <s v="|79/01/74|"/>
    <n v="1668"/>
    <n v="0.75"/>
    <n v="1.19"/>
  </r>
  <r>
    <x v="0"/>
    <s v="Supermarkets"/>
    <x v="15"/>
    <s v="Mindi"/>
    <s v="|79/01/75|"/>
    <n v="1524"/>
    <n v="0.89"/>
    <n v="0.94"/>
  </r>
  <r>
    <x v="0"/>
    <s v="Supermarkets"/>
    <x v="15"/>
    <s v="Mindi"/>
    <s v="|79/01/76|"/>
    <n v="1620"/>
    <n v="0.68"/>
    <n v="0.97"/>
  </r>
  <r>
    <x v="0"/>
    <s v="Supermarkets"/>
    <x v="15"/>
    <s v="Mindi"/>
    <s v="|79/01/77|"/>
    <n v="1500"/>
    <n v="0.83"/>
    <n v="1.1000000000000001"/>
  </r>
  <r>
    <x v="0"/>
    <s v="Supermarkets"/>
    <x v="15"/>
    <s v="Mindi"/>
    <s v="|79/01/78|"/>
    <n v="1248"/>
    <n v="0.66"/>
    <n v="1.07"/>
  </r>
  <r>
    <x v="0"/>
    <s v="Supermarkets"/>
    <x v="15"/>
    <s v="Mindi"/>
    <s v="|79/01/80|"/>
    <n v="1320"/>
    <n v="0.81"/>
    <n v="1.1499999999999999"/>
  </r>
  <r>
    <x v="0"/>
    <s v="Supermarkets"/>
    <x v="15"/>
    <s v="Mindi"/>
    <s v="|79/01/81|"/>
    <n v="1404"/>
    <n v="0.62"/>
    <n v="1.19"/>
  </r>
  <r>
    <x v="0"/>
    <s v="Supermarkets"/>
    <x v="15"/>
    <s v="Mindi"/>
    <s v="|79/01/82|"/>
    <n v="1416"/>
    <n v="0.9"/>
    <n v="1.1000000000000001"/>
  </r>
  <r>
    <x v="0"/>
    <s v="Supermarkets"/>
    <x v="15"/>
    <s v="Mindi"/>
    <s v="|79/01/83|"/>
    <n v="1320"/>
    <n v="0.61"/>
    <n v="1.07"/>
  </r>
  <r>
    <x v="0"/>
    <s v="Supermarkets"/>
    <x v="15"/>
    <s v="Mindi"/>
    <s v="|79/01/84|"/>
    <n v="1344"/>
    <n v="0.9"/>
    <n v="1.19"/>
  </r>
  <r>
    <x v="0"/>
    <s v="Supermarkets"/>
    <x v="15"/>
    <s v="Mindi"/>
    <s v="|79/01/85|"/>
    <n v="1524"/>
    <n v="0.65"/>
    <n v="1.08"/>
  </r>
  <r>
    <x v="0"/>
    <s v="Supermarkets"/>
    <x v="15"/>
    <s v="Mindi"/>
    <s v="|79/01/86|"/>
    <n v="1440"/>
    <n v="0.72"/>
    <n v="0.91"/>
  </r>
  <r>
    <x v="0"/>
    <s v="Supermarkets"/>
    <x v="15"/>
    <s v="Mindi"/>
    <s v="|79/01/87|"/>
    <n v="1296"/>
    <n v="0.72"/>
    <n v="1.08"/>
  </r>
  <r>
    <x v="0"/>
    <s v="Supermarkets"/>
    <x v="15"/>
    <s v="Mindi"/>
    <s v="|79/01/88|"/>
    <n v="1440"/>
    <n v="0.74"/>
    <n v="0.91"/>
  </r>
  <r>
    <x v="0"/>
    <s v="Supermarkets"/>
    <x v="15"/>
    <s v="Mindi"/>
    <s v="|79/01/89|"/>
    <n v="1296"/>
    <n v="0.63"/>
    <n v="1.18"/>
  </r>
  <r>
    <x v="0"/>
    <s v="Supermarkets"/>
    <x v="15"/>
    <s v="Mindi"/>
    <s v="|79/01/90|"/>
    <n v="1644"/>
    <n v="0.74"/>
    <n v="1.02"/>
  </r>
  <r>
    <x v="0"/>
    <s v="Supermarkets"/>
    <x v="15"/>
    <s v="Mindi"/>
    <s v="|79/01/91|"/>
    <n v="1284"/>
    <n v="0.84"/>
    <n v="0.96"/>
  </r>
  <r>
    <x v="0"/>
    <s v="Supermarkets"/>
    <x v="15"/>
    <s v="Mindi"/>
    <s v="|79/01/92|"/>
    <n v="1440"/>
    <n v="0.85"/>
    <n v="0.97"/>
  </r>
  <r>
    <x v="0"/>
    <s v="Supermarkets"/>
    <x v="15"/>
    <s v="Mindi"/>
    <s v="|79/01/93|"/>
    <n v="1332"/>
    <n v="0.67"/>
    <n v="1.01"/>
  </r>
  <r>
    <x v="0"/>
    <s v="Supermarkets"/>
    <x v="15"/>
    <s v="Mindi"/>
    <s v="|79/01/94|"/>
    <n v="1248"/>
    <n v="0.7"/>
    <n v="1.18"/>
  </r>
  <r>
    <x v="0"/>
    <s v="Supermarkets"/>
    <x v="15"/>
    <s v="Mindi"/>
    <s v="|79/01/95|"/>
    <n v="1548"/>
    <n v="0.72"/>
    <n v="1.1100000000000001"/>
  </r>
  <r>
    <x v="0"/>
    <s v="Supermarkets"/>
    <x v="15"/>
    <s v="Mindi"/>
    <s v="|79/01/96|"/>
    <n v="1452"/>
    <n v="0.9"/>
    <n v="1.03"/>
  </r>
  <r>
    <x v="0"/>
    <s v="Supermarkets"/>
    <x v="15"/>
    <s v="Mindi"/>
    <s v="|79/01/97|"/>
    <n v="1464"/>
    <n v="0.9"/>
    <n v="1.07"/>
  </r>
  <r>
    <x v="0"/>
    <s v="Supermarkets"/>
    <x v="15"/>
    <s v="Mindi"/>
    <s v="|79/01/98|"/>
    <n v="1668"/>
    <n v="0.67"/>
    <n v="1.02"/>
  </r>
  <r>
    <x v="0"/>
    <s v="Supermarkets"/>
    <x v="15"/>
    <s v="Mindi"/>
    <s v="|79/02/01|"/>
    <n v="1620"/>
    <n v="0.72"/>
    <n v="0.94"/>
  </r>
  <r>
    <x v="0"/>
    <s v="Supermarkets"/>
    <x v="15"/>
    <s v="Mindi"/>
    <s v="|79/02/02|"/>
    <n v="1548"/>
    <n v="0.9"/>
    <n v="1.1299999999999999"/>
  </r>
  <r>
    <x v="0"/>
    <s v="Supermarkets"/>
    <x v="15"/>
    <s v="Mindi"/>
    <s v="|79/02/03|"/>
    <n v="1212"/>
    <n v="0.63"/>
    <n v="1.01"/>
  </r>
  <r>
    <x v="0"/>
    <s v="Supermarkets"/>
    <x v="15"/>
    <s v="Mindi"/>
    <s v="|79/02/04|"/>
    <n v="1476"/>
    <n v="0.72"/>
    <n v="1.1299999999999999"/>
  </r>
  <r>
    <x v="0"/>
    <s v="Supermarkets"/>
    <x v="15"/>
    <s v="Mindi"/>
    <s v="|79/02/05|"/>
    <n v="1452"/>
    <n v="0.74"/>
    <n v="1.1100000000000001"/>
  </r>
  <r>
    <x v="0"/>
    <s v="Supermarkets"/>
    <x v="15"/>
    <s v="Mindi"/>
    <s v="|79/02/06|"/>
    <n v="1308"/>
    <n v="0.62"/>
    <n v="1.04"/>
  </r>
  <r>
    <x v="0"/>
    <s v="Supermarkets"/>
    <x v="15"/>
    <s v="Mindi"/>
    <s v="|79/02/07|"/>
    <n v="1380"/>
    <n v="0.89"/>
    <n v="0.98"/>
  </r>
  <r>
    <x v="0"/>
    <s v="Supermarkets"/>
    <x v="15"/>
    <s v="Star foods"/>
    <s v="|108/01/01|"/>
    <n v="1464"/>
    <n v="0.73"/>
    <n v="1.17"/>
  </r>
  <r>
    <x v="0"/>
    <s v="Supermarkets"/>
    <x v="15"/>
    <s v="Star foods"/>
    <s v="|108/01/02|"/>
    <n v="1284"/>
    <n v="0.61"/>
    <n v="1.1599999999999999"/>
  </r>
  <r>
    <x v="0"/>
    <s v="Supermarkets"/>
    <x v="15"/>
    <s v="Star foods"/>
    <s v="|108/01/03|"/>
    <n v="1332"/>
    <n v="0.62"/>
    <n v="1.07"/>
  </r>
  <r>
    <x v="0"/>
    <s v="Supermarkets"/>
    <x v="15"/>
    <s v="Star foods"/>
    <s v="|108/01/04|"/>
    <n v="1596"/>
    <n v="0.83"/>
    <n v="0.95"/>
  </r>
  <r>
    <x v="0"/>
    <s v="Supermarkets"/>
    <x v="15"/>
    <s v="Star foods"/>
    <s v="|108/01/05|"/>
    <n v="1236"/>
    <n v="0.66"/>
    <n v="1.04"/>
  </r>
  <r>
    <x v="0"/>
    <s v="Supermarkets"/>
    <x v="15"/>
    <s v="Star foods"/>
    <s v="|108/01/06|"/>
    <n v="1644"/>
    <n v="0.9"/>
    <n v="0.91"/>
  </r>
  <r>
    <x v="0"/>
    <s v="Supermarkets"/>
    <x v="15"/>
    <s v="Star foods"/>
    <s v="|108/01/07|"/>
    <n v="1416"/>
    <n v="0.76"/>
    <n v="0.94"/>
  </r>
  <r>
    <x v="0"/>
    <s v="Supermarkets"/>
    <x v="15"/>
    <s v="Star foods"/>
    <s v="|108/01/08|"/>
    <n v="1656"/>
    <n v="0.61"/>
    <n v="1.19"/>
  </r>
  <r>
    <x v="0"/>
    <s v="Supermarkets"/>
    <x v="15"/>
    <s v="Star foods"/>
    <s v="|108/01/09|"/>
    <n v="1524"/>
    <n v="0.79"/>
    <n v="1.1000000000000001"/>
  </r>
  <r>
    <x v="0"/>
    <s v="Supermarkets"/>
    <x v="15"/>
    <s v="Star foods"/>
    <s v="|108/01/10|"/>
    <n v="1668"/>
    <n v="0.69"/>
    <n v="1.17"/>
  </r>
  <r>
    <x v="0"/>
    <s v="Supermarkets"/>
    <x v="15"/>
    <s v="Kronos"/>
    <s v="|87/00/01|"/>
    <n v="1224"/>
    <n v="0.74"/>
    <n v="1.02"/>
  </r>
  <r>
    <x v="0"/>
    <s v="Supermarkets"/>
    <x v="15"/>
    <s v="Kronos"/>
    <s v="|87/00/02|"/>
    <n v="1620"/>
    <n v="0.84"/>
    <n v="1.1100000000000001"/>
  </r>
  <r>
    <x v="0"/>
    <s v="Supermarkets"/>
    <x v="15"/>
    <s v="Kronos"/>
    <s v="|87/00/03|"/>
    <n v="1560"/>
    <n v="0.67"/>
    <n v="1.1200000000000001"/>
  </r>
  <r>
    <x v="0"/>
    <s v="Supermarkets"/>
    <x v="15"/>
    <s v="Kronos"/>
    <s v="|87/00/04|"/>
    <n v="1500"/>
    <n v="0.83"/>
    <n v="0.93"/>
  </r>
  <r>
    <x v="0"/>
    <s v="Supermarkets"/>
    <x v="15"/>
    <s v="Kronos"/>
    <s v="|87/00/05|"/>
    <n v="1644"/>
    <n v="0.81"/>
    <n v="1.07"/>
  </r>
  <r>
    <x v="0"/>
    <s v="Supermarkets"/>
    <x v="15"/>
    <s v="Kronos"/>
    <s v="|87/00/06|"/>
    <n v="1392"/>
    <n v="0.69"/>
    <n v="1.19"/>
  </r>
  <r>
    <x v="0"/>
    <s v="Supermarkets"/>
    <x v="15"/>
    <s v="Kronos"/>
    <s v="|87/00/07|"/>
    <n v="1320"/>
    <n v="0.6"/>
    <n v="1.17"/>
  </r>
  <r>
    <x v="0"/>
    <s v="Supermarkets"/>
    <x v="15"/>
    <s v="Kronos"/>
    <s v="|87/00/08|"/>
    <n v="1668"/>
    <n v="0.71"/>
    <n v="0.96"/>
  </r>
  <r>
    <x v="0"/>
    <s v="Supermarkets"/>
    <x v="15"/>
    <s v="Kronos"/>
    <s v="|87/00/09|"/>
    <n v="1272"/>
    <n v="0.79"/>
    <n v="1.04"/>
  </r>
  <r>
    <x v="0"/>
    <s v="Supermarkets"/>
    <x v="15"/>
    <s v="Kronos"/>
    <s v="|87/00/10|"/>
    <n v="1572"/>
    <n v="0.65"/>
    <n v="0.99"/>
  </r>
  <r>
    <x v="0"/>
    <s v="Supermarkets"/>
    <x v="15"/>
    <s v="Kronos"/>
    <s v="|87/00/20|"/>
    <n v="1632"/>
    <n v="0.63"/>
    <n v="1.1299999999999999"/>
  </r>
  <r>
    <x v="0"/>
    <s v="Supermarkets"/>
    <x v="15"/>
    <s v="Kronos"/>
    <s v="|87/00/21|"/>
    <n v="1344"/>
    <n v="0.76"/>
    <n v="1.18"/>
  </r>
  <r>
    <x v="0"/>
    <s v="Supermarkets"/>
    <x v="15"/>
    <s v="Kronos"/>
    <s v="|87/00/22|"/>
    <n v="1608"/>
    <n v="0.84"/>
    <n v="1.04"/>
  </r>
  <r>
    <x v="0"/>
    <s v="Supermarkets"/>
    <x v="15"/>
    <s v="Kronos"/>
    <s v="|87/00/23|"/>
    <n v="1632"/>
    <n v="0.82"/>
    <n v="0.91"/>
  </r>
  <r>
    <x v="0"/>
    <s v="Supermarkets"/>
    <x v="15"/>
    <s v="Kronos"/>
    <s v="|87/00/24|"/>
    <n v="1644"/>
    <n v="0.68"/>
    <n v="0.99"/>
  </r>
  <r>
    <x v="0"/>
    <s v="Supermarkets"/>
    <x v="15"/>
    <s v="Corosina"/>
    <s v="|115/01/01|"/>
    <n v="1416"/>
    <n v="0.65"/>
    <n v="0.96"/>
  </r>
  <r>
    <x v="0"/>
    <s v="Supermarkets"/>
    <x v="15"/>
    <s v="Corosina"/>
    <s v="|115/01/03|"/>
    <n v="1584"/>
    <n v="0.79"/>
    <n v="0.92"/>
  </r>
  <r>
    <x v="0"/>
    <s v="Supermarkets"/>
    <x v="15"/>
    <s v="Corosina"/>
    <s v="|115/01/04|"/>
    <n v="1236"/>
    <n v="0.83"/>
    <n v="1.1299999999999999"/>
  </r>
  <r>
    <x v="0"/>
    <s v="Supermarkets"/>
    <x v="15"/>
    <s v="Corosina"/>
    <s v="|115/01/05|"/>
    <n v="1440"/>
    <n v="0.78"/>
    <n v="0.98"/>
  </r>
  <r>
    <x v="0"/>
    <s v="Supermarkets"/>
    <x v="15"/>
    <s v="Corosina"/>
    <s v="|115/01/06|"/>
    <n v="1380"/>
    <n v="0.71"/>
    <n v="1.03"/>
  </r>
  <r>
    <x v="0"/>
    <s v="Supermarkets"/>
    <x v="15"/>
    <s v="Corosina"/>
    <s v="|115/01/07|"/>
    <n v="1476"/>
    <n v="0.71"/>
    <n v="1.06"/>
  </r>
  <r>
    <x v="0"/>
    <s v="Supermarkets"/>
    <x v="15"/>
    <s v="Corosina"/>
    <s v="|115/01/08|"/>
    <n v="1308"/>
    <n v="0.72"/>
    <n v="0.99"/>
  </r>
  <r>
    <x v="0"/>
    <s v="Supermarkets"/>
    <x v="15"/>
    <s v="Corosina"/>
    <s v="|115/01/09|"/>
    <n v="1392"/>
    <n v="0.63"/>
    <n v="1.18"/>
  </r>
  <r>
    <x v="0"/>
    <s v="Supermarkets"/>
    <x v="15"/>
    <s v="Corosina"/>
    <s v="|115/01/10|"/>
    <n v="1380"/>
    <n v="0.73"/>
    <n v="1.18"/>
  </r>
  <r>
    <x v="0"/>
    <s v="Supermarkets"/>
    <x v="15"/>
    <s v="Corosina"/>
    <s v="|115/01/11|"/>
    <n v="1464"/>
    <n v="0.71"/>
    <n v="1.1299999999999999"/>
  </r>
  <r>
    <x v="0"/>
    <s v="Supermarkets"/>
    <x v="15"/>
    <s v="Corosina"/>
    <s v="|115/01/12|"/>
    <n v="1428"/>
    <n v="0.76"/>
    <n v="0.95"/>
  </r>
  <r>
    <x v="0"/>
    <s v="Supermarkets"/>
    <x v="15"/>
    <s v="Corosina"/>
    <s v="|115/01/13|"/>
    <n v="1668"/>
    <n v="0.72"/>
    <n v="0.94"/>
  </r>
  <r>
    <x v="0"/>
    <s v="Supermarkets"/>
    <x v="15"/>
    <s v="Corosina"/>
    <s v="|115/01/14|"/>
    <n v="1272"/>
    <n v="0.85"/>
    <n v="1.1100000000000001"/>
  </r>
  <r>
    <x v="0"/>
    <s v="Supermarkets"/>
    <x v="15"/>
    <s v="Corosina"/>
    <s v="|115/01/15|"/>
    <n v="1512"/>
    <n v="0.76"/>
    <n v="0.99"/>
  </r>
  <r>
    <x v="0"/>
    <s v="Supermarkets"/>
    <x v="15"/>
    <s v="Surgital"/>
    <s v="|03/01/03|"/>
    <n v="1608"/>
    <n v="0.73"/>
    <n v="1.05"/>
  </r>
  <r>
    <x v="0"/>
    <s v="Supermarkets"/>
    <x v="15"/>
    <s v="Surgital"/>
    <s v="|03/01/04|"/>
    <n v="1224"/>
    <n v="0.68"/>
    <n v="1.01"/>
  </r>
  <r>
    <x v="0"/>
    <s v="Supermarkets"/>
    <x v="15"/>
    <s v="Surgital"/>
    <s v="|03/01/05|"/>
    <n v="1320"/>
    <n v="0.69"/>
    <n v="0.91"/>
  </r>
  <r>
    <x v="0"/>
    <s v="Supermarkets"/>
    <x v="15"/>
    <s v="Surgital"/>
    <s v="|03/01/06|"/>
    <n v="1284"/>
    <n v="0.88"/>
    <n v="1.1100000000000001"/>
  </r>
  <r>
    <x v="0"/>
    <s v="Supermarkets"/>
    <x v="15"/>
    <s v="Surgital"/>
    <s v="|03/01/07|"/>
    <n v="1212"/>
    <n v="0.68"/>
    <n v="0.94"/>
  </r>
  <r>
    <x v="0"/>
    <s v="Supermarkets"/>
    <x v="15"/>
    <s v="Surgital"/>
    <s v="|03/01/08|"/>
    <n v="1464"/>
    <n v="0.72"/>
    <n v="1.17"/>
  </r>
  <r>
    <x v="0"/>
    <s v="Supermarkets"/>
    <x v="15"/>
    <s v="Surgital"/>
    <s v="|03/01/09|"/>
    <n v="1308"/>
    <n v="0.65"/>
    <n v="1.02"/>
  </r>
  <r>
    <x v="0"/>
    <s v="Supermarkets"/>
    <x v="15"/>
    <s v="Surgital"/>
    <s v="|03/01/10|"/>
    <n v="1332"/>
    <n v="0.78"/>
    <n v="1.1599999999999999"/>
  </r>
  <r>
    <x v="0"/>
    <s v="Supermarkets"/>
    <x v="15"/>
    <s v="Surgital"/>
    <s v="|03/01/11|"/>
    <n v="1428"/>
    <n v="0.7"/>
    <n v="0.99"/>
  </r>
  <r>
    <x v="0"/>
    <s v="Supermarkets"/>
    <x v="15"/>
    <s v="Surgital"/>
    <s v="|03/01/12|"/>
    <n v="1224"/>
    <n v="0.76"/>
    <n v="0.91"/>
  </r>
  <r>
    <x v="0"/>
    <s v="Supermarkets"/>
    <x v="15"/>
    <s v="Surgital"/>
    <s v="|03/01/13|"/>
    <n v="1464"/>
    <n v="0.9"/>
    <n v="1.04"/>
  </r>
  <r>
    <x v="0"/>
    <s v="Supermarkets"/>
    <x v="15"/>
    <s v="Surgital"/>
    <s v="|03/01/14|"/>
    <n v="1620"/>
    <n v="0.73"/>
    <n v="1.07"/>
  </r>
  <r>
    <x v="0"/>
    <s v="Supermarkets"/>
    <x v="15"/>
    <s v="Surgital"/>
    <s v="|03/01/15|"/>
    <n v="1524"/>
    <n v="0.6"/>
    <n v="1.1599999999999999"/>
  </r>
  <r>
    <x v="0"/>
    <s v="Supermarkets"/>
    <x v="15"/>
    <s v="Surgital"/>
    <s v="|03/01/16|"/>
    <n v="1212"/>
    <n v="0.77"/>
    <n v="0.95"/>
  </r>
  <r>
    <x v="0"/>
    <s v="Supermarkets"/>
    <x v="15"/>
    <s v="Surgital"/>
    <s v="|03/01/17|"/>
    <n v="1236"/>
    <n v="0.84"/>
    <n v="1.2"/>
  </r>
  <r>
    <x v="0"/>
    <s v="Supermarkets"/>
    <x v="15"/>
    <s v="Surgital"/>
    <s v="|03/01/18|"/>
    <n v="1272"/>
    <n v="0.68"/>
    <n v="1.1100000000000001"/>
  </r>
  <r>
    <x v="0"/>
    <s v="Supermarkets"/>
    <x v="15"/>
    <s v="Surgital"/>
    <s v="|03/01/19|"/>
    <n v="1536"/>
    <n v="0.89"/>
    <n v="0.99"/>
  </r>
  <r>
    <x v="0"/>
    <s v="Supermarkets"/>
    <x v="15"/>
    <s v="Surgital"/>
    <s v="|03/01/20|"/>
    <n v="1644"/>
    <n v="0.9"/>
    <n v="0.97"/>
  </r>
  <r>
    <x v="0"/>
    <s v="Supermarkets"/>
    <x v="15"/>
    <s v="Surgital"/>
    <s v="|03/01/21|"/>
    <n v="1248"/>
    <n v="0.7"/>
    <n v="1.1499999999999999"/>
  </r>
  <r>
    <x v="0"/>
    <s v="Supermarkets"/>
    <x v="15"/>
    <s v="Surgital"/>
    <s v="|03/01/22|"/>
    <n v="1452"/>
    <n v="0.71"/>
    <n v="1.18"/>
  </r>
  <r>
    <x v="0"/>
    <s v="Supermarkets"/>
    <x v="15"/>
    <s v="Surgital"/>
    <s v="|03/01/23|"/>
    <n v="1356"/>
    <n v="0.64"/>
    <n v="1.06"/>
  </r>
  <r>
    <x v="0"/>
    <s v="Supermarkets"/>
    <x v="15"/>
    <s v="Surgital"/>
    <s v="|03/01/24|"/>
    <n v="1368"/>
    <n v="0.67"/>
    <n v="1.1399999999999999"/>
  </r>
  <r>
    <x v="0"/>
    <s v="Supermarkets"/>
    <x v="15"/>
    <s v="Surgital"/>
    <s v="|03/01/25|"/>
    <n v="1368"/>
    <n v="0.81"/>
    <n v="1.07"/>
  </r>
  <r>
    <x v="0"/>
    <s v="Supermarkets"/>
    <x v="15"/>
    <s v="Surgital"/>
    <s v="|03/01/26|"/>
    <n v="1296"/>
    <n v="0.8"/>
    <n v="0.97"/>
  </r>
  <r>
    <x v="0"/>
    <s v="Supermarkets"/>
    <x v="15"/>
    <s v="Surgital"/>
    <s v="|03/01/27|"/>
    <n v="1212"/>
    <n v="0.71"/>
    <n v="0.96"/>
  </r>
  <r>
    <x v="0"/>
    <s v="Supermarkets"/>
    <x v="15"/>
    <s v="Surgital"/>
    <s v="|03/01/28|"/>
    <n v="1488"/>
    <n v="0.75"/>
    <n v="0.93"/>
  </r>
  <r>
    <x v="0"/>
    <s v="Supermarkets"/>
    <x v="15"/>
    <s v="Surgital"/>
    <s v="|03/01/29|"/>
    <n v="1248"/>
    <n v="0.75"/>
    <n v="1.1299999999999999"/>
  </r>
  <r>
    <x v="0"/>
    <s v="Supermarkets"/>
    <x v="15"/>
    <s v="Surgital"/>
    <s v="|03/01/30|"/>
    <n v="1392"/>
    <n v="0.74"/>
    <n v="1.02"/>
  </r>
  <r>
    <x v="0"/>
    <s v="Supermarkets"/>
    <x v="15"/>
    <s v="Surgital"/>
    <s v="|03/01/31|"/>
    <n v="1296"/>
    <n v="0.6"/>
    <n v="0.93"/>
  </r>
  <r>
    <x v="0"/>
    <s v="Supermarkets"/>
    <x v="15"/>
    <s v="Surgital"/>
    <s v="|03/01/32|"/>
    <n v="1584"/>
    <n v="0.8"/>
    <n v="1.1299999999999999"/>
  </r>
  <r>
    <x v="0"/>
    <s v="Supermarkets"/>
    <x v="15"/>
    <s v="Surgital"/>
    <s v="|03/01/33|"/>
    <n v="1512"/>
    <n v="0.8"/>
    <n v="1"/>
  </r>
  <r>
    <x v="0"/>
    <s v="Supermarkets"/>
    <x v="15"/>
    <s v="Surgital"/>
    <s v="|03/01/34|"/>
    <n v="1200"/>
    <n v="0.78"/>
    <n v="1.1399999999999999"/>
  </r>
  <r>
    <x v="0"/>
    <s v="Supermarkets"/>
    <x v="15"/>
    <s v="Surgital"/>
    <s v="|03/01/35|"/>
    <n v="1224"/>
    <n v="0.7"/>
    <n v="1.06"/>
  </r>
  <r>
    <x v="0"/>
    <s v="Supermarkets"/>
    <x v="15"/>
    <s v="Surgital"/>
    <s v="|03/01/36|"/>
    <n v="1524"/>
    <n v="0.89"/>
    <n v="1.1499999999999999"/>
  </r>
  <r>
    <x v="0"/>
    <s v="Supermarkets"/>
    <x v="15"/>
    <s v="Surgital"/>
    <s v="|03/01/37|"/>
    <n v="1212"/>
    <n v="0.67"/>
    <n v="1.1399999999999999"/>
  </r>
  <r>
    <x v="0"/>
    <s v="Supermarkets"/>
    <x v="15"/>
    <s v="Surgital"/>
    <s v="|03/01/38|"/>
    <n v="1536"/>
    <n v="0.68"/>
    <n v="0.92"/>
  </r>
  <r>
    <x v="0"/>
    <s v="Supermarkets"/>
    <x v="15"/>
    <s v="Surgital"/>
    <s v="|03/01/39|"/>
    <n v="1344"/>
    <n v="0.69"/>
    <n v="1.18"/>
  </r>
  <r>
    <x v="0"/>
    <s v="Supermarkets"/>
    <x v="15"/>
    <s v="Surgital"/>
    <s v="|03/01/40|"/>
    <n v="1344"/>
    <n v="0.76"/>
    <n v="1.19"/>
  </r>
  <r>
    <x v="0"/>
    <s v="Supermarkets"/>
    <x v="15"/>
    <s v="Surgital"/>
    <s v="|03/01/41|"/>
    <n v="1632"/>
    <n v="0.83"/>
    <n v="1.17"/>
  </r>
  <r>
    <x v="0"/>
    <s v="Supermarkets"/>
    <x v="15"/>
    <s v="Surgital"/>
    <s v="|03/01/43|"/>
    <n v="1212"/>
    <n v="0.85"/>
    <n v="1.18"/>
  </r>
  <r>
    <x v="0"/>
    <s v="Supermarkets"/>
    <x v="15"/>
    <s v="Surgital"/>
    <s v="|03/01/44|"/>
    <n v="1500"/>
    <n v="0.84"/>
    <n v="1.19"/>
  </r>
  <r>
    <x v="0"/>
    <s v="Supermarkets"/>
    <x v="15"/>
    <s v="Surgital"/>
    <s v="|03/01/45|"/>
    <n v="1416"/>
    <n v="0.76"/>
    <n v="1.06"/>
  </r>
  <r>
    <x v="0"/>
    <s v="Supermarkets"/>
    <x v="15"/>
    <s v="Surgital"/>
    <s v="|03/01/46|"/>
    <n v="1632"/>
    <n v="0.79"/>
    <n v="1.1499999999999999"/>
  </r>
  <r>
    <x v="0"/>
    <s v="Supermarkets"/>
    <x v="15"/>
    <s v="Surgital"/>
    <s v="|03/01/47|"/>
    <n v="1224"/>
    <n v="0.79"/>
    <n v="0.91"/>
  </r>
  <r>
    <x v="0"/>
    <s v="Supermarkets"/>
    <x v="15"/>
    <s v="Surgital"/>
    <s v="|03/01/48|"/>
    <n v="1584"/>
    <n v="0.82"/>
    <n v="1.1000000000000001"/>
  </r>
  <r>
    <x v="0"/>
    <s v="Supermarkets"/>
    <x v="15"/>
    <s v="Surgital"/>
    <s v="|03/01/49|"/>
    <n v="1572"/>
    <n v="0.77"/>
    <n v="1.19"/>
  </r>
  <r>
    <x v="0"/>
    <s v="Supermarkets"/>
    <x v="15"/>
    <s v="Surgital"/>
    <s v="|03/01/50|"/>
    <n v="1476"/>
    <n v="0.78"/>
    <n v="0.94"/>
  </r>
  <r>
    <x v="0"/>
    <s v="Supermarkets"/>
    <x v="15"/>
    <s v="Surgital"/>
    <s v="|03/01/51|"/>
    <n v="1620"/>
    <n v="0.64"/>
    <n v="1.1499999999999999"/>
  </r>
  <r>
    <x v="0"/>
    <s v="Supermarkets"/>
    <x v="15"/>
    <s v="Surgital"/>
    <s v="|03/01/52|"/>
    <n v="1572"/>
    <n v="0.74"/>
    <n v="0.94"/>
  </r>
  <r>
    <x v="0"/>
    <s v="Supermarkets"/>
    <x v="15"/>
    <s v="Surgital"/>
    <s v="|03/01/53|"/>
    <n v="1224"/>
    <n v="0.86"/>
    <n v="0.95"/>
  </r>
  <r>
    <x v="0"/>
    <s v="Supermarkets"/>
    <x v="15"/>
    <s v="Surgital"/>
    <s v="|03/01/54|"/>
    <n v="1668"/>
    <n v="0.78"/>
    <n v="1.1399999999999999"/>
  </r>
  <r>
    <x v="0"/>
    <s v="Supermarkets"/>
    <x v="15"/>
    <s v="Surgital"/>
    <s v="|03/01/55|"/>
    <n v="1344"/>
    <n v="0.78"/>
    <n v="1.0900000000000001"/>
  </r>
  <r>
    <x v="0"/>
    <s v="Supermarkets"/>
    <x v="15"/>
    <s v="Surgital"/>
    <s v="|03/01/56|"/>
    <n v="1656"/>
    <n v="0.72"/>
    <n v="1.1200000000000001"/>
  </r>
  <r>
    <x v="0"/>
    <s v="Supermarkets"/>
    <x v="15"/>
    <s v="Surgital"/>
    <s v="|03/01/57|"/>
    <n v="1224"/>
    <n v="0.82"/>
    <n v="1.1200000000000001"/>
  </r>
  <r>
    <x v="0"/>
    <s v="Supermarkets"/>
    <x v="15"/>
    <s v="Surgital"/>
    <s v="|03/01/58|"/>
    <n v="1224"/>
    <n v="0.82"/>
    <n v="1.1200000000000001"/>
  </r>
  <r>
    <x v="0"/>
    <s v="Supermarkets"/>
    <x v="15"/>
    <s v="Surgital"/>
    <s v="|03/01/59|"/>
    <n v="1416"/>
    <n v="0.61"/>
    <n v="1.18"/>
  </r>
  <r>
    <x v="0"/>
    <s v="Supermarkets"/>
    <x v="15"/>
    <s v="Surgital"/>
    <s v="|03/01/60|"/>
    <n v="1320"/>
    <n v="0.74"/>
    <n v="1.1000000000000001"/>
  </r>
  <r>
    <x v="0"/>
    <s v="Supermarkets"/>
    <x v="15"/>
    <s v="Surgital"/>
    <s v="|03/01/62|"/>
    <n v="1236"/>
    <n v="0.77"/>
    <n v="0.91"/>
  </r>
  <r>
    <x v="0"/>
    <s v="Supermarkets"/>
    <x v="15"/>
    <s v="Surgital"/>
    <s v="|03/01/63|"/>
    <n v="1356"/>
    <n v="0.83"/>
    <n v="0.97"/>
  </r>
  <r>
    <x v="0"/>
    <s v="Supermarkets"/>
    <x v="15"/>
    <s v="Surgital"/>
    <s v="|03/01/64|"/>
    <n v="1452"/>
    <n v="0.9"/>
    <n v="1.02"/>
  </r>
  <r>
    <x v="0"/>
    <s v="Supermarkets"/>
    <x v="15"/>
    <s v="Surgital"/>
    <s v="|03/01/65|"/>
    <n v="1464"/>
    <n v="0.73"/>
    <n v="1.19"/>
  </r>
  <r>
    <x v="0"/>
    <s v="Supermarkets"/>
    <x v="15"/>
    <s v="Surgital"/>
    <s v="|03/01/66|"/>
    <n v="1392"/>
    <n v="0.6"/>
    <n v="1.1100000000000001"/>
  </r>
  <r>
    <x v="0"/>
    <s v="Supermarkets"/>
    <x v="15"/>
    <s v="Surgital"/>
    <s v="|03/01/67|"/>
    <n v="1248"/>
    <n v="0.68"/>
    <n v="1.1599999999999999"/>
  </r>
  <r>
    <x v="0"/>
    <s v="Supermarkets"/>
    <x v="15"/>
    <s v="Surgital"/>
    <s v="|03/01/69|"/>
    <n v="1464"/>
    <n v="0.62"/>
    <n v="0.98"/>
  </r>
  <r>
    <x v="0"/>
    <s v="Supermarkets"/>
    <x v="15"/>
    <s v="Surgital"/>
    <s v="|03/01/70|"/>
    <n v="1536"/>
    <n v="0.76"/>
    <n v="1.1200000000000001"/>
  </r>
  <r>
    <x v="0"/>
    <s v="Supermarkets"/>
    <x v="15"/>
    <s v="Surgital"/>
    <s v="|03/01/71|"/>
    <n v="1284"/>
    <n v="0.69"/>
    <n v="0.97"/>
  </r>
  <r>
    <x v="0"/>
    <s v="Supermarkets"/>
    <x v="15"/>
    <s v="Surgital"/>
    <s v="|03/01/72|"/>
    <n v="1488"/>
    <n v="0.78"/>
    <n v="1.1299999999999999"/>
  </r>
  <r>
    <x v="0"/>
    <s v="Supermarkets"/>
    <x v="15"/>
    <s v="Surgital"/>
    <s v="|03/01/73|"/>
    <n v="1332"/>
    <n v="0.78"/>
    <n v="0.99"/>
  </r>
  <r>
    <x v="0"/>
    <s v="Supermarkets"/>
    <x v="15"/>
    <s v="Surgital"/>
    <s v="|03/02/01|"/>
    <n v="1320"/>
    <n v="0.62"/>
    <n v="1.18"/>
  </r>
  <r>
    <x v="0"/>
    <s v="Supermarkets"/>
    <x v="15"/>
    <s v="Surgital"/>
    <s v="|03/02/02|"/>
    <n v="1248"/>
    <n v="0.78"/>
    <n v="1.1200000000000001"/>
  </r>
  <r>
    <x v="0"/>
    <s v="Supermarkets"/>
    <x v="15"/>
    <s v="Surgital"/>
    <s v="|03/02/03|"/>
    <n v="1404"/>
    <n v="0.68"/>
    <n v="1.05"/>
  </r>
  <r>
    <x v="0"/>
    <s v="Supermarkets"/>
    <x v="15"/>
    <s v="Surgital"/>
    <s v="|03/02/04|"/>
    <n v="1248"/>
    <n v="0.63"/>
    <n v="0.96"/>
  </r>
  <r>
    <x v="0"/>
    <s v="Supermarkets"/>
    <x v="15"/>
    <s v="Surgital"/>
    <s v="|03/02/05|"/>
    <n v="1404"/>
    <n v="0.66"/>
    <n v="0.97"/>
  </r>
  <r>
    <x v="0"/>
    <s v="Convenience stores"/>
    <x v="10"/>
    <s v="Aqua"/>
    <s v="|38/01/01|"/>
    <n v="384"/>
    <n v="3.58"/>
    <n v="6.31"/>
  </r>
  <r>
    <x v="0"/>
    <s v="Convenience stores"/>
    <x v="10"/>
    <s v="Aqua"/>
    <s v="|38/01/02|"/>
    <n v="528"/>
    <n v="4.49"/>
    <n v="5.21"/>
  </r>
  <r>
    <x v="0"/>
    <s v="Convenience stores"/>
    <x v="10"/>
    <s v="Aqua"/>
    <s v="|38/01/03|"/>
    <n v="444"/>
    <n v="3.38"/>
    <n v="5.74"/>
  </r>
  <r>
    <x v="0"/>
    <s v="Convenience stores"/>
    <x v="10"/>
    <s v="Aqua"/>
    <s v="|38/01/04|"/>
    <n v="396"/>
    <n v="4.88"/>
    <n v="6.89"/>
  </r>
  <r>
    <x v="0"/>
    <s v="Convenience stores"/>
    <x v="10"/>
    <s v="Aqua"/>
    <s v="|38/01/05|"/>
    <n v="408"/>
    <n v="4.17"/>
    <n v="5.27"/>
  </r>
  <r>
    <x v="0"/>
    <s v="Convenience stores"/>
    <x v="10"/>
    <s v="Aqua"/>
    <s v="|38/01/06|"/>
    <n v="408"/>
    <n v="3.17"/>
    <n v="5.24"/>
  </r>
  <r>
    <x v="0"/>
    <s v="Convenience stores"/>
    <x v="10"/>
    <s v="Aqua"/>
    <s v="|38/01/07|"/>
    <n v="540"/>
    <n v="4.8600000000000003"/>
    <n v="6.74"/>
  </r>
  <r>
    <x v="0"/>
    <s v="Convenience stores"/>
    <x v="10"/>
    <s v="Aqua"/>
    <s v="|38/01/08|"/>
    <n v="384"/>
    <n v="4.68"/>
    <n v="6.55"/>
  </r>
  <r>
    <x v="0"/>
    <s v="Convenience stores"/>
    <x v="10"/>
    <s v="Aqua"/>
    <s v="|38/01/09|"/>
    <n v="492"/>
    <n v="3.26"/>
    <n v="5.88"/>
  </r>
  <r>
    <x v="0"/>
    <s v="Convenience stores"/>
    <x v="7"/>
    <s v="Cibo italiano"/>
    <s v="|59/01/01|"/>
    <n v="1152"/>
    <n v="2.9"/>
    <n v="3.69"/>
  </r>
  <r>
    <x v="0"/>
    <s v="Convenience stores"/>
    <x v="7"/>
    <s v="Cibo italiano"/>
    <s v="|59/01/02|"/>
    <n v="672"/>
    <n v="2.08"/>
    <n v="3.28"/>
  </r>
  <r>
    <x v="0"/>
    <s v="Convenience stores"/>
    <x v="7"/>
    <s v="Cibo italiano"/>
    <s v="|59/01/03|"/>
    <n v="792"/>
    <n v="2.96"/>
    <n v="3.53"/>
  </r>
  <r>
    <x v="0"/>
    <s v="Convenience stores"/>
    <x v="7"/>
    <s v="Cibo italiano"/>
    <s v="|59/01/04|"/>
    <n v="972"/>
    <n v="2.69"/>
    <n v="3.85"/>
  </r>
  <r>
    <x v="0"/>
    <s v="Convenience stores"/>
    <x v="7"/>
    <s v="Cibo italiano"/>
    <s v="|59/01/05|"/>
    <n v="768"/>
    <n v="2.88"/>
    <n v="3.63"/>
  </r>
  <r>
    <x v="0"/>
    <s v="Convenience stores"/>
    <x v="7"/>
    <s v="Cibo italiano"/>
    <s v="|59/01/06|"/>
    <n v="960"/>
    <n v="2.65"/>
    <n v="3.31"/>
  </r>
  <r>
    <x v="0"/>
    <s v="Convenience stores"/>
    <x v="7"/>
    <s v="Cibo italiano"/>
    <s v="|59/01/07|"/>
    <n v="900"/>
    <n v="2.2400000000000002"/>
    <n v="3.85"/>
  </r>
  <r>
    <x v="0"/>
    <s v="Convenience stores"/>
    <x v="7"/>
    <s v="Cibo italiano"/>
    <s v="|59/01/08|"/>
    <n v="1164"/>
    <n v="2.02"/>
    <n v="3.21"/>
  </r>
  <r>
    <x v="0"/>
    <s v="Convenience stores"/>
    <x v="7"/>
    <s v="Cibo italiano"/>
    <s v="|59/01/09|"/>
    <n v="816"/>
    <n v="2.27"/>
    <n v="3.88"/>
  </r>
  <r>
    <x v="0"/>
    <s v="Convenience stores"/>
    <x v="7"/>
    <s v="Cibo italiano"/>
    <s v="|59/01/10|"/>
    <n v="660"/>
    <n v="2.57"/>
    <n v="3.66"/>
  </r>
  <r>
    <x v="0"/>
    <s v="Convenience stores"/>
    <x v="7"/>
    <s v="Cibo italiano"/>
    <s v="|59/01/11|"/>
    <n v="852"/>
    <n v="2.21"/>
    <n v="3.43"/>
  </r>
  <r>
    <x v="0"/>
    <s v="Convenience stores"/>
    <x v="7"/>
    <s v="Cibo italiano"/>
    <s v="|59/01/12|"/>
    <n v="1080"/>
    <n v="2.5099999999999998"/>
    <n v="3.63"/>
  </r>
  <r>
    <x v="0"/>
    <s v="Convenience stores"/>
    <x v="7"/>
    <s v="Cibo italiano"/>
    <s v="|59/01/13|"/>
    <n v="828"/>
    <n v="2.0299999999999998"/>
    <n v="3.52"/>
  </r>
  <r>
    <x v="0"/>
    <s v="Convenience stores"/>
    <x v="7"/>
    <s v="Cibo italiano"/>
    <s v="|59/01/14|"/>
    <n v="1056"/>
    <n v="2.65"/>
    <n v="3.2"/>
  </r>
  <r>
    <x v="0"/>
    <s v="Convenience stores"/>
    <x v="7"/>
    <s v="Cibo italiano"/>
    <s v="|59/01/15|"/>
    <n v="840"/>
    <n v="2.0499999999999998"/>
    <n v="3.73"/>
  </r>
  <r>
    <x v="0"/>
    <s v="Convenience stores"/>
    <x v="7"/>
    <s v="Cibo italiano"/>
    <s v="|59/01/16|"/>
    <n v="696"/>
    <n v="2.2599999999999998"/>
    <n v="3.86"/>
  </r>
  <r>
    <x v="0"/>
    <s v="Convenience stores"/>
    <x v="7"/>
    <s v="Cibo italiano"/>
    <s v="|59/01/17|"/>
    <n v="768"/>
    <n v="2.06"/>
    <n v="3.5"/>
  </r>
  <r>
    <x v="0"/>
    <s v="Convenience stores"/>
    <x v="7"/>
    <s v="Cibo italiano"/>
    <s v="|59/01/18|"/>
    <n v="888"/>
    <n v="2.0499999999999998"/>
    <n v="3.32"/>
  </r>
  <r>
    <x v="0"/>
    <s v="Convenience stores"/>
    <x v="7"/>
    <s v="Cibo italiano"/>
    <s v="|59/01/19|"/>
    <n v="684"/>
    <n v="2.97"/>
    <n v="3.82"/>
  </r>
  <r>
    <x v="0"/>
    <s v="Convenience stores"/>
    <x v="7"/>
    <s v="Cibo italiano"/>
    <s v="|59/01/20|"/>
    <n v="864"/>
    <n v="2.0099999999999998"/>
    <n v="3.2"/>
  </r>
  <r>
    <x v="0"/>
    <s v="Convenience stores"/>
    <x v="7"/>
    <s v="Cibo italiano"/>
    <s v="|59/01/21|"/>
    <n v="684"/>
    <n v="2.92"/>
    <n v="3.78"/>
  </r>
  <r>
    <x v="0"/>
    <s v="Convenience stores"/>
    <x v="7"/>
    <s v="Cibo italiano"/>
    <s v="|59/01/22|"/>
    <n v="1092"/>
    <n v="2.96"/>
    <n v="3.23"/>
  </r>
  <r>
    <x v="0"/>
    <s v="Convenience stores"/>
    <x v="7"/>
    <s v="Cibo italiano"/>
    <s v="|59/01/23|"/>
    <n v="876"/>
    <n v="2.91"/>
    <n v="3.98"/>
  </r>
  <r>
    <x v="0"/>
    <s v="Convenience stores"/>
    <x v="7"/>
    <s v="Cibo italiano"/>
    <s v="|59/01/24|"/>
    <n v="912"/>
    <n v="2.1"/>
    <n v="3.99"/>
  </r>
  <r>
    <x v="0"/>
    <s v="Convenience stores"/>
    <x v="7"/>
    <s v="Cibo italiano"/>
    <s v="|59/01/25|"/>
    <n v="600"/>
    <n v="2.3199999999999998"/>
    <n v="3.67"/>
  </r>
  <r>
    <x v="0"/>
    <s v="Convenience stores"/>
    <x v="7"/>
    <s v="Cibo italiano"/>
    <s v="|59/01/26|"/>
    <n v="900"/>
    <n v="2.66"/>
    <n v="3.55"/>
  </r>
  <r>
    <x v="0"/>
    <s v="Convenience stores"/>
    <x v="7"/>
    <s v="Cibo italiano"/>
    <s v="|59/01/27|"/>
    <n v="1044"/>
    <n v="2.7"/>
    <n v="3.81"/>
  </r>
  <r>
    <x v="0"/>
    <s v="Convenience stores"/>
    <x v="7"/>
    <s v="Cibo italiano"/>
    <s v="|59/01/28|"/>
    <n v="1116"/>
    <n v="2.36"/>
    <n v="3.36"/>
  </r>
  <r>
    <x v="0"/>
    <s v="Convenience stores"/>
    <x v="7"/>
    <s v="Cibo italiano"/>
    <s v="|59/01/29|"/>
    <n v="1140"/>
    <n v="2.78"/>
    <n v="3.38"/>
  </r>
  <r>
    <x v="0"/>
    <s v="Convenience stores"/>
    <x v="7"/>
    <s v="Cibo italiano"/>
    <s v="|59/01/30|"/>
    <n v="744"/>
    <n v="2.16"/>
    <n v="3.31"/>
  </r>
  <r>
    <x v="0"/>
    <s v="Convenience stores"/>
    <x v="7"/>
    <s v="Cibo italiano"/>
    <s v="|59/01/31|"/>
    <n v="852"/>
    <n v="2.0299999999999998"/>
    <n v="3.5"/>
  </r>
  <r>
    <x v="0"/>
    <s v="Convenience stores"/>
    <x v="7"/>
    <s v="Cibo italiano"/>
    <s v="|59/01/32|"/>
    <n v="744"/>
    <n v="2.94"/>
    <n v="3.45"/>
  </r>
  <r>
    <x v="0"/>
    <s v="Convenience stores"/>
    <x v="7"/>
    <s v="Cibo italiano"/>
    <s v="|59/01/33|"/>
    <n v="756"/>
    <n v="2.39"/>
    <n v="3.28"/>
  </r>
  <r>
    <x v="0"/>
    <s v="Convenience stores"/>
    <x v="7"/>
    <s v="Cibo italiano"/>
    <s v="|59/01/34|"/>
    <n v="672"/>
    <n v="2.5299999999999998"/>
    <n v="3.67"/>
  </r>
  <r>
    <x v="0"/>
    <s v="Convenience stores"/>
    <x v="7"/>
    <s v="Cibo italiano"/>
    <s v="|59/01/35|"/>
    <n v="852"/>
    <n v="2.15"/>
    <n v="3.56"/>
  </r>
  <r>
    <x v="0"/>
    <s v="Convenience stores"/>
    <x v="7"/>
    <s v="Cibo italiano"/>
    <s v="|59/01/36|"/>
    <n v="828"/>
    <n v="2.2200000000000002"/>
    <n v="3.3"/>
  </r>
  <r>
    <x v="0"/>
    <s v="Convenience stores"/>
    <x v="7"/>
    <s v="Cibo italiano"/>
    <s v="|59/01/37|"/>
    <n v="912"/>
    <n v="2.2599999999999998"/>
    <n v="3.77"/>
  </r>
  <r>
    <x v="0"/>
    <s v="Convenience stores"/>
    <x v="7"/>
    <s v="Cibo italiano"/>
    <s v="|59/01/38|"/>
    <n v="1104"/>
    <n v="2.1"/>
    <n v="3.33"/>
  </r>
  <r>
    <x v="0"/>
    <s v="Convenience stores"/>
    <x v="7"/>
    <s v="Cibo italiano"/>
    <s v="|59/01/39|"/>
    <n v="1128"/>
    <n v="2.88"/>
    <n v="3.36"/>
  </r>
  <r>
    <x v="0"/>
    <s v="Convenience stores"/>
    <x v="7"/>
    <s v="Cibo italiano"/>
    <s v="|59/01/40|"/>
    <n v="600"/>
    <n v="2.94"/>
    <n v="3.69"/>
  </r>
  <r>
    <x v="0"/>
    <s v="Convenience stores"/>
    <x v="7"/>
    <s v="Cibo italiano"/>
    <s v="|59/01/41|"/>
    <n v="660"/>
    <n v="2.06"/>
    <n v="3.87"/>
  </r>
  <r>
    <x v="0"/>
    <s v="Convenience stores"/>
    <x v="7"/>
    <s v="Cibo italiano"/>
    <s v="|59/01/42|"/>
    <n v="948"/>
    <n v="2.56"/>
    <n v="3.93"/>
  </r>
  <r>
    <x v="0"/>
    <s v="Convenience stores"/>
    <x v="7"/>
    <s v="Cibo italiano"/>
    <s v="|59/01/43|"/>
    <n v="1200"/>
    <n v="2.04"/>
    <n v="3.65"/>
  </r>
  <r>
    <x v="0"/>
    <s v="Convenience stores"/>
    <x v="7"/>
    <s v="Cibo italiano"/>
    <s v="|59/01/44|"/>
    <n v="708"/>
    <n v="2.92"/>
    <n v="3.8"/>
  </r>
  <r>
    <x v="0"/>
    <s v="Convenience stores"/>
    <x v="7"/>
    <s v="Cibo italiano"/>
    <s v="|59/01/45|"/>
    <n v="708"/>
    <n v="2.29"/>
    <n v="3.43"/>
  </r>
  <r>
    <x v="0"/>
    <s v="Convenience stores"/>
    <x v="7"/>
    <s v="Cibo italiano"/>
    <s v="|59/01/46|"/>
    <n v="1080"/>
    <n v="2.62"/>
    <n v="3.95"/>
  </r>
  <r>
    <x v="0"/>
    <s v="Convenience stores"/>
    <x v="7"/>
    <s v="Cibo italiano"/>
    <s v="|59/01/47|"/>
    <n v="1032"/>
    <n v="2.75"/>
    <n v="3.54"/>
  </r>
  <r>
    <x v="0"/>
    <s v="Convenience stores"/>
    <x v="7"/>
    <s v="Cibo italiano"/>
    <s v="|59/01/48|"/>
    <n v="996"/>
    <n v="2.17"/>
    <n v="3.83"/>
  </r>
  <r>
    <x v="0"/>
    <s v="Convenience stores"/>
    <x v="7"/>
    <s v="Cibo italiano"/>
    <s v="|59/01/49|"/>
    <n v="984"/>
    <n v="2.95"/>
    <n v="3.49"/>
  </r>
  <r>
    <x v="0"/>
    <s v="Convenience stores"/>
    <x v="7"/>
    <s v="Cibo italiano"/>
    <s v="|59/01/50|"/>
    <n v="936"/>
    <n v="2.2799999999999998"/>
    <n v="3.47"/>
  </r>
  <r>
    <x v="0"/>
    <s v="Convenience stores"/>
    <x v="7"/>
    <s v="Cibo italiano"/>
    <s v="|59/01/51|"/>
    <n v="672"/>
    <n v="2.41"/>
    <n v="3.36"/>
  </r>
  <r>
    <x v="0"/>
    <s v="Convenience stores"/>
    <x v="7"/>
    <s v="Cibo italiano"/>
    <s v="|59/01/52|"/>
    <n v="1092"/>
    <n v="2.09"/>
    <n v="3.44"/>
  </r>
  <r>
    <x v="0"/>
    <s v="Convenience stores"/>
    <x v="7"/>
    <s v="Cibo italiano"/>
    <s v="|59/01/53|"/>
    <n v="828"/>
    <n v="2.61"/>
    <n v="3.64"/>
  </r>
  <r>
    <x v="0"/>
    <s v="Convenience stores"/>
    <x v="7"/>
    <s v="Cibo italiano"/>
    <s v="|59/01/54|"/>
    <n v="624"/>
    <n v="2.31"/>
    <n v="3.65"/>
  </r>
  <r>
    <x v="0"/>
    <s v="Convenience stores"/>
    <x v="7"/>
    <s v="Cibo italiano"/>
    <s v="|59/01/55|"/>
    <n v="888"/>
    <n v="2.98"/>
    <n v="3.72"/>
  </r>
  <r>
    <x v="0"/>
    <s v="Convenience stores"/>
    <x v="7"/>
    <s v="Cibo italiano"/>
    <s v="|59/01/56|"/>
    <n v="1116"/>
    <n v="2.83"/>
    <n v="3.37"/>
  </r>
  <r>
    <x v="0"/>
    <s v="Convenience stores"/>
    <x v="7"/>
    <s v="Cibo italiano"/>
    <s v="|59/01/57|"/>
    <n v="1056"/>
    <n v="2.66"/>
    <n v="3.93"/>
  </r>
  <r>
    <x v="0"/>
    <s v="Convenience stores"/>
    <x v="7"/>
    <s v="Cibo italiano"/>
    <s v="|59/01/58|"/>
    <n v="1164"/>
    <n v="2.42"/>
    <n v="3.31"/>
  </r>
  <r>
    <x v="0"/>
    <s v="Convenience stores"/>
    <x v="7"/>
    <s v="Cibo italiano"/>
    <s v="|59/01/59|"/>
    <n v="1128"/>
    <n v="2.2400000000000002"/>
    <n v="3.93"/>
  </r>
  <r>
    <x v="0"/>
    <s v="Convenience stores"/>
    <x v="7"/>
    <s v="Cibo italiano"/>
    <s v="|59/01/60|"/>
    <n v="636"/>
    <n v="2.4900000000000002"/>
    <n v="3.53"/>
  </r>
  <r>
    <x v="0"/>
    <s v="Convenience stores"/>
    <x v="7"/>
    <s v="Cibo italiano"/>
    <s v="|59/01/61|"/>
    <n v="1008"/>
    <n v="2.1800000000000002"/>
    <n v="3.85"/>
  </r>
  <r>
    <x v="0"/>
    <s v="Convenience stores"/>
    <x v="7"/>
    <s v="Cibo italiano"/>
    <s v="|59/01/62|"/>
    <n v="780"/>
    <n v="2.27"/>
    <n v="3.48"/>
  </r>
  <r>
    <x v="0"/>
    <s v="Convenience stores"/>
    <x v="7"/>
    <s v="Cibo italiano"/>
    <s v="|59/01/63|"/>
    <n v="864"/>
    <n v="2.82"/>
    <n v="3.33"/>
  </r>
  <r>
    <x v="0"/>
    <s v="Convenience stores"/>
    <x v="7"/>
    <s v="Cibo italiano"/>
    <s v="|59/01/64|"/>
    <n v="780"/>
    <n v="2.56"/>
    <n v="3.77"/>
  </r>
  <r>
    <x v="0"/>
    <s v="Convenience stores"/>
    <x v="7"/>
    <s v="Cibo italiano"/>
    <s v="|59/01/65|"/>
    <n v="1008"/>
    <n v="2.99"/>
    <n v="3.81"/>
  </r>
  <r>
    <x v="0"/>
    <s v="Convenience stores"/>
    <x v="7"/>
    <s v="Cibo italiano"/>
    <s v="|59/01/66|"/>
    <n v="876"/>
    <n v="2.84"/>
    <n v="4"/>
  </r>
  <r>
    <x v="0"/>
    <s v="Convenience stores"/>
    <x v="7"/>
    <s v="Cibo italiano"/>
    <s v="|59/01/67|"/>
    <n v="780"/>
    <n v="2.14"/>
    <n v="3.31"/>
  </r>
  <r>
    <x v="0"/>
    <s v="Convenience stores"/>
    <x v="7"/>
    <s v="Cibo italiano"/>
    <s v="|59/01/68|"/>
    <n v="1008"/>
    <n v="2.09"/>
    <n v="3.98"/>
  </r>
  <r>
    <x v="0"/>
    <s v="Convenience stores"/>
    <x v="7"/>
    <s v="Cibo italiano"/>
    <s v="|59/01/69|"/>
    <n v="708"/>
    <n v="2.5299999999999998"/>
    <n v="3.32"/>
  </r>
  <r>
    <x v="0"/>
    <s v="Convenience stores"/>
    <x v="7"/>
    <s v="Cibo italiano"/>
    <s v="|59/02/01|"/>
    <n v="816"/>
    <n v="2.6"/>
    <n v="3.84"/>
  </r>
  <r>
    <x v="0"/>
    <s v="Convenience stores"/>
    <x v="7"/>
    <s v="Cibo italiano"/>
    <s v="|59/02/02|"/>
    <n v="972"/>
    <n v="2.0499999999999998"/>
    <n v="3.52"/>
  </r>
  <r>
    <x v="0"/>
    <s v="Convenience stores"/>
    <x v="7"/>
    <s v="Cibo italiano"/>
    <s v="|59/02/03|"/>
    <n v="852"/>
    <n v="2.77"/>
    <n v="3.37"/>
  </r>
  <r>
    <x v="0"/>
    <s v="Convenience stores"/>
    <x v="7"/>
    <s v="Cibo italiano"/>
    <s v="|59/02/04|"/>
    <n v="840"/>
    <n v="2.72"/>
    <n v="3.95"/>
  </r>
  <r>
    <x v="0"/>
    <s v="Convenience stores"/>
    <x v="7"/>
    <s v="Cibo italiano"/>
    <s v="|59/02/05|"/>
    <n v="1056"/>
    <n v="2.85"/>
    <n v="3.96"/>
  </r>
  <r>
    <x v="0"/>
    <s v="Convenience stores"/>
    <x v="7"/>
    <s v="Cibo italiano"/>
    <s v="|59/02/06|"/>
    <n v="792"/>
    <n v="2.23"/>
    <n v="3.82"/>
  </r>
  <r>
    <x v="0"/>
    <s v="Convenience stores"/>
    <x v="7"/>
    <s v="Cibo italiano"/>
    <s v="|59/02/07|"/>
    <n v="1188"/>
    <n v="2.4300000000000002"/>
    <n v="3.39"/>
  </r>
  <r>
    <x v="0"/>
    <s v="Convenience stores"/>
    <x v="7"/>
    <s v="Cibo italiano"/>
    <s v="|59/02/08|"/>
    <n v="1068"/>
    <n v="2.33"/>
    <n v="3.88"/>
  </r>
  <r>
    <x v="0"/>
    <s v="Convenience stores"/>
    <x v="7"/>
    <s v="Cibo italiano"/>
    <s v="|59/02/09|"/>
    <n v="624"/>
    <n v="2.56"/>
    <n v="3.45"/>
  </r>
  <r>
    <x v="0"/>
    <s v="Convenience stores"/>
    <x v="7"/>
    <s v="Cibo italiano"/>
    <s v="|59/02/10|"/>
    <n v="1164"/>
    <n v="2.64"/>
    <n v="3.22"/>
  </r>
  <r>
    <x v="0"/>
    <s v="Convenience stores"/>
    <x v="7"/>
    <s v="Cibo italiano"/>
    <s v="|59/02/11|"/>
    <n v="984"/>
    <n v="2.61"/>
    <n v="3.84"/>
  </r>
  <r>
    <x v="0"/>
    <s v="Convenience stores"/>
    <x v="7"/>
    <s v="Cibo italiano"/>
    <s v="|59/02/12|"/>
    <n v="1152"/>
    <n v="2.5099999999999998"/>
    <n v="3.49"/>
  </r>
  <r>
    <x v="0"/>
    <s v="Convenience stores"/>
    <x v="7"/>
    <s v="Cibo italiano"/>
    <s v="|59/02/13|"/>
    <n v="900"/>
    <n v="2.23"/>
    <n v="3.53"/>
  </r>
  <r>
    <x v="0"/>
    <s v="Convenience stores"/>
    <x v="7"/>
    <s v="Cibo italiano"/>
    <s v="|59/02/14|"/>
    <n v="768"/>
    <n v="2.84"/>
    <n v="3.45"/>
  </r>
  <r>
    <x v="0"/>
    <s v="Convenience stores"/>
    <x v="7"/>
    <s v="Cibo italiano"/>
    <s v="|59/02/15|"/>
    <n v="984"/>
    <n v="2.2400000000000002"/>
    <n v="3.46"/>
  </r>
  <r>
    <x v="0"/>
    <s v="Convenience stores"/>
    <x v="7"/>
    <s v="Cibo italiano"/>
    <s v="|59/02/16|"/>
    <n v="852"/>
    <n v="2.09"/>
    <n v="4"/>
  </r>
  <r>
    <x v="0"/>
    <s v="Convenience stores"/>
    <x v="7"/>
    <s v="Cibo italiano"/>
    <s v="|59/02/17|"/>
    <n v="1092"/>
    <n v="2.65"/>
    <n v="3.34"/>
  </r>
  <r>
    <x v="0"/>
    <s v="Convenience stores"/>
    <x v="7"/>
    <s v="Cibo italiano"/>
    <s v="|59/02/18|"/>
    <n v="1092"/>
    <n v="2.62"/>
    <n v="3.26"/>
  </r>
  <r>
    <x v="0"/>
    <s v="Convenience stores"/>
    <x v="7"/>
    <s v="Cibo italiano"/>
    <s v="|59/02/19|"/>
    <n v="708"/>
    <n v="2.02"/>
    <n v="3.89"/>
  </r>
  <r>
    <x v="0"/>
    <s v="Convenience stores"/>
    <x v="7"/>
    <s v="Cibo italiano"/>
    <s v="|59/02/20|"/>
    <n v="996"/>
    <n v="2.66"/>
    <n v="3.5"/>
  </r>
  <r>
    <x v="0"/>
    <s v="Convenience stores"/>
    <x v="7"/>
    <s v="Cibo italiano"/>
    <s v="|59/02/21|"/>
    <n v="732"/>
    <n v="2.57"/>
    <n v="3.47"/>
  </r>
  <r>
    <x v="0"/>
    <s v="Convenience stores"/>
    <x v="7"/>
    <s v="Cibo italiano"/>
    <s v="|59/02/22|"/>
    <n v="1188"/>
    <n v="2.2400000000000002"/>
    <n v="3.58"/>
  </r>
  <r>
    <x v="0"/>
    <s v="Convenience stores"/>
    <x v="7"/>
    <s v="Cibo italiano"/>
    <s v="|59/02/23|"/>
    <n v="936"/>
    <n v="2.67"/>
    <n v="3.31"/>
  </r>
  <r>
    <x v="0"/>
    <s v="Convenience stores"/>
    <x v="7"/>
    <s v="Cibo italiano"/>
    <s v="|59/02/24|"/>
    <n v="996"/>
    <n v="2.34"/>
    <n v="3.87"/>
  </r>
  <r>
    <x v="0"/>
    <s v="Convenience stores"/>
    <x v="7"/>
    <s v="Cibo italiano"/>
    <s v="|59/02/25|"/>
    <n v="1164"/>
    <n v="2.98"/>
    <n v="3.2"/>
  </r>
  <r>
    <x v="0"/>
    <s v="Convenience stores"/>
    <x v="7"/>
    <s v="Cibo italiano"/>
    <s v="|59/02/26|"/>
    <n v="756"/>
    <n v="2.95"/>
    <n v="3.95"/>
  </r>
  <r>
    <x v="0"/>
    <s v="Convenience stores"/>
    <x v="7"/>
    <s v="Cibo italiano"/>
    <s v="|59/02/27|"/>
    <n v="816"/>
    <n v="2.0699999999999998"/>
    <n v="3.33"/>
  </r>
  <r>
    <x v="0"/>
    <s v="Convenience stores"/>
    <x v="7"/>
    <s v="Cibo italiano"/>
    <s v="|59/02/28|"/>
    <n v="1128"/>
    <n v="2.42"/>
    <n v="3.7"/>
  </r>
  <r>
    <x v="0"/>
    <s v="Convenience stores"/>
    <x v="7"/>
    <s v="Cibo italiano"/>
    <s v="|59/02/29|"/>
    <n v="600"/>
    <n v="2.19"/>
    <n v="3.34"/>
  </r>
  <r>
    <x v="0"/>
    <s v="Convenience stores"/>
    <x v="7"/>
    <s v="Cibo italiano"/>
    <s v="|59/02/30|"/>
    <n v="984"/>
    <n v="2.17"/>
    <n v="3.37"/>
  </r>
  <r>
    <x v="0"/>
    <s v="Convenience stores"/>
    <x v="7"/>
    <s v="Cibo italiano"/>
    <s v="|59/03/01|"/>
    <n v="1152"/>
    <n v="2.1"/>
    <n v="3.47"/>
  </r>
  <r>
    <x v="0"/>
    <s v="Convenience stores"/>
    <x v="7"/>
    <s v="Cibo italiano"/>
    <s v="|59/03/02|"/>
    <n v="696"/>
    <n v="2.2599999999999998"/>
    <n v="3.89"/>
  </r>
  <r>
    <x v="0"/>
    <s v="Convenience stores"/>
    <x v="7"/>
    <s v="Cibo italiano"/>
    <s v="|59/03/03|"/>
    <n v="756"/>
    <n v="2.37"/>
    <n v="3.4"/>
  </r>
  <r>
    <x v="0"/>
    <s v="Convenience stores"/>
    <x v="7"/>
    <s v="Cibo italiano"/>
    <s v="|59/03/04|"/>
    <n v="756"/>
    <n v="2.4500000000000002"/>
    <n v="3.45"/>
  </r>
  <r>
    <x v="0"/>
    <s v="Convenience stores"/>
    <x v="7"/>
    <s v="Cibo italiano"/>
    <s v="|59/03/05|"/>
    <n v="1068"/>
    <n v="2.82"/>
    <n v="3.87"/>
  </r>
  <r>
    <x v="0"/>
    <s v="Convenience stores"/>
    <x v="7"/>
    <s v="Cibo italiano"/>
    <s v="|59/03/06|"/>
    <n v="1020"/>
    <n v="2.76"/>
    <n v="3.87"/>
  </r>
  <r>
    <x v="0"/>
    <s v="Convenience stores"/>
    <x v="7"/>
    <s v="Cibo italiano"/>
    <s v="|59/03/07|"/>
    <n v="600"/>
    <n v="2.2599999999999998"/>
    <n v="3.34"/>
  </r>
  <r>
    <x v="0"/>
    <s v="Convenience stores"/>
    <x v="7"/>
    <s v="Cibo italiano"/>
    <s v="|59/03/08|"/>
    <n v="1176"/>
    <n v="2.0699999999999998"/>
    <n v="3.82"/>
  </r>
  <r>
    <x v="0"/>
    <s v="Convenience stores"/>
    <x v="5"/>
    <s v="Haribo"/>
    <s v="|121/01/01|"/>
    <n v="636"/>
    <n v="1.18"/>
    <n v="1.78"/>
  </r>
  <r>
    <x v="0"/>
    <s v="Convenience stores"/>
    <x v="5"/>
    <s v="Haribo"/>
    <s v="|121/01/02|"/>
    <n v="1032"/>
    <n v="1.21"/>
    <n v="1.87"/>
  </r>
  <r>
    <x v="0"/>
    <s v="Convenience stores"/>
    <x v="5"/>
    <s v="Haribo"/>
    <s v="|121/01/03|"/>
    <n v="1080"/>
    <n v="1.2"/>
    <n v="1.81"/>
  </r>
  <r>
    <x v="0"/>
    <s v="Convenience stores"/>
    <x v="5"/>
    <s v="Haribo"/>
    <s v="|121/01/04|"/>
    <n v="588"/>
    <n v="1.37"/>
    <n v="1.63"/>
  </r>
  <r>
    <x v="0"/>
    <s v="Convenience stores"/>
    <x v="5"/>
    <s v="Haribo"/>
    <s v="|121/01/05|"/>
    <n v="672"/>
    <n v="1.46"/>
    <n v="1.71"/>
  </r>
  <r>
    <x v="0"/>
    <s v="Convenience stores"/>
    <x v="5"/>
    <s v="Haribo"/>
    <s v="|121/01/06|"/>
    <n v="960"/>
    <n v="1.28"/>
    <n v="1.61"/>
  </r>
  <r>
    <x v="0"/>
    <s v="Convenience stores"/>
    <x v="5"/>
    <s v="Haribo"/>
    <s v="|121/01/07|"/>
    <n v="972"/>
    <n v="1.43"/>
    <n v="1.86"/>
  </r>
  <r>
    <x v="0"/>
    <s v="Convenience stores"/>
    <x v="5"/>
    <s v="Haribo"/>
    <s v="|121/01/08|"/>
    <n v="732"/>
    <n v="1.18"/>
    <n v="1.86"/>
  </r>
  <r>
    <x v="0"/>
    <s v="Convenience stores"/>
    <x v="5"/>
    <s v="Haribo"/>
    <s v="|121/01/09|"/>
    <n v="840"/>
    <n v="1.4"/>
    <n v="1.65"/>
  </r>
  <r>
    <x v="0"/>
    <s v="Convenience stores"/>
    <x v="5"/>
    <s v="Haribo"/>
    <s v="|121/01/10|"/>
    <n v="684"/>
    <n v="1.34"/>
    <n v="1.85"/>
  </r>
  <r>
    <x v="0"/>
    <s v="Convenience stores"/>
    <x v="5"/>
    <s v="Haribo"/>
    <s v="|121/01/11|"/>
    <n v="1308"/>
    <n v="1.3"/>
    <n v="1.83"/>
  </r>
  <r>
    <x v="0"/>
    <s v="Convenience stores"/>
    <x v="5"/>
    <s v="Lindt"/>
    <s v="|74/01/01|"/>
    <n v="660"/>
    <n v="1.28"/>
    <n v="1.6"/>
  </r>
  <r>
    <x v="0"/>
    <s v="Convenience stores"/>
    <x v="5"/>
    <s v="Lindt"/>
    <s v="|74/01/02|"/>
    <n v="768"/>
    <n v="1.5"/>
    <n v="1.83"/>
  </r>
  <r>
    <x v="0"/>
    <s v="Convenience stores"/>
    <x v="5"/>
    <s v="Lindt"/>
    <s v="|74/01/03|"/>
    <n v="828"/>
    <n v="1.22"/>
    <n v="1.86"/>
  </r>
  <r>
    <x v="0"/>
    <s v="Convenience stores"/>
    <x v="5"/>
    <s v="Lindt"/>
    <s v="|74/01/04|"/>
    <n v="1200"/>
    <n v="1.48"/>
    <n v="1.67"/>
  </r>
  <r>
    <x v="0"/>
    <s v="Convenience stores"/>
    <x v="5"/>
    <s v="Lindt"/>
    <s v="|74/01/05|"/>
    <n v="660"/>
    <n v="1.18"/>
    <n v="1.81"/>
  </r>
  <r>
    <x v="0"/>
    <s v="Convenience stores"/>
    <x v="5"/>
    <s v="Lindt"/>
    <s v="|74/01/06|"/>
    <n v="1020"/>
    <n v="1.24"/>
    <n v="1.88"/>
  </r>
  <r>
    <x v="0"/>
    <s v="Convenience stores"/>
    <x v="5"/>
    <s v="Lindt"/>
    <s v="|74/02/01|"/>
    <n v="1164"/>
    <n v="1.4"/>
    <n v="1.71"/>
  </r>
  <r>
    <x v="0"/>
    <s v="Convenience stores"/>
    <x v="5"/>
    <s v="Lindt"/>
    <s v="|74/02/02|"/>
    <n v="816"/>
    <n v="1.47"/>
    <n v="1.9"/>
  </r>
  <r>
    <x v="0"/>
    <s v="Convenience stores"/>
    <x v="5"/>
    <s v="Lindt"/>
    <s v="|74/02/03|"/>
    <n v="1224"/>
    <n v="1.1499999999999999"/>
    <n v="1.63"/>
  </r>
  <r>
    <x v="0"/>
    <s v="Convenience stores"/>
    <x v="5"/>
    <s v="Lindt"/>
    <s v="|74/02/04|"/>
    <n v="1308"/>
    <n v="1.1599999999999999"/>
    <n v="1.62"/>
  </r>
  <r>
    <x v="0"/>
    <s v="Convenience stores"/>
    <x v="5"/>
    <s v="Lindt"/>
    <s v="|74/02/05|"/>
    <n v="1284"/>
    <n v="1.39"/>
    <n v="1.73"/>
  </r>
  <r>
    <x v="0"/>
    <s v="Convenience stores"/>
    <x v="5"/>
    <s v="Lindt"/>
    <s v="|74/02/06|"/>
    <n v="816"/>
    <n v="1.33"/>
    <n v="1.63"/>
  </r>
  <r>
    <x v="0"/>
    <s v="Convenience stores"/>
    <x v="5"/>
    <s v="Lindt"/>
    <s v="|74/02/07|"/>
    <n v="852"/>
    <n v="1.21"/>
    <n v="1.73"/>
  </r>
  <r>
    <x v="0"/>
    <s v="Convenience stores"/>
    <x v="5"/>
    <s v="Lindt"/>
    <s v="|74/02/08|"/>
    <n v="1104"/>
    <n v="1.1200000000000001"/>
    <n v="1.75"/>
  </r>
  <r>
    <x v="0"/>
    <s v="Convenience stores"/>
    <x v="5"/>
    <s v="Lindt"/>
    <s v="|74/02/09|"/>
    <n v="1140"/>
    <n v="1.19"/>
    <n v="1.83"/>
  </r>
  <r>
    <x v="0"/>
    <s v="Convenience stores"/>
    <x v="5"/>
    <s v="Lindt"/>
    <s v="|74/02/10|"/>
    <n v="708"/>
    <n v="1.35"/>
    <n v="1.7"/>
  </r>
  <r>
    <x v="0"/>
    <s v="Convenience stores"/>
    <x v="5"/>
    <s v="Lindt"/>
    <s v="|74/02/11|"/>
    <n v="900"/>
    <n v="1.29"/>
    <n v="1.81"/>
  </r>
  <r>
    <x v="0"/>
    <s v="Convenience stores"/>
    <x v="5"/>
    <s v="Lindt"/>
    <s v="|74/02/12|"/>
    <n v="1212"/>
    <n v="1.49"/>
    <n v="1.77"/>
  </r>
  <r>
    <x v="0"/>
    <s v="Convenience stores"/>
    <x v="5"/>
    <s v="Lindt"/>
    <s v="|74/03/01|"/>
    <n v="756"/>
    <n v="1.32"/>
    <n v="1.6"/>
  </r>
  <r>
    <x v="0"/>
    <s v="Convenience stores"/>
    <x v="5"/>
    <s v="Lindt"/>
    <s v="|74/03/02|"/>
    <n v="1140"/>
    <n v="1.22"/>
    <n v="1.8"/>
  </r>
  <r>
    <x v="0"/>
    <s v="Convenience stores"/>
    <x v="5"/>
    <s v="Lindt"/>
    <s v="|74/03/03|"/>
    <n v="804"/>
    <n v="1.34"/>
    <n v="1.63"/>
  </r>
  <r>
    <x v="0"/>
    <s v="Convenience stores"/>
    <x v="5"/>
    <s v="Lindt"/>
    <s v="|74/03/04|"/>
    <n v="756"/>
    <n v="1.26"/>
    <n v="1.62"/>
  </r>
  <r>
    <x v="0"/>
    <s v="Convenience stores"/>
    <x v="5"/>
    <s v="Lindt"/>
    <s v="|74/04/01|"/>
    <n v="1296"/>
    <n v="1.18"/>
    <n v="1.63"/>
  </r>
  <r>
    <x v="0"/>
    <s v="Convenience stores"/>
    <x v="5"/>
    <s v="Lindt"/>
    <s v="|74/05/01|"/>
    <n v="660"/>
    <n v="1.42"/>
    <n v="1.63"/>
  </r>
  <r>
    <x v="0"/>
    <s v="Convenience stores"/>
    <x v="5"/>
    <s v="Lindt"/>
    <s v="|74/05/02|"/>
    <n v="900"/>
    <n v="1.45"/>
    <n v="1.73"/>
  </r>
  <r>
    <x v="0"/>
    <s v="Convenience stores"/>
    <x v="5"/>
    <s v="Lindt"/>
    <s v="|74/06/00|"/>
    <n v="1308"/>
    <n v="1.1200000000000001"/>
    <n v="1.76"/>
  </r>
  <r>
    <x v="0"/>
    <s v="Convenience stores"/>
    <x v="5"/>
    <s v="Lindt"/>
    <s v="|74/06/01|"/>
    <n v="1152"/>
    <n v="1.49"/>
    <n v="1.75"/>
  </r>
  <r>
    <x v="0"/>
    <s v="Convenience stores"/>
    <x v="5"/>
    <s v="Lindt"/>
    <s v="|74/06/02|"/>
    <n v="1008"/>
    <n v="1.46"/>
    <n v="1.83"/>
  </r>
  <r>
    <x v="0"/>
    <s v="Convenience stores"/>
    <x v="5"/>
    <s v="Lindt"/>
    <s v="|74/06/03|"/>
    <n v="960"/>
    <n v="1.24"/>
    <n v="1.79"/>
  </r>
  <r>
    <x v="0"/>
    <s v="Convenience stores"/>
    <x v="5"/>
    <s v="Lindt"/>
    <s v="|74/06/04|"/>
    <n v="684"/>
    <n v="1.44"/>
    <n v="1.68"/>
  </r>
  <r>
    <x v="0"/>
    <s v="Convenience stores"/>
    <x v="5"/>
    <s v="Lindt"/>
    <s v="|74/06/05|"/>
    <n v="828"/>
    <n v="1.43"/>
    <n v="1.85"/>
  </r>
  <r>
    <x v="0"/>
    <s v="Convenience stores"/>
    <x v="5"/>
    <s v="Lindt"/>
    <s v="|74/06/06|"/>
    <n v="1164"/>
    <n v="1.49"/>
    <n v="1.63"/>
  </r>
  <r>
    <x v="0"/>
    <s v="Convenience stores"/>
    <x v="5"/>
    <s v="Lindt"/>
    <s v="|74/06/07|"/>
    <n v="948"/>
    <n v="1.31"/>
    <n v="1.62"/>
  </r>
  <r>
    <x v="0"/>
    <s v="Convenience stores"/>
    <x v="5"/>
    <s v="Lindt"/>
    <s v="|74/06/08|"/>
    <n v="804"/>
    <n v="1.1200000000000001"/>
    <n v="1.9"/>
  </r>
  <r>
    <x v="0"/>
    <s v="Convenience stores"/>
    <x v="5"/>
    <s v="Lindt"/>
    <s v="|74/06/09|"/>
    <n v="804"/>
    <n v="1.24"/>
    <n v="1.7"/>
  </r>
  <r>
    <x v="0"/>
    <s v="Convenience stores"/>
    <x v="5"/>
    <s v="Lindt"/>
    <s v="|74/06/10|"/>
    <n v="948"/>
    <n v="1.22"/>
    <n v="1.83"/>
  </r>
  <r>
    <x v="0"/>
    <s v="Convenience stores"/>
    <x v="5"/>
    <s v="Lindt"/>
    <s v="|74/06/11|"/>
    <n v="1200"/>
    <n v="1.1399999999999999"/>
    <n v="1.83"/>
  </r>
  <r>
    <x v="0"/>
    <s v="Convenience stores"/>
    <x v="5"/>
    <s v="Lindt"/>
    <s v="|74/06/12|"/>
    <n v="576"/>
    <n v="1.37"/>
    <n v="1.65"/>
  </r>
  <r>
    <x v="0"/>
    <s v="Convenience stores"/>
    <x v="7"/>
    <s v="Maxi Fresh"/>
    <s v="|81/01/01|"/>
    <n v="612"/>
    <n v="2.16"/>
    <n v="3.63"/>
  </r>
  <r>
    <x v="0"/>
    <s v="Convenience stores"/>
    <x v="7"/>
    <s v="Maxi Fresh"/>
    <s v="|81/01/02|"/>
    <n v="840"/>
    <n v="2.27"/>
    <n v="3.37"/>
  </r>
  <r>
    <x v="0"/>
    <s v="Convenience stores"/>
    <x v="7"/>
    <s v="Maxi Fresh"/>
    <s v="|81/01/03|"/>
    <n v="672"/>
    <n v="2.5099999999999998"/>
    <n v="3.3"/>
  </r>
  <r>
    <x v="0"/>
    <s v="Convenience stores"/>
    <x v="7"/>
    <s v="Maxi Fresh"/>
    <s v="|81/01/04|"/>
    <n v="1068"/>
    <n v="2.2999999999999998"/>
    <n v="3.23"/>
  </r>
  <r>
    <x v="0"/>
    <s v="Convenience stores"/>
    <x v="7"/>
    <s v="Maxi Fresh"/>
    <s v="|81/01/05|"/>
    <n v="720"/>
    <n v="2.4300000000000002"/>
    <n v="3.2"/>
  </r>
  <r>
    <x v="0"/>
    <s v="Convenience stores"/>
    <x v="7"/>
    <s v="Maxi Fresh"/>
    <s v="|81/01/06|"/>
    <n v="1104"/>
    <n v="2.17"/>
    <n v="3.58"/>
  </r>
  <r>
    <x v="0"/>
    <s v="Convenience stores"/>
    <x v="7"/>
    <s v="Maxi Fresh"/>
    <s v="|81/01/07|"/>
    <n v="720"/>
    <n v="2.71"/>
    <n v="3.95"/>
  </r>
  <r>
    <x v="0"/>
    <s v="Convenience stores"/>
    <x v="7"/>
    <s v="Maxi Fresh"/>
    <s v="|81/01/08|"/>
    <n v="828"/>
    <n v="2.5299999999999998"/>
    <n v="3.97"/>
  </r>
  <r>
    <x v="0"/>
    <s v="Convenience stores"/>
    <x v="7"/>
    <s v="Maxi Fresh"/>
    <s v="|81/01/09|"/>
    <n v="948"/>
    <n v="2"/>
    <n v="3.99"/>
  </r>
  <r>
    <x v="0"/>
    <s v="Convenience stores"/>
    <x v="7"/>
    <s v="Maxi Fresh"/>
    <s v="|81/01/10|"/>
    <n v="600"/>
    <n v="2.61"/>
    <n v="3.39"/>
  </r>
  <r>
    <x v="0"/>
    <s v="Convenience stores"/>
    <x v="7"/>
    <s v="Maxi Fresh"/>
    <s v="|81/01/11|"/>
    <n v="660"/>
    <n v="2.62"/>
    <n v="3.95"/>
  </r>
  <r>
    <x v="0"/>
    <s v="Convenience stores"/>
    <x v="7"/>
    <s v="Maxi Fresh"/>
    <s v="|81/01/12|"/>
    <n v="636"/>
    <n v="2.77"/>
    <n v="3.22"/>
  </r>
  <r>
    <x v="0"/>
    <s v="Convenience stores"/>
    <x v="7"/>
    <s v="Maxi Fresh"/>
    <s v="|81/01/13|"/>
    <n v="900"/>
    <n v="2.04"/>
    <n v="3.21"/>
  </r>
  <r>
    <x v="0"/>
    <s v="Convenience stores"/>
    <x v="7"/>
    <s v="Maxi Fresh"/>
    <s v="|81/01/14|"/>
    <n v="900"/>
    <n v="2.34"/>
    <n v="3.3"/>
  </r>
  <r>
    <x v="0"/>
    <s v="Convenience stores"/>
    <x v="7"/>
    <s v="Maxi Fresh"/>
    <s v="|81/01/15|"/>
    <n v="852"/>
    <n v="2.4"/>
    <n v="3.93"/>
  </r>
  <r>
    <x v="0"/>
    <s v="Convenience stores"/>
    <x v="7"/>
    <s v="Maxi Fresh"/>
    <s v="|81/01/16|"/>
    <n v="732"/>
    <n v="2.25"/>
    <n v="3.76"/>
  </r>
  <r>
    <x v="0"/>
    <s v="Convenience stores"/>
    <x v="7"/>
    <s v="Maxi Fresh"/>
    <s v="|81/01/17|"/>
    <n v="1140"/>
    <n v="2.59"/>
    <n v="3.91"/>
  </r>
  <r>
    <x v="0"/>
    <s v="Convenience stores"/>
    <x v="7"/>
    <s v="Maxi Fresh"/>
    <s v="|81/01/18|"/>
    <n v="996"/>
    <n v="2.4900000000000002"/>
    <n v="3.64"/>
  </r>
  <r>
    <x v="0"/>
    <s v="Convenience stores"/>
    <x v="7"/>
    <s v="Maxi Fresh"/>
    <s v="|81/01/19|"/>
    <n v="900"/>
    <n v="2.64"/>
    <n v="3.22"/>
  </r>
  <r>
    <x v="0"/>
    <s v="Convenience stores"/>
    <x v="7"/>
    <s v="Maxi Fresh"/>
    <s v="|81/01/20|"/>
    <n v="1032"/>
    <n v="2.41"/>
    <n v="3.85"/>
  </r>
  <r>
    <x v="0"/>
    <s v="Convenience stores"/>
    <x v="7"/>
    <s v="Maxi Fresh"/>
    <s v="|81/01/21|"/>
    <n v="708"/>
    <n v="2.83"/>
    <n v="3.52"/>
  </r>
  <r>
    <x v="0"/>
    <s v="Convenience stores"/>
    <x v="7"/>
    <s v="Maxi Fresh"/>
    <s v="|81/01/22|"/>
    <n v="684"/>
    <n v="2.21"/>
    <n v="3.8"/>
  </r>
  <r>
    <x v="0"/>
    <s v="Convenience stores"/>
    <x v="7"/>
    <s v="Maxi Fresh"/>
    <s v="|81/01/23|"/>
    <n v="1200"/>
    <n v="2.37"/>
    <n v="3.83"/>
  </r>
  <r>
    <x v="0"/>
    <s v="Convenience stores"/>
    <x v="7"/>
    <s v="Maxi Fresh"/>
    <s v="|81/01/24|"/>
    <n v="684"/>
    <n v="2.75"/>
    <n v="3.53"/>
  </r>
  <r>
    <x v="0"/>
    <s v="Convenience stores"/>
    <x v="7"/>
    <s v="Maxi Fresh"/>
    <s v="|81/01/25|"/>
    <n v="744"/>
    <n v="2.19"/>
    <n v="3.66"/>
  </r>
  <r>
    <x v="0"/>
    <s v="Convenience stores"/>
    <x v="7"/>
    <s v="Maxi Fresh"/>
    <s v="|81/01/26|"/>
    <n v="648"/>
    <n v="2.94"/>
    <n v="3.71"/>
  </r>
  <r>
    <x v="0"/>
    <s v="Convenience stores"/>
    <x v="7"/>
    <s v="Maxi Fresh"/>
    <s v="|81/01/27|"/>
    <n v="648"/>
    <n v="2.68"/>
    <n v="3.77"/>
  </r>
  <r>
    <x v="0"/>
    <s v="Convenience stores"/>
    <x v="7"/>
    <s v="Maxi Fresh"/>
    <s v="|81/01/28|"/>
    <n v="612"/>
    <n v="2.4900000000000002"/>
    <n v="3.61"/>
  </r>
  <r>
    <x v="0"/>
    <s v="Convenience stores"/>
    <x v="7"/>
    <s v="Maxi Fresh"/>
    <s v="|81/01/29|"/>
    <n v="1200"/>
    <n v="2.56"/>
    <n v="3.62"/>
  </r>
  <r>
    <x v="0"/>
    <s v="Convenience stores"/>
    <x v="7"/>
    <s v="Maxi Fresh"/>
    <s v="|81/01/30|"/>
    <n v="672"/>
    <n v="2.15"/>
    <n v="3.69"/>
  </r>
  <r>
    <x v="0"/>
    <s v="Convenience stores"/>
    <x v="7"/>
    <s v="Maxi Fresh"/>
    <s v="|81/01/31|"/>
    <n v="984"/>
    <n v="2.85"/>
    <n v="3.89"/>
  </r>
  <r>
    <x v="0"/>
    <s v="Convenience stores"/>
    <x v="7"/>
    <s v="Maxi Fresh"/>
    <s v="|81/01/32|"/>
    <n v="996"/>
    <n v="2.64"/>
    <n v="3.24"/>
  </r>
  <r>
    <x v="0"/>
    <s v="Convenience stores"/>
    <x v="7"/>
    <s v="Maxi Fresh"/>
    <s v="|81/01/33|"/>
    <n v="1008"/>
    <n v="2.27"/>
    <n v="3.73"/>
  </r>
  <r>
    <x v="0"/>
    <s v="Convenience stores"/>
    <x v="7"/>
    <s v="Maxi Fresh"/>
    <s v="|81/01/34|"/>
    <n v="720"/>
    <n v="2.68"/>
    <n v="3.75"/>
  </r>
  <r>
    <x v="0"/>
    <s v="Convenience stores"/>
    <x v="7"/>
    <s v="Maxi Fresh"/>
    <s v="|81/01/35|"/>
    <n v="636"/>
    <n v="2.23"/>
    <n v="3.65"/>
  </r>
  <r>
    <x v="0"/>
    <s v="Convenience stores"/>
    <x v="7"/>
    <s v="Maxi Fresh"/>
    <s v="|81/01/36|"/>
    <n v="792"/>
    <n v="2.4900000000000002"/>
    <n v="3.91"/>
  </r>
  <r>
    <x v="0"/>
    <s v="Convenience stores"/>
    <x v="7"/>
    <s v="Maxi Fresh"/>
    <s v="|81/01/37|"/>
    <n v="744"/>
    <n v="2.39"/>
    <n v="3.96"/>
  </r>
  <r>
    <x v="0"/>
    <s v="Convenience stores"/>
    <x v="7"/>
    <s v="Maxi Fresh"/>
    <s v="|81/01/38|"/>
    <n v="1008"/>
    <n v="2.23"/>
    <n v="3.87"/>
  </r>
  <r>
    <x v="0"/>
    <s v="Convenience stores"/>
    <x v="7"/>
    <s v="Maxi Fresh"/>
    <s v="|81/01/39|"/>
    <n v="684"/>
    <n v="2.15"/>
    <n v="3.28"/>
  </r>
  <r>
    <x v="0"/>
    <s v="Convenience stores"/>
    <x v="7"/>
    <s v="Maxi Fresh"/>
    <s v="|81/01/40|"/>
    <n v="744"/>
    <n v="2.21"/>
    <n v="3.91"/>
  </r>
  <r>
    <x v="0"/>
    <s v="Convenience stores"/>
    <x v="7"/>
    <s v="Maxi Fresh"/>
    <s v="|81/01/41|"/>
    <n v="876"/>
    <n v="2.59"/>
    <n v="3.5"/>
  </r>
  <r>
    <x v="0"/>
    <s v="Convenience stores"/>
    <x v="7"/>
    <s v="Maxi Fresh"/>
    <s v="|81/01/42|"/>
    <n v="732"/>
    <n v="2.4500000000000002"/>
    <n v="3.66"/>
  </r>
  <r>
    <x v="0"/>
    <s v="Convenience stores"/>
    <x v="7"/>
    <s v="Maxi Fresh"/>
    <s v="|81/01/43|"/>
    <n v="1104"/>
    <n v="2.74"/>
    <n v="3.69"/>
  </r>
  <r>
    <x v="0"/>
    <s v="Convenience stores"/>
    <x v="7"/>
    <s v="Maxi Fresh"/>
    <s v="|81/01/44|"/>
    <n v="960"/>
    <n v="2.4"/>
    <n v="3.8"/>
  </r>
  <r>
    <x v="0"/>
    <s v="Convenience stores"/>
    <x v="7"/>
    <s v="Maxi Fresh"/>
    <s v="|81/01/45|"/>
    <n v="696"/>
    <n v="2.2999999999999998"/>
    <n v="3.88"/>
  </r>
  <r>
    <x v="0"/>
    <s v="Convenience stores"/>
    <x v="7"/>
    <s v="Maxi Fresh"/>
    <s v="|81/01/46|"/>
    <n v="660"/>
    <n v="2.23"/>
    <n v="3.81"/>
  </r>
  <r>
    <x v="0"/>
    <s v="Convenience stores"/>
    <x v="7"/>
    <s v="Maxi Fresh"/>
    <s v="|81/01/47|"/>
    <n v="1200"/>
    <n v="2.08"/>
    <n v="3.5"/>
  </r>
  <r>
    <x v="0"/>
    <s v="Convenience stores"/>
    <x v="7"/>
    <s v="Maxi Fresh"/>
    <s v="|81/01/48|"/>
    <n v="1044"/>
    <n v="2.48"/>
    <n v="3.73"/>
  </r>
  <r>
    <x v="0"/>
    <s v="Convenience stores"/>
    <x v="7"/>
    <s v="Maxi Fresh"/>
    <s v="|81/01/49|"/>
    <n v="648"/>
    <n v="2.62"/>
    <n v="3.98"/>
  </r>
  <r>
    <x v="0"/>
    <s v="Convenience stores"/>
    <x v="7"/>
    <s v="Maxi Fresh"/>
    <s v="|81/01/80|"/>
    <n v="876"/>
    <n v="2.42"/>
    <n v="3.64"/>
  </r>
  <r>
    <x v="0"/>
    <s v="Convenience stores"/>
    <x v="7"/>
    <s v="Maxi Fresh"/>
    <s v="|81/01/81|"/>
    <n v="972"/>
    <n v="2.78"/>
    <n v="3.77"/>
  </r>
  <r>
    <x v="0"/>
    <s v="Convenience stores"/>
    <x v="7"/>
    <s v="Maxi Fresh"/>
    <s v="|81/01/82|"/>
    <n v="1176"/>
    <n v="2.1"/>
    <n v="3.22"/>
  </r>
  <r>
    <x v="0"/>
    <s v="Convenience stores"/>
    <x v="7"/>
    <s v="Maxi Fresh"/>
    <s v="|81/01/83|"/>
    <n v="684"/>
    <n v="2.36"/>
    <n v="3.34"/>
  </r>
  <r>
    <x v="0"/>
    <s v="Convenience stores"/>
    <x v="7"/>
    <s v="Maxi Fresh"/>
    <s v="|81/01/84|"/>
    <n v="852"/>
    <n v="2.2000000000000002"/>
    <n v="3.41"/>
  </r>
  <r>
    <x v="0"/>
    <s v="Convenience stores"/>
    <x v="7"/>
    <s v="Maxi Fresh"/>
    <s v="|81/01/85|"/>
    <n v="1152"/>
    <n v="2.12"/>
    <n v="3.44"/>
  </r>
  <r>
    <x v="0"/>
    <s v="Convenience stores"/>
    <x v="7"/>
    <s v="Maxi Fresh"/>
    <s v="|81/02/01|"/>
    <n v="900"/>
    <n v="2.27"/>
    <n v="3.2"/>
  </r>
  <r>
    <x v="0"/>
    <s v="Convenience stores"/>
    <x v="7"/>
    <s v="Maxi Fresh"/>
    <s v="|81/02/02|"/>
    <n v="936"/>
    <n v="2.97"/>
    <n v="3.71"/>
  </r>
  <r>
    <x v="0"/>
    <s v="Convenience stores"/>
    <x v="7"/>
    <s v="Maxi Fresh"/>
    <s v="|81/02/03|"/>
    <n v="732"/>
    <n v="2.99"/>
    <n v="3.81"/>
  </r>
  <r>
    <x v="0"/>
    <s v="Convenience stores"/>
    <x v="7"/>
    <s v="Maxi Fresh"/>
    <s v="|81/02/04|"/>
    <n v="912"/>
    <n v="2.84"/>
    <n v="3.55"/>
  </r>
  <r>
    <x v="0"/>
    <s v="Convenience stores"/>
    <x v="7"/>
    <s v="Maxi Fresh"/>
    <s v="|81/02/05|"/>
    <n v="1104"/>
    <n v="2.12"/>
    <n v="3.5"/>
  </r>
  <r>
    <x v="0"/>
    <s v="Convenience stores"/>
    <x v="7"/>
    <s v="Maxi Fresh"/>
    <s v="|81/02/07|"/>
    <n v="1056"/>
    <n v="2.98"/>
    <n v="3.6"/>
  </r>
  <r>
    <x v="0"/>
    <s v="Convenience stores"/>
    <x v="10"/>
    <s v="Wild West"/>
    <s v="|30/02/00|"/>
    <n v="516"/>
    <n v="4.1399999999999997"/>
    <n v="6.68"/>
  </r>
  <r>
    <x v="0"/>
    <s v="Convenience stores"/>
    <x v="10"/>
    <s v="Wild West"/>
    <s v="|30/02/01|"/>
    <n v="516"/>
    <n v="3.06"/>
    <n v="5.07"/>
  </r>
  <r>
    <x v="0"/>
    <s v="Convenience stores"/>
    <x v="10"/>
    <s v="Wild West"/>
    <s v="|30/02/02|"/>
    <n v="384"/>
    <n v="4.0599999999999996"/>
    <n v="6.06"/>
  </r>
  <r>
    <x v="0"/>
    <s v="Convenience stores"/>
    <x v="10"/>
    <s v="Wild West"/>
    <s v="|30/02/03|"/>
    <n v="528"/>
    <n v="4.55"/>
    <n v="6.84"/>
  </r>
  <r>
    <x v="0"/>
    <s v="Convenience stores"/>
    <x v="10"/>
    <s v="Wild West"/>
    <s v="|30/02/04|"/>
    <n v="408"/>
    <n v="3.23"/>
    <n v="6.26"/>
  </r>
  <r>
    <x v="0"/>
    <s v="Convenience stores"/>
    <x v="10"/>
    <s v="Wild West"/>
    <s v="|30/02/05|"/>
    <n v="420"/>
    <n v="4.7699999999999996"/>
    <n v="5.23"/>
  </r>
  <r>
    <x v="0"/>
    <s v="Convenience stores"/>
    <x v="10"/>
    <s v="Wild West"/>
    <s v="|30/02/06|"/>
    <n v="492"/>
    <n v="3.84"/>
    <n v="5.25"/>
  </r>
  <r>
    <x v="0"/>
    <s v="Convenience stores"/>
    <x v="10"/>
    <s v="Wild West"/>
    <s v="|30/02/07|"/>
    <n v="516"/>
    <n v="3.86"/>
    <n v="6.8"/>
  </r>
  <r>
    <x v="0"/>
    <s v="Convenience stores"/>
    <x v="10"/>
    <s v="Wild West"/>
    <s v="|30/02/09|"/>
    <n v="468"/>
    <n v="3.14"/>
    <n v="5.37"/>
  </r>
  <r>
    <x v="0"/>
    <s v="Convenience stores"/>
    <x v="10"/>
    <s v="Wild West"/>
    <s v="|30/02/89|"/>
    <n v="360"/>
    <n v="3.92"/>
    <n v="6.99"/>
  </r>
  <r>
    <x v="0"/>
    <s v="Convenience stores"/>
    <x v="10"/>
    <s v="Wild West"/>
    <s v="|30/02/90|"/>
    <n v="444"/>
    <n v="4.08"/>
    <n v="6.22"/>
  </r>
  <r>
    <x v="0"/>
    <s v="Convenience stores"/>
    <x v="10"/>
    <s v="Wild West"/>
    <s v="|30/02/91|"/>
    <n v="492"/>
    <n v="3.34"/>
    <n v="5.16"/>
  </r>
  <r>
    <x v="0"/>
    <s v="Convenience stores"/>
    <x v="10"/>
    <s v="Wild West"/>
    <s v="|30/02/99|"/>
    <n v="504"/>
    <n v="3.24"/>
    <n v="5.74"/>
  </r>
  <r>
    <x v="0"/>
    <s v="Convenience stores"/>
    <x v="10"/>
    <s v="Wild West"/>
    <s v="|30/03/01|"/>
    <n v="480"/>
    <n v="3.52"/>
    <n v="5.99"/>
  </r>
  <r>
    <x v="0"/>
    <s v="Convenience stores"/>
    <x v="10"/>
    <s v="Wild West"/>
    <s v="|30/03/02|"/>
    <n v="420"/>
    <n v="4.49"/>
    <n v="5.0199999999999996"/>
  </r>
  <r>
    <x v="0"/>
    <s v="Convenience stores"/>
    <x v="10"/>
    <s v="Wild West"/>
    <s v="|30/03/03|"/>
    <n v="360"/>
    <n v="4.75"/>
    <n v="6.67"/>
  </r>
  <r>
    <x v="0"/>
    <s v="Convenience stores"/>
    <x v="10"/>
    <s v="Wild West"/>
    <s v="|30/03/05|"/>
    <n v="456"/>
    <n v="3.79"/>
    <n v="5.21"/>
  </r>
  <r>
    <x v="0"/>
    <s v="Convenience stores"/>
    <x v="10"/>
    <s v="Wild West"/>
    <s v="|30/03/06|"/>
    <n v="372"/>
    <n v="4.5599999999999996"/>
    <n v="6.19"/>
  </r>
  <r>
    <x v="0"/>
    <s v="Convenience stores"/>
    <x v="10"/>
    <s v="Wild West"/>
    <s v="|30/03/07|"/>
    <n v="444"/>
    <n v="3.01"/>
    <n v="6.85"/>
  </r>
  <r>
    <x v="0"/>
    <s v="Convenience stores"/>
    <x v="10"/>
    <s v="Wild West"/>
    <s v="|30/03/08|"/>
    <n v="444"/>
    <n v="4.29"/>
    <n v="5.41"/>
  </r>
  <r>
    <x v="0"/>
    <s v="Convenience stores"/>
    <x v="10"/>
    <s v="Wild West"/>
    <s v="|30/04/01|"/>
    <n v="504"/>
    <n v="4.63"/>
    <n v="5.36"/>
  </r>
  <r>
    <x v="0"/>
    <s v="Convenience stores"/>
    <x v="10"/>
    <s v="Wild West"/>
    <s v="|30/04/02|"/>
    <n v="504"/>
    <n v="3.7"/>
    <n v="5.24"/>
  </r>
  <r>
    <x v="0"/>
    <s v="Convenience stores"/>
    <x v="10"/>
    <s v="Wild West"/>
    <s v="|30/05/01|"/>
    <n v="504"/>
    <n v="3.63"/>
    <n v="6.35"/>
  </r>
  <r>
    <x v="0"/>
    <s v="Convenience stores"/>
    <x v="10"/>
    <s v="Wild West"/>
    <s v="|30/05/02|"/>
    <n v="408"/>
    <n v="4.26"/>
    <n v="5.56"/>
  </r>
  <r>
    <x v="0"/>
    <s v="Convenience stores"/>
    <x v="10"/>
    <s v="Wild West"/>
    <s v="|30/05/03|"/>
    <n v="384"/>
    <n v="3.83"/>
    <n v="6.36"/>
  </r>
  <r>
    <x v="0"/>
    <s v="Convenience stores"/>
    <x v="10"/>
    <s v="Wild West"/>
    <s v="|30/05/04|"/>
    <n v="444"/>
    <n v="4.82"/>
    <n v="6.65"/>
  </r>
  <r>
    <x v="0"/>
    <s v="Convenience stores"/>
    <x v="10"/>
    <s v="Wild West"/>
    <s v="|30/05/06|"/>
    <n v="480"/>
    <n v="4.45"/>
    <n v="6.46"/>
  </r>
  <r>
    <x v="0"/>
    <s v="Convenience stores"/>
    <x v="10"/>
    <s v="Wild West"/>
    <s v="|30/05/07|"/>
    <n v="456"/>
    <n v="3.46"/>
    <n v="6.27"/>
  </r>
  <r>
    <x v="0"/>
    <s v="Convenience stores"/>
    <x v="10"/>
    <s v="Wild West"/>
    <s v="|30/06/01|"/>
    <n v="408"/>
    <n v="4.3600000000000003"/>
    <n v="6.59"/>
  </r>
  <r>
    <x v="0"/>
    <s v="Convenience stores"/>
    <x v="10"/>
    <s v="Wild West"/>
    <s v="|30/06/02|"/>
    <n v="480"/>
    <n v="4.32"/>
    <n v="6.77"/>
  </r>
  <r>
    <x v="0"/>
    <s v="Convenience stores"/>
    <x v="3"/>
    <s v="Capy"/>
    <s v="|98/01/01|"/>
    <n v="96"/>
    <n v="1.2"/>
    <n v="1.37"/>
  </r>
  <r>
    <x v="0"/>
    <s v="Convenience stores"/>
    <x v="10"/>
    <s v="Palmera"/>
    <s v="|91/00/01|"/>
    <n v="468"/>
    <n v="4.08"/>
    <n v="5.83"/>
  </r>
  <r>
    <x v="0"/>
    <s v="Convenience stores"/>
    <x v="10"/>
    <s v="Palmera"/>
    <s v="|91/00/02|"/>
    <n v="504"/>
    <n v="3.06"/>
    <n v="5.41"/>
  </r>
  <r>
    <x v="0"/>
    <s v="Convenience stores"/>
    <x v="10"/>
    <s v="Palmera"/>
    <s v="|91/00/03|"/>
    <n v="444"/>
    <n v="3.18"/>
    <n v="5.56"/>
  </r>
  <r>
    <x v="0"/>
    <s v="Convenience stores"/>
    <x v="10"/>
    <s v="Palmera"/>
    <s v="|91/00/04|"/>
    <n v="384"/>
    <n v="3.24"/>
    <n v="5.77"/>
  </r>
  <r>
    <x v="0"/>
    <s v="Convenience stores"/>
    <x v="10"/>
    <s v="Palmera"/>
    <s v="|91/00/05|"/>
    <n v="468"/>
    <n v="3.47"/>
    <n v="5.12"/>
  </r>
  <r>
    <x v="0"/>
    <s v="Convenience stores"/>
    <x v="10"/>
    <s v="Palmera"/>
    <s v="|91/00/06|"/>
    <n v="384"/>
    <n v="3.64"/>
    <n v="5.87"/>
  </r>
  <r>
    <x v="0"/>
    <s v="Convenience stores"/>
    <x v="10"/>
    <s v="Palmera"/>
    <s v="|91/00/07|"/>
    <n v="384"/>
    <n v="3.59"/>
    <n v="6.88"/>
  </r>
  <r>
    <x v="0"/>
    <s v="Convenience stores"/>
    <x v="10"/>
    <s v="Palmera"/>
    <s v="|91/00/08|"/>
    <n v="528"/>
    <n v="3.8"/>
    <n v="6.41"/>
  </r>
  <r>
    <x v="0"/>
    <s v="Convenience stores"/>
    <x v="10"/>
    <s v="Palmera"/>
    <s v="|91/00/09|"/>
    <n v="492"/>
    <n v="4.08"/>
    <n v="6.02"/>
  </r>
  <r>
    <x v="0"/>
    <s v="Convenience stores"/>
    <x v="10"/>
    <s v="Palmera"/>
    <s v="|91/00/10|"/>
    <n v="516"/>
    <n v="4.5999999999999996"/>
    <n v="6.06"/>
  </r>
  <r>
    <x v="0"/>
    <s v="Convenience stores"/>
    <x v="10"/>
    <s v="Palmera"/>
    <s v="|91/00/11|"/>
    <n v="384"/>
    <n v="4.2300000000000004"/>
    <n v="5.53"/>
  </r>
  <r>
    <x v="0"/>
    <s v="Convenience stores"/>
    <x v="10"/>
    <s v="Palmera"/>
    <s v="|91/00/12|"/>
    <n v="432"/>
    <n v="3.67"/>
    <n v="5.45"/>
  </r>
  <r>
    <x v="0"/>
    <s v="Convenience stores"/>
    <x v="10"/>
    <s v="Palmera"/>
    <s v="|91/00/13|"/>
    <n v="492"/>
    <n v="3.41"/>
    <n v="5.15"/>
  </r>
  <r>
    <x v="0"/>
    <s v="Convenience stores"/>
    <x v="10"/>
    <s v="Palmera"/>
    <s v="|91/00/14|"/>
    <n v="468"/>
    <n v="4.99"/>
    <n v="5.21"/>
  </r>
  <r>
    <x v="0"/>
    <s v="Convenience stores"/>
    <x v="10"/>
    <s v="Palmera"/>
    <s v="|91/00/15|"/>
    <n v="396"/>
    <n v="4.84"/>
    <n v="5.39"/>
  </r>
  <r>
    <x v="0"/>
    <s v="Convenience stores"/>
    <x v="10"/>
    <s v="Palmera"/>
    <s v="|91/00/16|"/>
    <n v="408"/>
    <n v="3.74"/>
    <n v="6.58"/>
  </r>
  <r>
    <x v="0"/>
    <s v="Convenience stores"/>
    <x v="10"/>
    <s v="Palmera"/>
    <s v="|91/00/17|"/>
    <n v="540"/>
    <n v="4.58"/>
    <n v="6.75"/>
  </r>
  <r>
    <x v="0"/>
    <s v="Convenience stores"/>
    <x v="10"/>
    <s v="Palmera"/>
    <s v="|91/00/18|"/>
    <n v="528"/>
    <n v="4.28"/>
    <n v="6.93"/>
  </r>
  <r>
    <x v="0"/>
    <s v="Convenience stores"/>
    <x v="10"/>
    <s v="Palmera"/>
    <s v="|91/00/19|"/>
    <n v="408"/>
    <n v="4.46"/>
    <n v="5.73"/>
  </r>
  <r>
    <x v="0"/>
    <s v="Convenience stores"/>
    <x v="10"/>
    <s v="Palmera"/>
    <s v="|91/00/20|"/>
    <n v="360"/>
    <n v="3.51"/>
    <n v="5.21"/>
  </r>
  <r>
    <x v="0"/>
    <s v="Hypermarkets"/>
    <x v="13"/>
    <s v="President"/>
    <s v="|32/01/01|"/>
    <n v="336"/>
    <n v="2.35"/>
    <n v="3.19"/>
  </r>
  <r>
    <x v="0"/>
    <s v="Hypermarkets"/>
    <x v="13"/>
    <s v="President"/>
    <s v="|32/01/02|"/>
    <n v="252"/>
    <n v="2.21"/>
    <n v="3.71"/>
  </r>
  <r>
    <x v="0"/>
    <s v="Hypermarkets"/>
    <x v="13"/>
    <s v="President"/>
    <s v="|32/01/03|"/>
    <n v="240"/>
    <n v="2.73"/>
    <n v="3.57"/>
  </r>
  <r>
    <x v="0"/>
    <s v="Hypermarkets"/>
    <x v="13"/>
    <s v="President"/>
    <s v="|32/01/04|"/>
    <n v="564"/>
    <n v="2.0099999999999998"/>
    <n v="3.57"/>
  </r>
  <r>
    <x v="0"/>
    <s v="Hypermarkets"/>
    <x v="13"/>
    <s v="President"/>
    <s v="|32/01/05|"/>
    <n v="264"/>
    <n v="2.4900000000000002"/>
    <n v="3.1"/>
  </r>
  <r>
    <x v="0"/>
    <s v="Hypermarkets"/>
    <x v="13"/>
    <s v="President"/>
    <s v="|32/01/06|"/>
    <n v="240"/>
    <n v="2.2799999999999998"/>
    <n v="3.05"/>
  </r>
  <r>
    <x v="0"/>
    <s v="Hypermarkets"/>
    <x v="13"/>
    <s v="President"/>
    <s v="|32/01/07|"/>
    <n v="588"/>
    <n v="2.11"/>
    <n v="3.65"/>
  </r>
  <r>
    <x v="0"/>
    <s v="Hypermarkets"/>
    <x v="13"/>
    <s v="President"/>
    <s v="|32/01/08|"/>
    <n v="336"/>
    <n v="2.12"/>
    <n v="3.05"/>
  </r>
  <r>
    <x v="0"/>
    <s v="Hypermarkets"/>
    <x v="13"/>
    <s v="President"/>
    <s v="|32/01/09|"/>
    <n v="420"/>
    <n v="2.17"/>
    <n v="3.57"/>
  </r>
  <r>
    <x v="0"/>
    <s v="Hypermarkets"/>
    <x v="13"/>
    <s v="President"/>
    <s v="|32/01/10|"/>
    <n v="228"/>
    <n v="2.42"/>
    <n v="3.13"/>
  </r>
  <r>
    <x v="0"/>
    <s v="Hypermarkets"/>
    <x v="13"/>
    <s v="President"/>
    <s v="|32/01/11|"/>
    <n v="504"/>
    <n v="2.4900000000000002"/>
    <n v="3"/>
  </r>
  <r>
    <x v="0"/>
    <s v="Hypermarkets"/>
    <x v="13"/>
    <s v="President"/>
    <s v="|32/01/12|"/>
    <n v="504"/>
    <n v="2.41"/>
    <n v="3.75"/>
  </r>
  <r>
    <x v="0"/>
    <s v="Hypermarkets"/>
    <x v="13"/>
    <s v="President"/>
    <s v="|32/01/13|"/>
    <n v="492"/>
    <n v="2.15"/>
    <n v="3.41"/>
  </r>
  <r>
    <x v="0"/>
    <s v="Hypermarkets"/>
    <x v="13"/>
    <s v="President"/>
    <s v="|32/01/14|"/>
    <n v="528"/>
    <n v="2.0499999999999998"/>
    <n v="3.43"/>
  </r>
  <r>
    <x v="0"/>
    <s v="Hypermarkets"/>
    <x v="13"/>
    <s v="President"/>
    <s v="|32/01/15|"/>
    <n v="588"/>
    <n v="2.4900000000000002"/>
    <n v="3.79"/>
  </r>
  <r>
    <x v="0"/>
    <s v="Hypermarkets"/>
    <x v="13"/>
    <s v="President"/>
    <s v="|32/01/16|"/>
    <n v="336"/>
    <n v="2"/>
    <n v="3.4"/>
  </r>
  <r>
    <x v="0"/>
    <s v="Hypermarkets"/>
    <x v="13"/>
    <s v="President"/>
    <s v="|32/01/17|"/>
    <n v="420"/>
    <n v="2.2799999999999998"/>
    <n v="3.76"/>
  </r>
  <r>
    <x v="0"/>
    <s v="Hypermarkets"/>
    <x v="13"/>
    <s v="President"/>
    <s v="|32/01/18|"/>
    <n v="564"/>
    <n v="2.1800000000000002"/>
    <n v="3.04"/>
  </r>
  <r>
    <x v="0"/>
    <s v="Hypermarkets"/>
    <x v="13"/>
    <s v="President"/>
    <s v="|32/01/19|"/>
    <n v="444"/>
    <n v="2.63"/>
    <n v="3.36"/>
  </r>
  <r>
    <x v="0"/>
    <s v="Hypermarkets"/>
    <x v="13"/>
    <s v="President"/>
    <s v="|32/01/20|"/>
    <n v="564"/>
    <n v="2.65"/>
    <n v="3.72"/>
  </r>
  <r>
    <x v="0"/>
    <s v="Hypermarkets"/>
    <x v="13"/>
    <s v="President"/>
    <s v="|32/01/21|"/>
    <n v="120"/>
    <n v="2.17"/>
    <n v="3.33"/>
  </r>
  <r>
    <x v="0"/>
    <s v="Hypermarkets"/>
    <x v="13"/>
    <s v="President"/>
    <s v="|32/01/22|"/>
    <n v="252"/>
    <n v="2.68"/>
    <n v="3.03"/>
  </r>
  <r>
    <x v="0"/>
    <s v="Hypermarkets"/>
    <x v="13"/>
    <s v="President"/>
    <s v="|32/02/01|"/>
    <n v="384"/>
    <n v="2.2599999999999998"/>
    <n v="3.07"/>
  </r>
  <r>
    <x v="0"/>
    <s v="Hypermarkets"/>
    <x v="14"/>
    <s v="Hassett"/>
    <s v="|130/01/01|"/>
    <n v="2172"/>
    <n v="0.7"/>
    <n v="0.95"/>
  </r>
  <r>
    <x v="0"/>
    <s v="Hypermarkets"/>
    <x v="14"/>
    <s v="Hassett"/>
    <s v="|130/01/02|"/>
    <n v="1752"/>
    <n v="0.87"/>
    <n v="0.98"/>
  </r>
  <r>
    <x v="0"/>
    <s v="Hypermarkets"/>
    <x v="14"/>
    <s v="Hassett"/>
    <s v="|130/01/03|"/>
    <n v="1260"/>
    <n v="0.81"/>
    <n v="0.98"/>
  </r>
  <r>
    <x v="0"/>
    <s v="Hypermarkets"/>
    <x v="14"/>
    <s v="Hassett"/>
    <s v="|130/01/04|"/>
    <n v="1752"/>
    <n v="0.85"/>
    <n v="0.96"/>
  </r>
  <r>
    <x v="0"/>
    <s v="Hypermarkets"/>
    <x v="14"/>
    <s v="Southeastern windmill"/>
    <s v="|44/01/10|"/>
    <n v="1224"/>
    <n v="0.83"/>
    <n v="0.9"/>
  </r>
  <r>
    <x v="0"/>
    <s v="Hypermarkets"/>
    <x v="14"/>
    <s v="Southeastern windmill"/>
    <s v="|44/01/11|"/>
    <n v="1344"/>
    <n v="0.81"/>
    <n v="0.97"/>
  </r>
  <r>
    <x v="0"/>
    <s v="Hypermarkets"/>
    <x v="14"/>
    <s v="Southeastern windmill"/>
    <s v="|44/01/12|"/>
    <n v="2100"/>
    <n v="0.73"/>
    <n v="0.94"/>
  </r>
  <r>
    <x v="0"/>
    <s v="Hypermarkets"/>
    <x v="14"/>
    <s v="Southeastern windmill"/>
    <s v="|44/01/13|"/>
    <n v="1584"/>
    <n v="0.83"/>
    <n v="0.93"/>
  </r>
  <r>
    <x v="0"/>
    <s v="Hypermarkets"/>
    <x v="14"/>
    <s v="Southeastern windmill"/>
    <s v="|44/01/14|"/>
    <n v="1620"/>
    <n v="0.87"/>
    <n v="0.93"/>
  </r>
  <r>
    <x v="0"/>
    <s v="Hypermarkets"/>
    <x v="14"/>
    <s v="Southeastern windmill"/>
    <s v="|44/01/15|"/>
    <n v="1320"/>
    <n v="0.78"/>
    <n v="0.93"/>
  </r>
  <r>
    <x v="0"/>
    <s v="Hypermarkets"/>
    <x v="14"/>
    <s v="Southeastern windmill"/>
    <s v="|44/01/16|"/>
    <n v="1632"/>
    <n v="0.9"/>
    <n v="1"/>
  </r>
  <r>
    <x v="0"/>
    <s v="Hypermarkets"/>
    <x v="14"/>
    <s v="Southeastern windmill"/>
    <s v="|44/01/17|"/>
    <n v="2292"/>
    <n v="0.78"/>
    <n v="0.94"/>
  </r>
  <r>
    <x v="0"/>
    <s v="Hypermarkets"/>
    <x v="14"/>
    <s v="Southeastern windmill"/>
    <s v="|44/01/18|"/>
    <n v="1644"/>
    <n v="0.77"/>
    <n v="0.98"/>
  </r>
  <r>
    <x v="0"/>
    <s v="Hypermarkets"/>
    <x v="14"/>
    <s v="Southeastern windmill"/>
    <s v="|44/02/01|"/>
    <n v="1428"/>
    <n v="0.88"/>
    <n v="0.92"/>
  </r>
  <r>
    <x v="0"/>
    <s v="Hypermarkets"/>
    <x v="14"/>
    <s v="Southeastern windmill"/>
    <s v="|44/02/02|"/>
    <n v="1572"/>
    <n v="0.81"/>
    <n v="0.98"/>
  </r>
  <r>
    <x v="0"/>
    <s v="Hypermarkets"/>
    <x v="14"/>
    <s v="Southeastern windmill"/>
    <s v="|44/02/03|"/>
    <n v="2304"/>
    <n v="0.83"/>
    <n v="0.93"/>
  </r>
  <r>
    <x v="0"/>
    <s v="Hypermarkets"/>
    <x v="14"/>
    <s v="Southeastern windmill"/>
    <s v="|44/02/04|"/>
    <n v="1704"/>
    <n v="0.85"/>
    <n v="0.98"/>
  </r>
  <r>
    <x v="0"/>
    <s v="Hypermarkets"/>
    <x v="14"/>
    <s v="Southeastern windmill"/>
    <s v="|44/02/05|"/>
    <n v="2208"/>
    <n v="0.77"/>
    <n v="0.96"/>
  </r>
  <r>
    <x v="0"/>
    <s v="Hypermarkets"/>
    <x v="14"/>
    <s v="Southeastern windmill"/>
    <s v="|44/02/06|"/>
    <n v="1584"/>
    <n v="0.75"/>
    <n v="0.9"/>
  </r>
  <r>
    <x v="0"/>
    <s v="Hypermarkets"/>
    <x v="14"/>
    <s v="Southeastern windmill"/>
    <s v="|44/02/07|"/>
    <n v="1872"/>
    <n v="0.75"/>
    <n v="0.99"/>
  </r>
  <r>
    <x v="0"/>
    <s v="Hypermarkets"/>
    <x v="14"/>
    <s v="Southeastern windmill"/>
    <s v="|44/02/08|"/>
    <n v="1500"/>
    <n v="0.83"/>
    <n v="1"/>
  </r>
  <r>
    <x v="0"/>
    <s v="Hypermarkets"/>
    <x v="14"/>
    <s v="Southeastern windmill"/>
    <s v="|44/02/09|"/>
    <n v="2028"/>
    <n v="0.74"/>
    <n v="0.92"/>
  </r>
  <r>
    <x v="0"/>
    <s v="Hypermarkets"/>
    <x v="12"/>
    <s v="De Cecco"/>
    <s v="|22/22/01|"/>
    <n v="132"/>
    <n v="2.5466666666666669"/>
    <n v="2.98"/>
  </r>
  <r>
    <x v="0"/>
    <s v="Hypermarkets"/>
    <x v="12"/>
    <s v="De Cecco"/>
    <s v="|22/22/02|"/>
    <n v="132"/>
    <n v="2.3866666666666667"/>
    <n v="2.9733333333333332"/>
  </r>
  <r>
    <x v="0"/>
    <s v="Hypermarkets"/>
    <x v="12"/>
    <s v="De Cecco"/>
    <s v="|22/22/03|"/>
    <n v="120"/>
    <n v="2.5733333333333333"/>
    <n v="2.9066666666666667"/>
  </r>
  <r>
    <x v="0"/>
    <s v="Hypermarkets"/>
    <x v="12"/>
    <s v="De Cecco"/>
    <s v="|22/22/04|"/>
    <n v="180"/>
    <n v="2.5466666666666669"/>
    <n v="2.9733333333333332"/>
  </r>
  <r>
    <x v="0"/>
    <s v="Hypermarkets"/>
    <x v="12"/>
    <s v="De Cecco"/>
    <s v="|22/22/05|"/>
    <n v="144"/>
    <n v="2.3933333333333335"/>
    <n v="2.98"/>
  </r>
  <r>
    <x v="0"/>
    <s v="Hypermarkets"/>
    <x v="12"/>
    <s v="De Cecco"/>
    <s v="|22/22/06|"/>
    <n v="156"/>
    <n v="2.3199999999999998"/>
    <n v="2.94"/>
  </r>
  <r>
    <x v="0"/>
    <s v="Hypermarkets"/>
    <x v="12"/>
    <s v="De Cecco"/>
    <s v="|22/22/07|"/>
    <n v="144"/>
    <n v="2.36"/>
    <n v="2.8733333333333335"/>
  </r>
  <r>
    <x v="0"/>
    <s v="Hypermarkets"/>
    <x v="12"/>
    <s v="De Cecco"/>
    <s v="|22/22/08|"/>
    <n v="180"/>
    <n v="2.7466666666666666"/>
    <n v="2.8866666666666667"/>
  </r>
  <r>
    <x v="0"/>
    <s v="Hypermarkets"/>
    <x v="12"/>
    <s v="De Cecco"/>
    <s v="|22/22/09|"/>
    <n v="144"/>
    <n v="2.6066666666666665"/>
    <n v="2.8666666666666667"/>
  </r>
  <r>
    <x v="0"/>
    <s v="Hypermarkets"/>
    <x v="12"/>
    <s v="De Cecco"/>
    <s v="|22/22/10|"/>
    <n v="156"/>
    <n v="2.6533333333333333"/>
    <n v="2.98"/>
  </r>
  <r>
    <x v="0"/>
    <s v="Hypermarkets"/>
    <x v="12"/>
    <s v="De Cecco"/>
    <s v="|22/22/11|"/>
    <n v="120"/>
    <n v="2.6933333333333334"/>
    <n v="2.9133333333333336"/>
  </r>
  <r>
    <x v="0"/>
    <s v="Hypermarkets"/>
    <x v="12"/>
    <s v="De Cecco"/>
    <s v="|22/22/12|"/>
    <n v="168"/>
    <n v="2.2933333333333334"/>
    <n v="2.8733333333333335"/>
  </r>
  <r>
    <x v="0"/>
    <s v="Hypermarkets"/>
    <x v="12"/>
    <s v="De Cecco"/>
    <s v="|22/22/13|"/>
    <n v="132"/>
    <n v="2.5333333333333332"/>
    <n v="2.88"/>
  </r>
  <r>
    <x v="0"/>
    <s v="Hypermarkets"/>
    <x v="12"/>
    <s v="De Cecco"/>
    <s v="|22/22/14|"/>
    <n v="180"/>
    <n v="2.54"/>
    <n v="2.96"/>
  </r>
  <r>
    <x v="0"/>
    <s v="Hypermarkets"/>
    <x v="12"/>
    <s v="De Cecco"/>
    <s v="|22/22/15|"/>
    <n v="120"/>
    <n v="2.5666666666666669"/>
    <n v="2.92"/>
  </r>
  <r>
    <x v="0"/>
    <s v="Hypermarkets"/>
    <x v="12"/>
    <s v="De Cecco"/>
    <s v="|22/22/16|"/>
    <n v="132"/>
    <n v="2.38"/>
    <n v="2.9"/>
  </r>
  <r>
    <x v="0"/>
    <s v="Hypermarkets"/>
    <x v="12"/>
    <s v="De Cecco"/>
    <s v="|22/22/17|"/>
    <n v="132"/>
    <n v="2.4066666666666667"/>
    <n v="2.9066666666666667"/>
  </r>
  <r>
    <x v="0"/>
    <s v="Hypermarkets"/>
    <x v="12"/>
    <s v="De Cecco"/>
    <s v="|22/22/18|"/>
    <n v="132"/>
    <n v="2.5933333333333333"/>
    <n v="2.8733333333333335"/>
  </r>
  <r>
    <x v="0"/>
    <s v="Hypermarkets"/>
    <x v="12"/>
    <s v="De Cecco"/>
    <s v="|22/22/19|"/>
    <n v="144"/>
    <n v="2.7666666666666666"/>
    <n v="2.8866666666666667"/>
  </r>
  <r>
    <x v="0"/>
    <s v="Hypermarkets"/>
    <x v="12"/>
    <s v="De Cecco"/>
    <s v="|22/22/20|"/>
    <n v="156"/>
    <n v="2.6933333333333334"/>
    <n v="2.9733333333333332"/>
  </r>
  <r>
    <x v="0"/>
    <s v="Hypermarkets"/>
    <x v="12"/>
    <s v="De Cecco"/>
    <s v="|22/22/21|"/>
    <n v="168"/>
    <n v="2.74"/>
    <n v="2.9533333333333331"/>
  </r>
  <r>
    <x v="0"/>
    <s v="Hypermarkets"/>
    <x v="12"/>
    <s v="De Cecco"/>
    <s v="|22/22/22|"/>
    <n v="120"/>
    <n v="2.7266666666666666"/>
    <n v="2.9933333333333332"/>
  </r>
  <r>
    <x v="0"/>
    <s v="Hypermarkets"/>
    <x v="12"/>
    <s v="De Cecco"/>
    <s v="|22/22/23|"/>
    <n v="120"/>
    <n v="2.3733333333333335"/>
    <n v="2.9866666666666668"/>
  </r>
  <r>
    <x v="0"/>
    <s v="Hypermarkets"/>
    <x v="12"/>
    <s v="De Cecco"/>
    <s v="|22/22/24|"/>
    <n v="156"/>
    <n v="2.3133333333333335"/>
    <n v="2.96"/>
  </r>
  <r>
    <x v="0"/>
    <s v="Hypermarkets"/>
    <x v="12"/>
    <s v="De Cecco"/>
    <s v="|22/22/25|"/>
    <n v="156"/>
    <n v="2.6466666666666665"/>
    <n v="2.9866666666666668"/>
  </r>
  <r>
    <x v="0"/>
    <s v="Hypermarkets"/>
    <x v="12"/>
    <s v="De Cecco"/>
    <s v="|22/22/26|"/>
    <n v="144"/>
    <n v="2.4"/>
    <n v="2.98"/>
  </r>
  <r>
    <x v="0"/>
    <s v="Hypermarkets"/>
    <x v="12"/>
    <s v="De Cecco"/>
    <s v="|22/22/27|"/>
    <n v="132"/>
    <n v="2.5133333333333332"/>
    <n v="2.9733333333333332"/>
  </r>
  <r>
    <x v="0"/>
    <s v="Hypermarkets"/>
    <x v="12"/>
    <s v="De Cecco"/>
    <s v="|22/22/28|"/>
    <n v="168"/>
    <n v="2.74"/>
    <n v="2.8866666666666667"/>
  </r>
  <r>
    <x v="0"/>
    <s v="Hypermarkets"/>
    <x v="12"/>
    <s v="De Cecco"/>
    <s v="|22/22/29|"/>
    <n v="168"/>
    <n v="2.5133333333333332"/>
    <n v="3"/>
  </r>
  <r>
    <x v="0"/>
    <s v="Hypermarkets"/>
    <x v="12"/>
    <s v="De Cecco"/>
    <s v="|22/22/30|"/>
    <n v="180"/>
    <n v="2.62"/>
    <n v="2.9866666666666668"/>
  </r>
  <r>
    <x v="0"/>
    <s v="Hypermarkets"/>
    <x v="12"/>
    <s v="De Cecco"/>
    <s v="|22/22/31|"/>
    <n v="132"/>
    <n v="2.7866666666666666"/>
    <n v="2.8866666666666667"/>
  </r>
  <r>
    <x v="0"/>
    <s v="Hypermarkets"/>
    <x v="12"/>
    <s v="De Cecco"/>
    <s v="|22/22/32|"/>
    <n v="156"/>
    <n v="2.5933333333333333"/>
    <n v="2.9533333333333331"/>
  </r>
  <r>
    <x v="0"/>
    <s v="Hypermarkets"/>
    <x v="12"/>
    <s v="De Cecco"/>
    <s v="|22/22/33|"/>
    <n v="156"/>
    <n v="2.6933333333333334"/>
    <n v="2.98"/>
  </r>
  <r>
    <x v="0"/>
    <s v="Hypermarkets"/>
    <x v="12"/>
    <s v="De Cecco"/>
    <s v="|22/22/34|"/>
    <n v="144"/>
    <n v="2.44"/>
    <n v="2.88"/>
  </r>
  <r>
    <x v="0"/>
    <s v="Hypermarkets"/>
    <x v="12"/>
    <s v="De Cecco"/>
    <s v="|22/22/35|"/>
    <n v="120"/>
    <n v="2.2933333333333334"/>
    <n v="3"/>
  </r>
  <r>
    <x v="0"/>
    <s v="Hypermarkets"/>
    <x v="12"/>
    <s v="De Cecco"/>
    <s v="|22/22/36|"/>
    <n v="180"/>
    <n v="2.6533333333333333"/>
    <n v="2.94"/>
  </r>
  <r>
    <x v="0"/>
    <s v="Hypermarkets"/>
    <x v="12"/>
    <s v="De Cecco"/>
    <s v="|22/22/37|"/>
    <n v="120"/>
    <n v="2.5533333333333332"/>
    <n v="2.8666666666666667"/>
  </r>
  <r>
    <x v="0"/>
    <s v="Hypermarkets"/>
    <x v="12"/>
    <s v="De Cecco"/>
    <s v="|22/22/38|"/>
    <n v="120"/>
    <n v="2.78"/>
    <n v="2.8733333333333335"/>
  </r>
  <r>
    <x v="0"/>
    <s v="Hypermarkets"/>
    <x v="12"/>
    <s v="De Cecco"/>
    <s v="|22/22/39|"/>
    <n v="156"/>
    <n v="2.56"/>
    <n v="2.8733333333333335"/>
  </r>
  <r>
    <x v="0"/>
    <s v="Hypermarkets"/>
    <x v="12"/>
    <s v="De Cecco"/>
    <s v="|22/22/40|"/>
    <n v="156"/>
    <n v="2.6066666666666665"/>
    <n v="2.9933333333333332"/>
  </r>
  <r>
    <x v="0"/>
    <s v="Hypermarkets"/>
    <x v="12"/>
    <s v="De Cecco"/>
    <s v="|22/22/41|"/>
    <n v="132"/>
    <n v="2.5733333333333333"/>
    <n v="2.88"/>
  </r>
  <r>
    <x v="0"/>
    <s v="Hypermarkets"/>
    <x v="12"/>
    <s v="De Cecco"/>
    <s v="|22/22/42|"/>
    <n v="168"/>
    <n v="2.5466666666666669"/>
    <n v="3"/>
  </r>
  <r>
    <x v="0"/>
    <s v="Hypermarkets"/>
    <x v="12"/>
    <s v="De Cecco"/>
    <s v="|22/22/43|"/>
    <n v="120"/>
    <n v="2.5"/>
    <n v="2.9"/>
  </r>
  <r>
    <x v="0"/>
    <s v="Hypermarkets"/>
    <x v="12"/>
    <s v="De Cecco"/>
    <s v="|22/22/44|"/>
    <n v="132"/>
    <n v="2.5266666666666668"/>
    <n v="2.9466666666666668"/>
  </r>
  <r>
    <x v="0"/>
    <s v="Hypermarkets"/>
    <x v="12"/>
    <s v="De Cecco"/>
    <s v="|22/22/45|"/>
    <n v="132"/>
    <n v="2.66"/>
    <n v="2.9266666666666667"/>
  </r>
  <r>
    <x v="0"/>
    <s v="Hypermarkets"/>
    <x v="12"/>
    <s v="De Cecco"/>
    <s v="|22/22/46|"/>
    <n v="120"/>
    <n v="2.3199999999999998"/>
    <n v="2.88"/>
  </r>
  <r>
    <x v="0"/>
    <s v="Hypermarkets"/>
    <x v="12"/>
    <s v="De Cecco"/>
    <s v="|22/22/47|"/>
    <n v="120"/>
    <n v="2.7"/>
    <n v="2.9866666666666668"/>
  </r>
  <r>
    <x v="0"/>
    <s v="Hypermarkets"/>
    <x v="12"/>
    <s v="De Cecco"/>
    <s v="|22/22/48|"/>
    <n v="132"/>
    <n v="2.6333333333333333"/>
    <n v="2.8933333333333335"/>
  </r>
  <r>
    <x v="0"/>
    <s v="Hypermarkets"/>
    <x v="12"/>
    <s v="De Cecco"/>
    <s v="|22/22/49|"/>
    <n v="168"/>
    <n v="2.4266666666666667"/>
    <n v="2.9066666666666667"/>
  </r>
  <r>
    <x v="0"/>
    <s v="Hypermarkets"/>
    <x v="12"/>
    <s v="De Cecco"/>
    <s v="|22/22/50|"/>
    <n v="120"/>
    <n v="2.7466666666666666"/>
    <n v="2.9066666666666667"/>
  </r>
  <r>
    <x v="0"/>
    <s v="Hypermarkets"/>
    <x v="12"/>
    <s v="De Cecco"/>
    <s v="|22/22/51|"/>
    <n v="144"/>
    <n v="2.2999999999999998"/>
    <n v="2.9333333333333331"/>
  </r>
  <r>
    <x v="0"/>
    <s v="Hypermarkets"/>
    <x v="12"/>
    <s v="De Cecco"/>
    <s v="|22/22/52|"/>
    <n v="144"/>
    <n v="2.36"/>
    <n v="2.96"/>
  </r>
  <r>
    <x v="0"/>
    <s v="Hypermarkets"/>
    <x v="12"/>
    <s v="De Cecco"/>
    <s v="|22/22/53|"/>
    <n v="180"/>
    <n v="2.3933333333333335"/>
    <n v="2.88"/>
  </r>
  <r>
    <x v="0"/>
    <s v="Hypermarkets"/>
    <x v="12"/>
    <s v="De Cecco"/>
    <s v="|22/22/54|"/>
    <n v="156"/>
    <n v="2.2799999999999998"/>
    <n v="2.9733333333333332"/>
  </r>
  <r>
    <x v="0"/>
    <s v="Hypermarkets"/>
    <x v="12"/>
    <s v="De Cecco"/>
    <s v="|22/22/55|"/>
    <n v="144"/>
    <n v="2.4666666666666668"/>
    <n v="2.8733333333333335"/>
  </r>
  <r>
    <x v="0"/>
    <s v="Hypermarkets"/>
    <x v="12"/>
    <s v="De Cecco"/>
    <s v="|22/22/56|"/>
    <n v="180"/>
    <n v="2.6266666666666665"/>
    <n v="2.92"/>
  </r>
  <r>
    <x v="0"/>
    <s v="Hypermarkets"/>
    <x v="12"/>
    <s v="De Cecco"/>
    <s v="|22/22/57|"/>
    <n v="120"/>
    <n v="2.4533333333333331"/>
    <n v="2.9733333333333332"/>
  </r>
  <r>
    <x v="0"/>
    <s v="Hypermarkets"/>
    <x v="12"/>
    <s v="De Cecco"/>
    <s v="|22/22/61|"/>
    <n v="156"/>
    <n v="2.8"/>
    <n v="2.9666666666666668"/>
  </r>
  <r>
    <x v="0"/>
    <s v="Hypermarkets"/>
    <x v="12"/>
    <s v="De Cecco"/>
    <s v="|22/22/62|"/>
    <n v="132"/>
    <n v="2.3133333333333335"/>
    <n v="2.9733333333333332"/>
  </r>
  <r>
    <x v="0"/>
    <s v="Hypermarkets"/>
    <x v="12"/>
    <s v="De Cecco"/>
    <s v="|22/22/63|"/>
    <n v="156"/>
    <n v="2.54"/>
    <n v="2.9"/>
  </r>
  <r>
    <x v="0"/>
    <s v="Hypermarkets"/>
    <x v="12"/>
    <s v="De Cecco"/>
    <s v="|22/22/64|"/>
    <n v="132"/>
    <n v="2.6933333333333334"/>
    <n v="2.9533333333333331"/>
  </r>
  <r>
    <x v="0"/>
    <s v="Hypermarkets"/>
    <x v="12"/>
    <s v="De Cecco"/>
    <s v="|22/22/65|"/>
    <n v="168"/>
    <n v="2.6133333333333333"/>
    <n v="2.8933333333333335"/>
  </r>
  <r>
    <x v="0"/>
    <s v="Hypermarkets"/>
    <x v="12"/>
    <s v="De Cecco"/>
    <s v="|22/22/66|"/>
    <n v="132"/>
    <n v="2.3533333333333335"/>
    <n v="2.9933333333333332"/>
  </r>
  <r>
    <x v="0"/>
    <s v="Hypermarkets"/>
    <x v="12"/>
    <s v="De Cecco"/>
    <s v="|22/22/67|"/>
    <n v="132"/>
    <n v="2.3266666666666667"/>
    <n v="2.98"/>
  </r>
  <r>
    <x v="0"/>
    <s v="Hypermarkets"/>
    <x v="12"/>
    <s v="De Cecco"/>
    <s v="|22/22/68|"/>
    <n v="120"/>
    <n v="2.5733333333333333"/>
    <n v="2.9333333333333331"/>
  </r>
  <r>
    <x v="0"/>
    <s v="Hypermarkets"/>
    <x v="12"/>
    <s v="De Cecco"/>
    <s v="|22/22/69|"/>
    <n v="132"/>
    <n v="2.5066666666666668"/>
    <n v="2.9533333333333331"/>
  </r>
  <r>
    <x v="0"/>
    <s v="Hypermarkets"/>
    <x v="12"/>
    <s v="De Cecco"/>
    <s v="|22/22/70|"/>
    <n v="120"/>
    <n v="2.4733333333333332"/>
    <n v="2.9466666666666668"/>
  </r>
  <r>
    <x v="0"/>
    <s v="Hypermarkets"/>
    <x v="13"/>
    <s v="Garofalo"/>
    <s v="|110/00/00|"/>
    <n v="468"/>
    <n v="2.14"/>
    <n v="3.18"/>
  </r>
  <r>
    <x v="0"/>
    <s v="Hypermarkets"/>
    <x v="13"/>
    <s v="Garofalo"/>
    <s v="|110/00/01|"/>
    <n v="492"/>
    <n v="2.39"/>
    <n v="3.2"/>
  </r>
  <r>
    <x v="0"/>
    <s v="Hypermarkets"/>
    <x v="13"/>
    <s v="Garofalo"/>
    <s v="|110/00/02|"/>
    <n v="324"/>
    <n v="2.5499999999999998"/>
    <n v="3.27"/>
  </r>
  <r>
    <x v="0"/>
    <s v="Hypermarkets"/>
    <x v="13"/>
    <s v="Garofalo"/>
    <s v="|110/00/03|"/>
    <n v="600"/>
    <n v="2.75"/>
    <n v="3.64"/>
  </r>
  <r>
    <x v="0"/>
    <s v="Hypermarkets"/>
    <x v="13"/>
    <s v="Garofalo"/>
    <s v="|110/00/04|"/>
    <n v="396"/>
    <n v="2.72"/>
    <n v="3.43"/>
  </r>
  <r>
    <x v="0"/>
    <s v="Hypermarkets"/>
    <x v="13"/>
    <s v="Garofalo"/>
    <s v="|110/00/05|"/>
    <n v="336"/>
    <n v="2.54"/>
    <n v="3.01"/>
  </r>
  <r>
    <x v="0"/>
    <s v="Hypermarkets"/>
    <x v="13"/>
    <s v="Garofalo"/>
    <s v="|110/00/06|"/>
    <n v="120"/>
    <n v="2.48"/>
    <n v="3.13"/>
  </r>
  <r>
    <x v="0"/>
    <s v="Hypermarkets"/>
    <x v="13"/>
    <s v="Garofalo"/>
    <s v="|110/00/07|"/>
    <n v="456"/>
    <n v="2.2200000000000002"/>
    <n v="3.43"/>
  </r>
  <r>
    <x v="0"/>
    <s v="Hypermarkets"/>
    <x v="13"/>
    <s v="Garofalo"/>
    <s v="|110/00/08|"/>
    <n v="576"/>
    <n v="2.0299999999999998"/>
    <n v="3.48"/>
  </r>
  <r>
    <x v="0"/>
    <s v="Hypermarkets"/>
    <x v="13"/>
    <s v="Garofalo"/>
    <s v="|110/00/09|"/>
    <n v="288"/>
    <n v="2.0699999999999998"/>
    <n v="3.02"/>
  </r>
  <r>
    <x v="0"/>
    <s v="Hypermarkets"/>
    <x v="13"/>
    <s v="Garofalo"/>
    <s v="|110/00/10|"/>
    <n v="456"/>
    <n v="2.11"/>
    <n v="3.01"/>
  </r>
  <r>
    <x v="0"/>
    <s v="Hypermarkets"/>
    <x v="13"/>
    <s v="Garofalo"/>
    <s v="|110/00/11|"/>
    <n v="204"/>
    <n v="2.6"/>
    <n v="3.48"/>
  </r>
  <r>
    <x v="0"/>
    <s v="Hypermarkets"/>
    <x v="13"/>
    <s v="Garofalo"/>
    <s v="|110/00/13|"/>
    <n v="432"/>
    <n v="2.25"/>
    <n v="3"/>
  </r>
  <r>
    <x v="0"/>
    <s v="Hypermarkets"/>
    <x v="13"/>
    <s v="Garofalo"/>
    <s v="|110/00/14|"/>
    <n v="600"/>
    <n v="2.7"/>
    <n v="3.16"/>
  </r>
  <r>
    <x v="0"/>
    <s v="Hypermarkets"/>
    <x v="13"/>
    <s v="Garofalo"/>
    <s v="|110/00/15|"/>
    <n v="144"/>
    <n v="2.54"/>
    <n v="3.11"/>
  </r>
  <r>
    <x v="0"/>
    <s v="Hypermarkets"/>
    <x v="13"/>
    <s v="Garofalo"/>
    <s v="|110/00/17|"/>
    <n v="516"/>
    <n v="2.14"/>
    <n v="3.02"/>
  </r>
  <r>
    <x v="0"/>
    <s v="Hypermarkets"/>
    <x v="13"/>
    <s v="Garofalo"/>
    <s v="|110/00/18|"/>
    <n v="516"/>
    <n v="2.13"/>
    <n v="3.52"/>
  </r>
  <r>
    <x v="0"/>
    <s v="Hypermarkets"/>
    <x v="13"/>
    <s v="Garofalo"/>
    <s v="|110/00/19|"/>
    <n v="540"/>
    <n v="2.0699999999999998"/>
    <n v="3.2"/>
  </r>
  <r>
    <x v="0"/>
    <s v="Hypermarkets"/>
    <x v="13"/>
    <s v="President"/>
    <s v="|75/01/01|"/>
    <n v="492"/>
    <n v="2.39"/>
    <n v="3.43"/>
  </r>
  <r>
    <x v="0"/>
    <s v="Hypermarkets"/>
    <x v="13"/>
    <s v="President"/>
    <s v="|75/01/02|"/>
    <n v="276"/>
    <n v="2.4500000000000002"/>
    <n v="3.43"/>
  </r>
  <r>
    <x v="0"/>
    <s v="Hypermarkets"/>
    <x v="13"/>
    <s v="President"/>
    <s v="|75/01/03|"/>
    <n v="168"/>
    <n v="2.74"/>
    <n v="3.39"/>
  </r>
  <r>
    <x v="0"/>
    <s v="Hypermarkets"/>
    <x v="13"/>
    <s v="President"/>
    <s v="|75/01/04|"/>
    <n v="168"/>
    <n v="2.08"/>
    <n v="3.12"/>
  </r>
  <r>
    <x v="0"/>
    <s v="Hypermarkets"/>
    <x v="13"/>
    <s v="President"/>
    <s v="|75/01/05|"/>
    <n v="312"/>
    <n v="2.77"/>
    <n v="3.53"/>
  </r>
  <r>
    <x v="0"/>
    <s v="Hypermarkets"/>
    <x v="13"/>
    <s v="President"/>
    <s v="|75/01/06|"/>
    <n v="540"/>
    <n v="2.77"/>
    <n v="3.37"/>
  </r>
  <r>
    <x v="0"/>
    <s v="Hypermarkets"/>
    <x v="13"/>
    <s v="President"/>
    <s v="|75/01/07|"/>
    <n v="228"/>
    <n v="2.31"/>
    <n v="3.42"/>
  </r>
  <r>
    <x v="0"/>
    <s v="Hypermarkets"/>
    <x v="13"/>
    <s v="President"/>
    <s v="|75/01/08|"/>
    <n v="408"/>
    <n v="2.4700000000000002"/>
    <n v="3.01"/>
  </r>
  <r>
    <x v="0"/>
    <s v="Hypermarkets"/>
    <x v="13"/>
    <s v="President"/>
    <s v="|75/01/09|"/>
    <n v="252"/>
    <n v="2.16"/>
    <n v="3.16"/>
  </r>
  <r>
    <x v="0"/>
    <s v="Hypermarkets"/>
    <x v="13"/>
    <s v="President"/>
    <s v="|75/01/10|"/>
    <n v="216"/>
    <n v="2.76"/>
    <n v="3.32"/>
  </r>
  <r>
    <x v="0"/>
    <s v="Hypermarkets"/>
    <x v="13"/>
    <s v="President"/>
    <s v="|75/01/11|"/>
    <n v="396"/>
    <n v="2.7"/>
    <n v="3.34"/>
  </r>
  <r>
    <x v="0"/>
    <s v="Hypermarkets"/>
    <x v="13"/>
    <s v="President"/>
    <s v="|75/01/12|"/>
    <n v="312"/>
    <n v="2.4500000000000002"/>
    <n v="3.11"/>
  </r>
  <r>
    <x v="0"/>
    <s v="Convenience stores"/>
    <x v="2"/>
    <s v="Nestle'"/>
    <s v="|65/01/01|"/>
    <n v="6048"/>
    <n v="0.82"/>
    <n v="1.1000000000000001"/>
  </r>
  <r>
    <x v="0"/>
    <s v="Convenience stores"/>
    <x v="2"/>
    <s v="Nestle'"/>
    <s v="|65/01/02|"/>
    <n v="7080"/>
    <n v="1.0900000000000001"/>
    <n v="1.1599999999999999"/>
  </r>
  <r>
    <x v="0"/>
    <s v="Convenience stores"/>
    <x v="2"/>
    <s v="Nestle'"/>
    <s v="|65/01/03|"/>
    <n v="6072"/>
    <n v="0.55000000000000004"/>
    <n v="1.19"/>
  </r>
  <r>
    <x v="0"/>
    <s v="Convenience stores"/>
    <x v="2"/>
    <s v="Nestle'"/>
    <s v="|65/01/04|"/>
    <n v="5892"/>
    <n v="0.67"/>
    <n v="0.93"/>
  </r>
  <r>
    <x v="0"/>
    <s v="Convenience stores"/>
    <x v="2"/>
    <s v="Nestle'"/>
    <s v="|65/01/05|"/>
    <n v="8388"/>
    <n v="1.1200000000000001"/>
    <n v="1.01"/>
  </r>
  <r>
    <x v="0"/>
    <s v="Convenience stores"/>
    <x v="2"/>
    <s v="Nestle'"/>
    <s v="|65/01/06|"/>
    <n v="9084"/>
    <n v="0.77"/>
    <n v="1.0900000000000001"/>
  </r>
  <r>
    <x v="0"/>
    <s v="Convenience stores"/>
    <x v="2"/>
    <s v="Nestle'"/>
    <s v="|65/01/07|"/>
    <n v="8508"/>
    <n v="0.98"/>
    <n v="1.1499999999999999"/>
  </r>
  <r>
    <x v="0"/>
    <s v="Convenience stores"/>
    <x v="2"/>
    <s v="Nestle'"/>
    <s v="|65/01/08|"/>
    <n v="5412"/>
    <n v="1.01"/>
    <n v="1.08"/>
  </r>
  <r>
    <x v="0"/>
    <s v="Convenience stores"/>
    <x v="2"/>
    <s v="Nestle'"/>
    <s v="|65/01/09|"/>
    <n v="8976"/>
    <n v="0.56000000000000005"/>
    <n v="1.02"/>
  </r>
  <r>
    <x v="0"/>
    <s v="Convenience stores"/>
    <x v="2"/>
    <s v="Nestle'"/>
    <s v="|65/01/10|"/>
    <n v="4896"/>
    <n v="0.76"/>
    <n v="1.06"/>
  </r>
  <r>
    <x v="0"/>
    <s v="Convenience stores"/>
    <x v="2"/>
    <s v="Nestle'"/>
    <s v="|65/01/11|"/>
    <n v="8280"/>
    <n v="0.41"/>
    <n v="1.06"/>
  </r>
  <r>
    <x v="0"/>
    <s v="Convenience stores"/>
    <x v="3"/>
    <s v="Nestle'"/>
    <s v="|65/02/01|"/>
    <n v="156"/>
    <n v="1.1000000000000001"/>
    <n v="1.21"/>
  </r>
  <r>
    <x v="0"/>
    <s v="Convenience stores"/>
    <x v="5"/>
    <s v="Corny"/>
    <s v="|109/01/01|"/>
    <n v="588"/>
    <n v="1.25"/>
    <n v="1.87"/>
  </r>
  <r>
    <x v="0"/>
    <s v="Convenience stores"/>
    <x v="5"/>
    <s v="Corny"/>
    <s v="|109/01/02|"/>
    <n v="684"/>
    <n v="1.1599999999999999"/>
    <n v="1.9"/>
  </r>
  <r>
    <x v="0"/>
    <s v="Convenience stores"/>
    <x v="5"/>
    <s v="Corny"/>
    <s v="|109/01/03|"/>
    <n v="888"/>
    <n v="1.1499999999999999"/>
    <n v="1.84"/>
  </r>
  <r>
    <x v="0"/>
    <s v="Convenience stores"/>
    <x v="5"/>
    <s v="Corny"/>
    <s v="|109/01/04|"/>
    <n v="900"/>
    <n v="1.41"/>
    <n v="1.83"/>
  </r>
  <r>
    <x v="0"/>
    <s v="Convenience stores"/>
    <x v="5"/>
    <s v="Corny"/>
    <s v="|109/01/05|"/>
    <n v="816"/>
    <n v="1.4"/>
    <n v="1.74"/>
  </r>
  <r>
    <x v="0"/>
    <s v="Convenience stores"/>
    <x v="7"/>
    <s v="Grekomila"/>
    <s v="|85/01/01|"/>
    <n v="624"/>
    <n v="2.74"/>
    <n v="3.69"/>
  </r>
  <r>
    <x v="0"/>
    <s v="Convenience stores"/>
    <x v="7"/>
    <s v="Grekomila"/>
    <s v="|85/01/02|"/>
    <n v="600"/>
    <n v="2.21"/>
    <n v="3.77"/>
  </r>
  <r>
    <x v="0"/>
    <s v="Convenience stores"/>
    <x v="7"/>
    <s v="Grekomila"/>
    <s v="|85/01/03|"/>
    <n v="1008"/>
    <n v="2.08"/>
    <n v="3.56"/>
  </r>
  <r>
    <x v="0"/>
    <s v="Convenience stores"/>
    <x v="7"/>
    <s v="Grekomila"/>
    <s v="|85/01/04|"/>
    <n v="840"/>
    <n v="2.81"/>
    <n v="3.38"/>
  </r>
  <r>
    <x v="0"/>
    <s v="Convenience stores"/>
    <x v="7"/>
    <s v="Grekomila"/>
    <s v="|85/01/05|"/>
    <n v="600"/>
    <n v="2.78"/>
    <n v="3.3"/>
  </r>
  <r>
    <x v="0"/>
    <s v="Convenience stores"/>
    <x v="7"/>
    <s v="Grekomila"/>
    <s v="|85/01/06|"/>
    <n v="780"/>
    <n v="2.81"/>
    <n v="3.93"/>
  </r>
  <r>
    <x v="0"/>
    <s v="Convenience stores"/>
    <x v="7"/>
    <s v="Grekomila"/>
    <s v="|85/01/07|"/>
    <n v="972"/>
    <n v="2.65"/>
    <n v="3.92"/>
  </r>
  <r>
    <x v="0"/>
    <s v="Convenience stores"/>
    <x v="7"/>
    <s v="Grekomila"/>
    <s v="|85/01/08|"/>
    <n v="1032"/>
    <n v="2.87"/>
    <n v="3.86"/>
  </r>
  <r>
    <x v="0"/>
    <s v="Convenience stores"/>
    <x v="7"/>
    <s v="Grekomila"/>
    <s v="|85/01/09|"/>
    <n v="1152"/>
    <n v="2.77"/>
    <n v="3.8"/>
  </r>
  <r>
    <x v="0"/>
    <s v="Convenience stores"/>
    <x v="7"/>
    <s v="Grekomila"/>
    <s v="|85/01/10|"/>
    <n v="1164"/>
    <n v="2.17"/>
    <n v="3.46"/>
  </r>
  <r>
    <x v="0"/>
    <s v="Convenience stores"/>
    <x v="7"/>
    <s v="Grekomila"/>
    <s v="|85/01/11|"/>
    <n v="1116"/>
    <n v="2.08"/>
    <n v="3.69"/>
  </r>
  <r>
    <x v="0"/>
    <s v="Convenience stores"/>
    <x v="7"/>
    <s v="Grekomila"/>
    <s v="|85/01/12|"/>
    <n v="624"/>
    <n v="2.1"/>
    <n v="3.3"/>
  </r>
  <r>
    <x v="0"/>
    <s v="Convenience stores"/>
    <x v="7"/>
    <s v="Grekomila"/>
    <s v="|85/01/13|"/>
    <n v="984"/>
    <n v="2.36"/>
    <n v="3.71"/>
  </r>
  <r>
    <x v="0"/>
    <s v="Convenience stores"/>
    <x v="7"/>
    <s v="Grekomila"/>
    <s v="|85/01/14|"/>
    <n v="840"/>
    <n v="2.56"/>
    <n v="3.69"/>
  </r>
  <r>
    <x v="0"/>
    <s v="Convenience stores"/>
    <x v="7"/>
    <s v="Grekomila"/>
    <s v="|85/01/15|"/>
    <n v="1116"/>
    <n v="2.36"/>
    <n v="3.84"/>
  </r>
  <r>
    <x v="0"/>
    <s v="Convenience stores"/>
    <x v="7"/>
    <s v="Grekomila"/>
    <s v="|85/01/16|"/>
    <n v="768"/>
    <n v="2.85"/>
    <n v="3.32"/>
  </r>
  <r>
    <x v="0"/>
    <s v="Convenience stores"/>
    <x v="7"/>
    <s v="Grekomila"/>
    <s v="|85/02/01|"/>
    <n v="816"/>
    <n v="2.76"/>
    <n v="3.86"/>
  </r>
  <r>
    <x v="0"/>
    <s v="Convenience stores"/>
    <x v="7"/>
    <s v="Grekomila"/>
    <s v="|85/02/02|"/>
    <n v="744"/>
    <n v="2"/>
    <n v="3.4"/>
  </r>
  <r>
    <x v="0"/>
    <s v="Convenience stores"/>
    <x v="7"/>
    <s v="Grekomila"/>
    <s v="|85/03/01|"/>
    <n v="744"/>
    <n v="2.66"/>
    <n v="3.72"/>
  </r>
  <r>
    <x v="0"/>
    <s v="Convenience stores"/>
    <x v="7"/>
    <s v="Grekomila"/>
    <s v="|85/03/02|"/>
    <n v="1092"/>
    <n v="2.75"/>
    <n v="3.28"/>
  </r>
  <r>
    <x v="0"/>
    <s v="Convenience stores"/>
    <x v="7"/>
    <s v="Grekomila"/>
    <s v="|85/03/03|"/>
    <n v="1020"/>
    <n v="2.98"/>
    <n v="3.56"/>
  </r>
  <r>
    <x v="0"/>
    <s v="Convenience stores"/>
    <x v="7"/>
    <s v="Grekomila"/>
    <s v="|85/03/04|"/>
    <n v="1200"/>
    <n v="2.5299999999999998"/>
    <n v="3.7"/>
  </r>
  <r>
    <x v="0"/>
    <s v="Convenience stores"/>
    <x v="7"/>
    <s v="Grekomila"/>
    <s v="|85/03/05|"/>
    <n v="912"/>
    <n v="2.89"/>
    <n v="3.41"/>
  </r>
  <r>
    <x v="0"/>
    <s v="Convenience stores"/>
    <x v="7"/>
    <s v="Grekomila"/>
    <s v="|85/03/06|"/>
    <n v="1020"/>
    <n v="2.15"/>
    <n v="3.76"/>
  </r>
  <r>
    <x v="0"/>
    <s v="Convenience stores"/>
    <x v="7"/>
    <s v="Grekomila"/>
    <s v="|85/03/07|"/>
    <n v="948"/>
    <n v="2.41"/>
    <n v="3.41"/>
  </r>
  <r>
    <x v="0"/>
    <s v="Convenience stores"/>
    <x v="7"/>
    <s v="Grekomila"/>
    <s v="|85/03/08|"/>
    <n v="744"/>
    <n v="3"/>
    <n v="3.2"/>
  </r>
  <r>
    <x v="0"/>
    <s v="Convenience stores"/>
    <x v="7"/>
    <s v="Grekomila"/>
    <s v="|85/03/09|"/>
    <n v="924"/>
    <n v="2.29"/>
    <n v="3.54"/>
  </r>
  <r>
    <x v="0"/>
    <s v="Convenience stores"/>
    <x v="7"/>
    <s v="Grekomila"/>
    <s v="|85/03/10|"/>
    <n v="840"/>
    <n v="2.08"/>
    <n v="3.82"/>
  </r>
  <r>
    <x v="0"/>
    <s v="Convenience stores"/>
    <x v="7"/>
    <s v="Grekomila"/>
    <s v="|85/03/11|"/>
    <n v="1020"/>
    <n v="2.38"/>
    <n v="3.49"/>
  </r>
  <r>
    <x v="0"/>
    <s v="Convenience stores"/>
    <x v="7"/>
    <s v="Grekomila"/>
    <s v="|85/03/12|"/>
    <n v="708"/>
    <n v="2.86"/>
    <n v="3.37"/>
  </r>
  <r>
    <x v="0"/>
    <s v="Convenience stores"/>
    <x v="7"/>
    <s v="Grekomila"/>
    <s v="|85/03/13|"/>
    <n v="1188"/>
    <n v="2.82"/>
    <n v="3.48"/>
  </r>
  <r>
    <x v="0"/>
    <s v="Convenience stores"/>
    <x v="7"/>
    <s v="Grekomila"/>
    <s v="|85/03/14|"/>
    <n v="1140"/>
    <n v="2.4700000000000002"/>
    <n v="3.96"/>
  </r>
  <r>
    <x v="0"/>
    <s v="Convenience stores"/>
    <x v="7"/>
    <s v="Grekomila"/>
    <s v="|85/03/15|"/>
    <n v="768"/>
    <n v="2.88"/>
    <n v="3.92"/>
  </r>
  <r>
    <x v="0"/>
    <s v="Convenience stores"/>
    <x v="7"/>
    <s v="Grekomila"/>
    <s v="|85/04/01|"/>
    <n v="1164"/>
    <n v="2.97"/>
    <n v="3.36"/>
  </r>
  <r>
    <x v="0"/>
    <s v="Convenience stores"/>
    <x v="7"/>
    <s v="Grekomila"/>
    <s v="|85/04/02|"/>
    <n v="1032"/>
    <n v="2.69"/>
    <n v="3.43"/>
  </r>
  <r>
    <x v="0"/>
    <s v="Convenience stores"/>
    <x v="7"/>
    <s v="Grekomila"/>
    <s v="|85/04/03|"/>
    <n v="1140"/>
    <n v="2.16"/>
    <n v="3.84"/>
  </r>
  <r>
    <x v="0"/>
    <s v="Convenience stores"/>
    <x v="7"/>
    <s v="Grekomila"/>
    <s v="|85/04/04|"/>
    <n v="1020"/>
    <n v="2.7"/>
    <n v="3.99"/>
  </r>
  <r>
    <x v="0"/>
    <s v="Convenience stores"/>
    <x v="7"/>
    <s v="Grekomila"/>
    <s v="|85/04/05|"/>
    <n v="1164"/>
    <n v="2.56"/>
    <n v="3.67"/>
  </r>
  <r>
    <x v="0"/>
    <s v="Convenience stores"/>
    <x v="7"/>
    <s v="Grekomila"/>
    <s v="|85/04/06|"/>
    <n v="1104"/>
    <n v="2.0499999999999998"/>
    <n v="3.26"/>
  </r>
  <r>
    <x v="0"/>
    <s v="Convenience stores"/>
    <x v="7"/>
    <s v="Grekomila"/>
    <s v="|85/04/07|"/>
    <n v="708"/>
    <n v="2.96"/>
    <n v="3.76"/>
  </r>
  <r>
    <x v="0"/>
    <s v="Convenience stores"/>
    <x v="7"/>
    <s v="Grekomila"/>
    <s v="|85/04/08|"/>
    <n v="744"/>
    <n v="2.76"/>
    <n v="3.47"/>
  </r>
  <r>
    <x v="0"/>
    <s v="Convenience stores"/>
    <x v="7"/>
    <s v="Grekomila"/>
    <s v="|85/04/09|"/>
    <n v="1128"/>
    <n v="2.33"/>
    <n v="3.8"/>
  </r>
  <r>
    <x v="0"/>
    <s v="Convenience stores"/>
    <x v="7"/>
    <s v="Grekomila"/>
    <s v="|85/04/10|"/>
    <n v="1104"/>
    <n v="2.67"/>
    <n v="3.21"/>
  </r>
  <r>
    <x v="0"/>
    <s v="Convenience stores"/>
    <x v="7"/>
    <s v="Grekomila"/>
    <s v="|85/04/11|"/>
    <n v="1188"/>
    <n v="2.7"/>
    <n v="3.53"/>
  </r>
  <r>
    <x v="0"/>
    <s v="Convenience stores"/>
    <x v="7"/>
    <s v="Grekomila"/>
    <s v="|85/04/12|"/>
    <n v="852"/>
    <n v="2.91"/>
    <n v="3.47"/>
  </r>
  <r>
    <x v="0"/>
    <s v="Convenience stores"/>
    <x v="7"/>
    <s v="Grekomila"/>
    <s v="|85/04/13|"/>
    <n v="1128"/>
    <n v="2.57"/>
    <n v="3.82"/>
  </r>
  <r>
    <x v="0"/>
    <s v="Convenience stores"/>
    <x v="7"/>
    <s v="Grekomila"/>
    <s v="|85/04/14|"/>
    <n v="720"/>
    <n v="2.93"/>
    <n v="3.49"/>
  </r>
  <r>
    <x v="0"/>
    <s v="Convenience stores"/>
    <x v="7"/>
    <s v="Grekomila"/>
    <s v="|85/04/15|"/>
    <n v="744"/>
    <n v="2.2999999999999998"/>
    <n v="3.5"/>
  </r>
  <r>
    <x v="0"/>
    <s v="Convenience stores"/>
    <x v="7"/>
    <s v="Grekomila"/>
    <s v="|85/04/16|"/>
    <n v="1104"/>
    <n v="2.54"/>
    <n v="3.35"/>
  </r>
  <r>
    <x v="0"/>
    <s v="Convenience stores"/>
    <x v="7"/>
    <s v="Grekomila"/>
    <s v="|85/04/17|"/>
    <n v="600"/>
    <n v="2.48"/>
    <n v="3.37"/>
  </r>
  <r>
    <x v="0"/>
    <s v="Convenience stores"/>
    <x v="7"/>
    <s v="Grekomila"/>
    <s v="|85/04/18|"/>
    <n v="780"/>
    <n v="2.56"/>
    <n v="3.49"/>
  </r>
  <r>
    <x v="0"/>
    <s v="Convenience stores"/>
    <x v="7"/>
    <s v="Grekomila"/>
    <s v="|85/05/01|"/>
    <n v="744"/>
    <n v="2.37"/>
    <n v="3.79"/>
  </r>
  <r>
    <x v="0"/>
    <s v="Convenience stores"/>
    <x v="7"/>
    <s v="Grekomila"/>
    <s v="|85/05/02|"/>
    <n v="852"/>
    <n v="2.36"/>
    <n v="3.32"/>
  </r>
  <r>
    <x v="0"/>
    <s v="Convenience stores"/>
    <x v="7"/>
    <s v="Grekomila"/>
    <s v="|85/05/03|"/>
    <n v="900"/>
    <n v="2.21"/>
    <n v="3.24"/>
  </r>
  <r>
    <x v="0"/>
    <s v="Convenience stores"/>
    <x v="7"/>
    <s v="Grekomila"/>
    <s v="|85/05/04|"/>
    <n v="1104"/>
    <n v="2.5499999999999998"/>
    <n v="3.83"/>
  </r>
  <r>
    <x v="0"/>
    <s v="Convenience stores"/>
    <x v="7"/>
    <s v="Grekomila"/>
    <s v="|85/06/01|"/>
    <n v="1092"/>
    <n v="2.88"/>
    <n v="3.39"/>
  </r>
  <r>
    <x v="0"/>
    <s v="Convenience stores"/>
    <x v="7"/>
    <s v="Grekomila"/>
    <s v="|85/06/02|"/>
    <n v="1092"/>
    <n v="2.19"/>
    <n v="4"/>
  </r>
  <r>
    <x v="0"/>
    <s v="Convenience stores"/>
    <x v="7"/>
    <s v="Grekomila"/>
    <s v="|85/06/03|"/>
    <n v="744"/>
    <n v="2.2999999999999998"/>
    <n v="3.86"/>
  </r>
  <r>
    <x v="0"/>
    <s v="Convenience stores"/>
    <x v="7"/>
    <s v="Grekomila"/>
    <s v="|85/06/04|"/>
    <n v="600"/>
    <n v="2.89"/>
    <n v="3.82"/>
  </r>
  <r>
    <x v="0"/>
    <s v="Convenience stores"/>
    <x v="7"/>
    <s v="Grekomila"/>
    <s v="|85/06/05|"/>
    <n v="852"/>
    <n v="2.0699999999999998"/>
    <n v="3.81"/>
  </r>
  <r>
    <x v="0"/>
    <s v="Convenience stores"/>
    <x v="7"/>
    <s v="Grekomila"/>
    <s v="|85/06/06|"/>
    <n v="960"/>
    <n v="2.2000000000000002"/>
    <n v="3.54"/>
  </r>
  <r>
    <x v="0"/>
    <s v="Convenience stores"/>
    <x v="7"/>
    <s v="Grekomila"/>
    <s v="|85/06/07|"/>
    <n v="1104"/>
    <n v="2.09"/>
    <n v="3.46"/>
  </r>
  <r>
    <x v="0"/>
    <s v="Convenience stores"/>
    <x v="7"/>
    <s v="Grekomila"/>
    <s v="|85/07/01|"/>
    <n v="912"/>
    <n v="2.65"/>
    <n v="3.42"/>
  </r>
  <r>
    <x v="0"/>
    <s v="Convenience stores"/>
    <x v="9"/>
    <s v="Cif"/>
    <s v="|111/00/00|"/>
    <n v="672"/>
    <n v="2.19"/>
    <n v="2.67"/>
  </r>
  <r>
    <x v="0"/>
    <s v="Convenience stores"/>
    <x v="9"/>
    <s v="Cif"/>
    <s v="|111/00/01|"/>
    <n v="1092"/>
    <n v="2.0699999999999998"/>
    <n v="2.1"/>
  </r>
  <r>
    <x v="0"/>
    <s v="Convenience stores"/>
    <x v="9"/>
    <s v="Cif"/>
    <s v="|111/00/02|"/>
    <n v="576"/>
    <n v="2.23"/>
    <n v="2.72"/>
  </r>
  <r>
    <x v="0"/>
    <s v="Convenience stores"/>
    <x v="9"/>
    <s v="Cif"/>
    <s v="|111/00/03|"/>
    <n v="732"/>
    <n v="2.06"/>
    <n v="3.4"/>
  </r>
  <r>
    <x v="0"/>
    <s v="Convenience stores"/>
    <x v="6"/>
    <s v="Mars"/>
    <s v="|66/01/01|"/>
    <n v="1656"/>
    <n v="2.44"/>
    <n v="3.95"/>
  </r>
  <r>
    <x v="0"/>
    <s v="Convenience stores"/>
    <x v="6"/>
    <s v="Mars"/>
    <s v="|66/01/02|"/>
    <n v="2208"/>
    <n v="2.76"/>
    <n v="3.83"/>
  </r>
  <r>
    <x v="0"/>
    <s v="Convenience stores"/>
    <x v="6"/>
    <s v="Mars"/>
    <s v="|66/01/03|"/>
    <n v="2640"/>
    <n v="2.35"/>
    <n v="3.51"/>
  </r>
  <r>
    <x v="0"/>
    <s v="Convenience stores"/>
    <x v="6"/>
    <s v="Mars"/>
    <s v="|66/01/04|"/>
    <n v="2652"/>
    <n v="2.5099999999999998"/>
    <n v="3.66"/>
  </r>
  <r>
    <x v="0"/>
    <s v="Convenience stores"/>
    <x v="6"/>
    <s v="Mars"/>
    <s v="|66/01/05|"/>
    <n v="2460"/>
    <n v="2.98"/>
    <n v="3.68"/>
  </r>
  <r>
    <x v="0"/>
    <s v="Convenience stores"/>
    <x v="6"/>
    <s v="Mars"/>
    <s v="|66/01/06|"/>
    <n v="2520"/>
    <n v="2.54"/>
    <n v="3.77"/>
  </r>
  <r>
    <x v="0"/>
    <s v="Convenience stores"/>
    <x v="6"/>
    <s v="Mars"/>
    <s v="|66/02/01|"/>
    <n v="2760"/>
    <n v="2.71"/>
    <n v="3.36"/>
  </r>
  <r>
    <x v="0"/>
    <s v="Convenience stores"/>
    <x v="6"/>
    <s v="Mars"/>
    <s v="|66/02/02|"/>
    <n v="1560"/>
    <n v="2.42"/>
    <n v="3.38"/>
  </r>
  <r>
    <x v="0"/>
    <s v="Convenience stores"/>
    <x v="5"/>
    <s v="Ulker"/>
    <s v="|96/00/01|"/>
    <n v="612"/>
    <n v="1.1100000000000001"/>
    <n v="1.8"/>
  </r>
  <r>
    <x v="0"/>
    <s v="Convenience stores"/>
    <x v="5"/>
    <s v="Ulker"/>
    <s v="|96/00/02|"/>
    <n v="864"/>
    <n v="1.3"/>
    <n v="1.84"/>
  </r>
  <r>
    <x v="0"/>
    <s v="Convenience stores"/>
    <x v="5"/>
    <s v="Ulker"/>
    <s v="|96/00/03|"/>
    <n v="1152"/>
    <n v="1.33"/>
    <n v="1.89"/>
  </r>
  <r>
    <x v="0"/>
    <s v="Convenience stores"/>
    <x v="5"/>
    <s v="Ulker"/>
    <s v="|96/00/04|"/>
    <n v="624"/>
    <n v="1.29"/>
    <n v="1.83"/>
  </r>
  <r>
    <x v="0"/>
    <s v="Convenience stores"/>
    <x v="5"/>
    <s v="Ulker"/>
    <s v="|96/00/05|"/>
    <n v="732"/>
    <n v="1.23"/>
    <n v="1.86"/>
  </r>
  <r>
    <x v="0"/>
    <s v="Convenience stores"/>
    <x v="5"/>
    <s v="Ulker"/>
    <s v="|96/00/06|"/>
    <n v="912"/>
    <n v="1.22"/>
    <n v="1.62"/>
  </r>
  <r>
    <x v="0"/>
    <s v="Convenience stores"/>
    <x v="5"/>
    <s v="Ulker"/>
    <s v="|96/00/07|"/>
    <n v="1176"/>
    <n v="1.35"/>
    <n v="1.65"/>
  </r>
  <r>
    <x v="0"/>
    <s v="Convenience stores"/>
    <x v="5"/>
    <s v="Ulker"/>
    <s v="|96/00/08|"/>
    <n v="1080"/>
    <n v="1.28"/>
    <n v="1.72"/>
  </r>
  <r>
    <x v="0"/>
    <s v="Convenience stores"/>
    <x v="5"/>
    <s v="Ulker"/>
    <s v="|96/00/09|"/>
    <n v="876"/>
    <n v="1.36"/>
    <n v="1.71"/>
  </r>
  <r>
    <x v="0"/>
    <s v="Convenience stores"/>
    <x v="9"/>
    <s v="WC Net"/>
    <s v="|52/01/01|"/>
    <n v="1056"/>
    <n v="1.64"/>
    <n v="3.01"/>
  </r>
  <r>
    <x v="0"/>
    <s v="Convenience stores"/>
    <x v="9"/>
    <s v="WC Net"/>
    <s v="|52/01/02|"/>
    <n v="852"/>
    <n v="2.04"/>
    <n v="2.2000000000000002"/>
  </r>
  <r>
    <x v="0"/>
    <s v="Convenience stores"/>
    <x v="9"/>
    <s v="WC Net"/>
    <s v="|52/01/03|"/>
    <n v="444"/>
    <n v="1.56"/>
    <n v="2.54"/>
  </r>
  <r>
    <x v="0"/>
    <s v="Convenience stores"/>
    <x v="9"/>
    <s v="WC Net"/>
    <s v="|52/01/03a|"/>
    <n v="564"/>
    <n v="2.33"/>
    <n v="2.46"/>
  </r>
  <r>
    <x v="0"/>
    <s v="Convenience stores"/>
    <x v="9"/>
    <s v="WC Net"/>
    <s v="|52/01/03b|"/>
    <n v="732"/>
    <n v="2.25"/>
    <n v="3.05"/>
  </r>
  <r>
    <x v="0"/>
    <s v="Convenience stores"/>
    <x v="9"/>
    <s v="WC Net"/>
    <s v="|52/01/03c|"/>
    <n v="804"/>
    <n v="2.06"/>
    <n v="2.57"/>
  </r>
  <r>
    <x v="0"/>
    <s v="Convenience stores"/>
    <x v="9"/>
    <s v="WC Net"/>
    <s v="|52/01/03e|"/>
    <n v="684"/>
    <n v="1.32"/>
    <n v="2.3199999999999998"/>
  </r>
  <r>
    <x v="0"/>
    <s v="Convenience stores"/>
    <x v="9"/>
    <s v="WC Net"/>
    <s v="|52/01/03f|"/>
    <n v="792"/>
    <n v="2.25"/>
    <n v="2.83"/>
  </r>
  <r>
    <x v="0"/>
    <s v="Convenience stores"/>
    <x v="9"/>
    <s v="WC Net"/>
    <s v="|52/01/03g|"/>
    <n v="756"/>
    <n v="1.83"/>
    <n v="3.21"/>
  </r>
  <r>
    <x v="0"/>
    <s v="Convenience stores"/>
    <x v="9"/>
    <s v="WC Net"/>
    <s v="|52/01/03h|"/>
    <n v="792"/>
    <n v="2.15"/>
    <n v="3.06"/>
  </r>
  <r>
    <x v="0"/>
    <s v="Convenience stores"/>
    <x v="9"/>
    <s v="WC Net"/>
    <s v="|52/01/03i|"/>
    <n v="540"/>
    <n v="2.09"/>
    <n v="2.21"/>
  </r>
  <r>
    <x v="0"/>
    <s v="Convenience stores"/>
    <x v="9"/>
    <s v="WC Net"/>
    <s v="|52/01/03j|"/>
    <n v="588"/>
    <n v="1.36"/>
    <n v="2.7"/>
  </r>
  <r>
    <x v="0"/>
    <s v="Convenience stores"/>
    <x v="9"/>
    <s v="WC Net"/>
    <s v="|52/01/03m|"/>
    <n v="924"/>
    <n v="1.58"/>
    <n v="2.1800000000000002"/>
  </r>
  <r>
    <x v="0"/>
    <s v="Convenience stores"/>
    <x v="9"/>
    <s v="WC Net"/>
    <s v="|52/01/03n|"/>
    <n v="1020"/>
    <n v="1.4"/>
    <n v="2.08"/>
  </r>
  <r>
    <x v="0"/>
    <s v="Convenience stores"/>
    <x v="9"/>
    <s v="WC Net"/>
    <s v="|52/01/03v|"/>
    <n v="1044"/>
    <n v="1.93"/>
    <n v="2.63"/>
  </r>
  <r>
    <x v="0"/>
    <s v="Convenience stores"/>
    <x v="9"/>
    <s v="WC Net"/>
    <s v="|52/01/10|"/>
    <n v="660"/>
    <n v="1.52"/>
    <n v="2.0699999999999998"/>
  </r>
  <r>
    <x v="0"/>
    <s v="Convenience stores"/>
    <x v="9"/>
    <s v="WC Net"/>
    <s v="|52/01/11|"/>
    <n v="1200"/>
    <n v="1.29"/>
    <n v="2.97"/>
  </r>
  <r>
    <x v="0"/>
    <s v="Convenience stores"/>
    <x v="5"/>
    <s v="Mondelez"/>
    <s v="|123/01/01|"/>
    <n v="1008"/>
    <n v="1.24"/>
    <n v="1.89"/>
  </r>
  <r>
    <x v="0"/>
    <s v="Convenience stores"/>
    <x v="5"/>
    <s v="Mondelez"/>
    <s v="|123/01/02|"/>
    <n v="648"/>
    <n v="1.3"/>
    <n v="1.87"/>
  </r>
  <r>
    <x v="0"/>
    <s v="Convenience stores"/>
    <x v="5"/>
    <s v="Mondelez"/>
    <s v="|123/01/03|"/>
    <n v="1248"/>
    <n v="1.1499999999999999"/>
    <n v="1.64"/>
  </r>
  <r>
    <x v="0"/>
    <s v="Convenience stores"/>
    <x v="5"/>
    <s v="Mondelez"/>
    <s v="|123/01/05|"/>
    <n v="1296"/>
    <n v="1.22"/>
    <n v="1.7"/>
  </r>
  <r>
    <x v="0"/>
    <s v="Convenience stores"/>
    <x v="5"/>
    <s v="Mondelez"/>
    <s v="|123/01/06|"/>
    <n v="576"/>
    <n v="1.43"/>
    <n v="1.78"/>
  </r>
  <r>
    <x v="0"/>
    <s v="Convenience stores"/>
    <x v="4"/>
    <s v="Sephora"/>
    <s v="|01/01/01|"/>
    <n v="528"/>
    <n v="4"/>
    <n v="5.24"/>
  </r>
  <r>
    <x v="0"/>
    <s v="Convenience stores"/>
    <x v="4"/>
    <s v="Sephora"/>
    <s v="|01/01/02|"/>
    <n v="384"/>
    <n v="4.45"/>
    <n v="5.05"/>
  </r>
  <r>
    <x v="0"/>
    <s v="Convenience stores"/>
    <x v="4"/>
    <s v="Sephora"/>
    <s v="|01/01/04|"/>
    <n v="324"/>
    <n v="4.8899999999999997"/>
    <n v="5.24"/>
  </r>
  <r>
    <x v="0"/>
    <s v="Convenience stores"/>
    <x v="4"/>
    <s v="Sephora"/>
    <s v="|01/01/05|"/>
    <n v="408"/>
    <n v="4.5"/>
    <n v="5.39"/>
  </r>
  <r>
    <x v="0"/>
    <s v="Convenience stores"/>
    <x v="4"/>
    <s v="Sephora"/>
    <s v="|01/01/06|"/>
    <n v="420"/>
    <n v="4.6900000000000004"/>
    <n v="5.04"/>
  </r>
  <r>
    <x v="0"/>
    <s v="Convenience stores"/>
    <x v="4"/>
    <s v="Sephora"/>
    <s v="|01/01/08|"/>
    <n v="408"/>
    <n v="4.8"/>
    <n v="5.16"/>
  </r>
  <r>
    <x v="0"/>
    <s v="Convenience stores"/>
    <x v="4"/>
    <s v="Sephora"/>
    <s v="|01/01/10|"/>
    <n v="540"/>
    <n v="4.9800000000000004"/>
    <n v="5.22"/>
  </r>
  <r>
    <x v="0"/>
    <s v="Convenience stores"/>
    <x v="4"/>
    <s v="Sephora"/>
    <s v="|01/01/11|"/>
    <n v="480"/>
    <n v="4.9800000000000004"/>
    <n v="5.33"/>
  </r>
  <r>
    <x v="0"/>
    <s v="Convenience stores"/>
    <x v="4"/>
    <s v="Sephora"/>
    <s v="|01/01/12|"/>
    <n v="456"/>
    <n v="4.92"/>
    <n v="5"/>
  </r>
  <r>
    <x v="0"/>
    <s v="Convenience stores"/>
    <x v="4"/>
    <s v="Sephora"/>
    <s v="|01/01/13|"/>
    <n v="468"/>
    <n v="4.5599999999999996"/>
    <n v="5.26"/>
  </r>
  <r>
    <x v="0"/>
    <s v="Convenience stores"/>
    <x v="4"/>
    <s v="Sephora"/>
    <s v="|01/01/15|"/>
    <n v="516"/>
    <n v="4.43"/>
    <n v="5.14"/>
  </r>
  <r>
    <x v="0"/>
    <s v="Convenience stores"/>
    <x v="4"/>
    <s v="Sephora"/>
    <s v="|01/01/17|"/>
    <n v="696"/>
    <n v="4.57"/>
    <n v="5.1100000000000003"/>
  </r>
  <r>
    <x v="0"/>
    <s v="Convenience stores"/>
    <x v="4"/>
    <s v="Sephora"/>
    <s v="|01/01/18|"/>
    <n v="612"/>
    <n v="4.12"/>
    <n v="5.2"/>
  </r>
  <r>
    <x v="0"/>
    <s v="Convenience stores"/>
    <x v="4"/>
    <s v="Sephora"/>
    <s v="|01/01/19|"/>
    <n v="396"/>
    <n v="4.43"/>
    <n v="5.27"/>
  </r>
  <r>
    <x v="0"/>
    <s v="Convenience stores"/>
    <x v="4"/>
    <s v="Sephora"/>
    <s v="|01/01/20|"/>
    <n v="324"/>
    <n v="4.2699999999999996"/>
    <n v="5.01"/>
  </r>
  <r>
    <x v="0"/>
    <s v="Convenience stores"/>
    <x v="4"/>
    <s v="Sephora"/>
    <s v="|01/01/21|"/>
    <n v="288"/>
    <n v="4.6900000000000004"/>
    <n v="5.24"/>
  </r>
  <r>
    <x v="0"/>
    <s v="Convenience stores"/>
    <x v="4"/>
    <s v="Sephora"/>
    <s v="|01/01/23|"/>
    <n v="360"/>
    <n v="4.26"/>
    <n v="5.37"/>
  </r>
  <r>
    <x v="0"/>
    <s v="Convenience stores"/>
    <x v="4"/>
    <s v="Sephora"/>
    <s v="|01/01/24|"/>
    <n v="336"/>
    <n v="4.67"/>
    <n v="5.24"/>
  </r>
  <r>
    <x v="0"/>
    <s v="Convenience stores"/>
    <x v="4"/>
    <s v="Sephora"/>
    <s v="|01/01/25|"/>
    <n v="660"/>
    <n v="4.6900000000000004"/>
    <n v="5.2"/>
  </r>
  <r>
    <x v="0"/>
    <s v="Convenience stores"/>
    <x v="4"/>
    <s v="Sephora"/>
    <s v="|01/01/26|"/>
    <n v="444"/>
    <n v="4.66"/>
    <n v="5.32"/>
  </r>
  <r>
    <x v="0"/>
    <s v="Convenience stores"/>
    <x v="4"/>
    <s v="Sephora"/>
    <s v="|01/01/30|"/>
    <n v="612"/>
    <n v="4.01"/>
    <n v="5.16"/>
  </r>
  <r>
    <x v="0"/>
    <s v="Convenience stores"/>
    <x v="4"/>
    <s v="Sephora"/>
    <s v="|01/01/31|"/>
    <n v="252"/>
    <n v="4.26"/>
    <n v="5.12"/>
  </r>
  <r>
    <x v="0"/>
    <s v="Convenience stores"/>
    <x v="4"/>
    <s v="Sephora"/>
    <s v="|01/01/32|"/>
    <n v="552"/>
    <n v="4.4800000000000004"/>
    <n v="5.1100000000000003"/>
  </r>
  <r>
    <x v="0"/>
    <s v="Convenience stores"/>
    <x v="4"/>
    <s v="Sephora"/>
    <s v="|01/01/33|"/>
    <n v="444"/>
    <n v="4.45"/>
    <n v="5.39"/>
  </r>
  <r>
    <x v="0"/>
    <s v="Convenience stores"/>
    <x v="4"/>
    <s v="Sephora"/>
    <s v="|01/01/34|"/>
    <n v="252"/>
    <n v="4.07"/>
    <n v="5.0999999999999996"/>
  </r>
  <r>
    <x v="0"/>
    <s v="Convenience stores"/>
    <x v="4"/>
    <s v="Sephora"/>
    <s v="|01/01/35|"/>
    <n v="420"/>
    <n v="4.84"/>
    <n v="5.36"/>
  </r>
  <r>
    <x v="0"/>
    <s v="Convenience stores"/>
    <x v="4"/>
    <s v="Sephora"/>
    <s v="|01/01/36|"/>
    <n v="444"/>
    <n v="4.07"/>
    <n v="5.0199999999999996"/>
  </r>
  <r>
    <x v="0"/>
    <s v="Convenience stores"/>
    <x v="4"/>
    <s v="Sephora"/>
    <s v="|01/01/37|"/>
    <n v="480"/>
    <n v="4.41"/>
    <n v="5.2"/>
  </r>
  <r>
    <x v="0"/>
    <s v="Convenience stores"/>
    <x v="4"/>
    <s v="Sephora"/>
    <s v="|01/01/38|"/>
    <n v="300"/>
    <n v="4.2699999999999996"/>
    <n v="5.01"/>
  </r>
  <r>
    <x v="0"/>
    <s v="Convenience stores"/>
    <x v="4"/>
    <s v="Sephora"/>
    <s v="|01/01/39|"/>
    <n v="348"/>
    <n v="4.54"/>
    <n v="5.27"/>
  </r>
  <r>
    <x v="0"/>
    <s v="Convenience stores"/>
    <x v="4"/>
    <s v="Sephora"/>
    <s v="|01/01/40|"/>
    <n v="624"/>
    <n v="4.45"/>
    <n v="5.28"/>
  </r>
  <r>
    <x v="0"/>
    <s v="Convenience stores"/>
    <x v="4"/>
    <s v="Sephora"/>
    <s v="|01/01/41|"/>
    <n v="576"/>
    <n v="4.12"/>
    <n v="5.14"/>
  </r>
  <r>
    <x v="0"/>
    <s v="Convenience stores"/>
    <x v="4"/>
    <s v="Sephora"/>
    <s v="|01/01/42|"/>
    <n v="660"/>
    <n v="4.47"/>
    <n v="5.34"/>
  </r>
  <r>
    <x v="0"/>
    <s v="Convenience stores"/>
    <x v="2"/>
    <s v="Jacobs"/>
    <s v="|11/01/01|"/>
    <n v="7188"/>
    <n v="1.08"/>
    <n v="1.04"/>
  </r>
  <r>
    <x v="0"/>
    <s v="Convenience stores"/>
    <x v="2"/>
    <s v="Jacobs"/>
    <s v="|11/02/01|"/>
    <n v="8016"/>
    <n v="0.65"/>
    <n v="1.1100000000000001"/>
  </r>
  <r>
    <x v="0"/>
    <s v="Convenience stores"/>
    <x v="5"/>
    <s v="Sapori di Siena"/>
    <s v="|76/01/01|"/>
    <n v="1212"/>
    <n v="1.42"/>
    <n v="1.86"/>
  </r>
  <r>
    <x v="0"/>
    <s v="Convenience stores"/>
    <x v="5"/>
    <s v="Sapori di Siena"/>
    <s v="|76/01/02|"/>
    <n v="1176"/>
    <n v="1.31"/>
    <n v="1.77"/>
  </r>
  <r>
    <x v="0"/>
    <s v="Convenience stores"/>
    <x v="5"/>
    <s v="Sapori di Siena"/>
    <s v="|76/01/03|"/>
    <n v="1068"/>
    <n v="1.42"/>
    <n v="1.74"/>
  </r>
  <r>
    <x v="0"/>
    <s v="Convenience stores"/>
    <x v="5"/>
    <s v="Sapori di Siena"/>
    <s v="|76/01/04|"/>
    <n v="648"/>
    <n v="1.4"/>
    <n v="1.62"/>
  </r>
  <r>
    <x v="0"/>
    <s v="Convenience stores"/>
    <x v="5"/>
    <s v="Sapori di Siena"/>
    <s v="|76/01/05a|"/>
    <n v="852"/>
    <n v="1.32"/>
    <n v="1.84"/>
  </r>
  <r>
    <x v="0"/>
    <s v="Convenience stores"/>
    <x v="5"/>
    <s v="Sapori di Siena"/>
    <s v="|76/01/06a|"/>
    <n v="720"/>
    <n v="1.34"/>
    <n v="1.86"/>
  </r>
  <r>
    <x v="0"/>
    <s v="Convenience stores"/>
    <x v="3"/>
    <s v="TIP"/>
    <s v="|26/01/04|"/>
    <n v="156"/>
    <n v="1.1100000000000001"/>
    <n v="1.27"/>
  </r>
  <r>
    <x v="0"/>
    <s v="Supermarkets"/>
    <x v="15"/>
    <s v="Monzuro"/>
    <s v="|102/01/01|"/>
    <n v="1320"/>
    <n v="0.68"/>
    <n v="1.1499999999999999"/>
  </r>
  <r>
    <x v="0"/>
    <s v="Supermarkets"/>
    <x v="15"/>
    <s v="Monzuro"/>
    <s v="|102/01/02|"/>
    <n v="1272"/>
    <n v="0.9"/>
    <n v="1.1200000000000001"/>
  </r>
  <r>
    <x v="0"/>
    <s v="Supermarkets"/>
    <x v="15"/>
    <s v="Monzuro"/>
    <s v="|102/01/03|"/>
    <n v="1620"/>
    <n v="0.66"/>
    <n v="1.19"/>
  </r>
  <r>
    <x v="0"/>
    <s v="Supermarkets"/>
    <x v="15"/>
    <s v="Monzuro"/>
    <s v="|102/01/04|"/>
    <n v="1368"/>
    <n v="0.85"/>
    <n v="1.01"/>
  </r>
  <r>
    <x v="0"/>
    <s v="Supermarkets"/>
    <x v="15"/>
    <s v="Monzuro"/>
    <s v="|102/01/05|"/>
    <n v="1368"/>
    <n v="0.79"/>
    <n v="1.17"/>
  </r>
  <r>
    <x v="0"/>
    <s v="Supermarkets"/>
    <x v="15"/>
    <s v="Monzuro"/>
    <s v="|102/01/06|"/>
    <n v="1368"/>
    <n v="0.8"/>
    <n v="1.05"/>
  </r>
  <r>
    <x v="0"/>
    <s v="Supermarkets"/>
    <x v="15"/>
    <s v="Monzuro"/>
    <s v="|102/01/07|"/>
    <n v="1356"/>
    <n v="0.9"/>
    <n v="0.93"/>
  </r>
  <r>
    <x v="0"/>
    <s v="Supermarkets"/>
    <x v="15"/>
    <s v="Monzuro"/>
    <s v="|102/01/08|"/>
    <n v="1416"/>
    <n v="0.83"/>
    <n v="1.2"/>
  </r>
  <r>
    <x v="1"/>
    <s v="Convenience stores"/>
    <x v="1"/>
    <s v="San Benedetto"/>
    <s v="|13/12/38|"/>
    <n v="636"/>
    <n v="6.206666666666667"/>
    <n v="7.5533333333333337"/>
  </r>
  <r>
    <x v="1"/>
    <s v="Convenience stores"/>
    <x v="1"/>
    <s v="San Benedetto"/>
    <s v="|13/13/98|"/>
    <n v="588"/>
    <n v="5.5933333333333337"/>
    <n v="7.9466666666666663"/>
  </r>
  <r>
    <x v="1"/>
    <s v="Convenience stores"/>
    <x v="1"/>
    <s v="San Benedetto"/>
    <s v="|13/13/99|"/>
    <n v="420"/>
    <n v="6.5266666666666664"/>
    <n v="7.5533333333333337"/>
  </r>
  <r>
    <x v="1"/>
    <s v="Convenience stores"/>
    <x v="2"/>
    <s v="San Benedetto"/>
    <s v="|13/01/01|"/>
    <n v="8304"/>
    <n v="0.7"/>
    <n v="1.05"/>
  </r>
  <r>
    <x v="1"/>
    <s v="Convenience stores"/>
    <x v="2"/>
    <s v="San Benedetto"/>
    <s v="|13/01/01a|"/>
    <n v="6732"/>
    <n v="0.52"/>
    <n v="1.19"/>
  </r>
  <r>
    <x v="1"/>
    <s v="Convenience stores"/>
    <x v="2"/>
    <s v="San Benedetto"/>
    <s v="|13/01/02|"/>
    <n v="9504"/>
    <n v="1.03"/>
    <n v="0.94"/>
  </r>
  <r>
    <x v="1"/>
    <s v="Convenience stores"/>
    <x v="2"/>
    <s v="San Benedetto"/>
    <s v="|13/01/03|"/>
    <n v="5496"/>
    <n v="1.1000000000000001"/>
    <n v="1.05"/>
  </r>
  <r>
    <x v="1"/>
    <s v="Convenience stores"/>
    <x v="2"/>
    <s v="San Benedetto"/>
    <s v="|13/01/04|"/>
    <n v="8916"/>
    <n v="0.74"/>
    <n v="0.91"/>
  </r>
  <r>
    <x v="1"/>
    <s v="Convenience stores"/>
    <x v="2"/>
    <s v="San Benedetto"/>
    <s v="|13/01/05|"/>
    <n v="7260"/>
    <n v="0.73"/>
    <n v="1.05"/>
  </r>
  <r>
    <x v="1"/>
    <s v="Convenience stores"/>
    <x v="2"/>
    <s v="San Benedetto"/>
    <s v="|13/01/06|"/>
    <n v="8604"/>
    <n v="0.46"/>
    <n v="1.0900000000000001"/>
  </r>
  <r>
    <x v="1"/>
    <s v="Convenience stores"/>
    <x v="2"/>
    <s v="San Benedetto"/>
    <s v="|13/01/07|"/>
    <n v="5964"/>
    <n v="0.55000000000000004"/>
    <n v="1.1499999999999999"/>
  </r>
  <r>
    <x v="1"/>
    <s v="Convenience stores"/>
    <x v="2"/>
    <s v="San Benedetto"/>
    <s v="|13/01/30|"/>
    <n v="8340"/>
    <n v="0.79"/>
    <n v="1.1200000000000001"/>
  </r>
  <r>
    <x v="1"/>
    <s v="Convenience stores"/>
    <x v="2"/>
    <s v="San Benedetto"/>
    <s v="|13/11/01|"/>
    <n v="7956"/>
    <n v="0.82"/>
    <n v="1.1200000000000001"/>
  </r>
  <r>
    <x v="1"/>
    <s v="Convenience stores"/>
    <x v="2"/>
    <s v="San Benedetto"/>
    <s v="|13/11/01a|"/>
    <n v="8256"/>
    <n v="0.83"/>
    <n v="1.1200000000000001"/>
  </r>
  <r>
    <x v="1"/>
    <s v="Convenience stores"/>
    <x v="2"/>
    <s v="San Benedetto"/>
    <s v="|13/11/02|"/>
    <n v="8484"/>
    <n v="0.92"/>
    <n v="0.96"/>
  </r>
  <r>
    <x v="1"/>
    <s v="Convenience stores"/>
    <x v="2"/>
    <s v="San Benedetto"/>
    <s v="|13/11/03|"/>
    <n v="8064"/>
    <n v="1.1299999999999999"/>
    <n v="0.97"/>
  </r>
  <r>
    <x v="1"/>
    <s v="Convenience stores"/>
    <x v="2"/>
    <s v="San Benedetto"/>
    <s v="|13/11/04|"/>
    <n v="5556"/>
    <n v="1.2"/>
    <n v="0.98"/>
  </r>
  <r>
    <x v="1"/>
    <s v="Convenience stores"/>
    <x v="2"/>
    <s v="San Benedetto"/>
    <s v="|13/12/01|"/>
    <n v="5208"/>
    <n v="0.88"/>
    <n v="1.04"/>
  </r>
  <r>
    <x v="1"/>
    <s v="Convenience stores"/>
    <x v="2"/>
    <s v="San Benedetto"/>
    <s v="|13/12/02|"/>
    <n v="6552"/>
    <n v="0.65"/>
    <n v="1.18"/>
  </r>
  <r>
    <x v="1"/>
    <s v="Convenience stores"/>
    <x v="2"/>
    <s v="San Benedetto"/>
    <s v="|13/12/03|"/>
    <n v="8760"/>
    <n v="0.7"/>
    <n v="0.97"/>
  </r>
  <r>
    <x v="1"/>
    <s v="Convenience stores"/>
    <x v="2"/>
    <s v="San Benedetto"/>
    <s v="|13/12/04|"/>
    <n v="5748"/>
    <n v="1.07"/>
    <n v="1.1200000000000001"/>
  </r>
  <r>
    <x v="1"/>
    <s v="Convenience stores"/>
    <x v="2"/>
    <s v="San Benedetto"/>
    <s v="|13/12/05|"/>
    <n v="7860"/>
    <n v="1.1399999999999999"/>
    <n v="1.0900000000000001"/>
  </r>
  <r>
    <x v="1"/>
    <s v="Convenience stores"/>
    <x v="2"/>
    <s v="San Benedetto"/>
    <s v="|13/12/06|"/>
    <n v="7248"/>
    <n v="0.52"/>
    <n v="1.18"/>
  </r>
  <r>
    <x v="1"/>
    <s v="Convenience stores"/>
    <x v="2"/>
    <s v="San Benedetto"/>
    <s v="|13/12/07|"/>
    <n v="7272"/>
    <n v="0.97"/>
    <n v="0.92"/>
  </r>
  <r>
    <x v="1"/>
    <s v="Convenience stores"/>
    <x v="2"/>
    <s v="San Benedetto"/>
    <s v="|13/12/08|"/>
    <n v="9396"/>
    <n v="0.92"/>
    <n v="0.92"/>
  </r>
  <r>
    <x v="1"/>
    <s v="Convenience stores"/>
    <x v="2"/>
    <s v="San Benedetto"/>
    <s v="|13/12/09|"/>
    <n v="7776"/>
    <n v="0.97"/>
    <n v="0.91"/>
  </r>
  <r>
    <x v="1"/>
    <s v="Convenience stores"/>
    <x v="2"/>
    <s v="San Benedetto"/>
    <s v="|13/12/10|"/>
    <n v="8184"/>
    <n v="1.2"/>
    <n v="1.17"/>
  </r>
  <r>
    <x v="1"/>
    <s v="Convenience stores"/>
    <x v="2"/>
    <s v="San Benedetto"/>
    <s v="|13/12/11|"/>
    <n v="6900"/>
    <n v="0.41"/>
    <n v="1.1299999999999999"/>
  </r>
  <r>
    <x v="1"/>
    <s v="Convenience stores"/>
    <x v="2"/>
    <s v="San Benedetto"/>
    <s v="|13/12/12|"/>
    <n v="7752"/>
    <n v="0.45"/>
    <n v="1.0900000000000001"/>
  </r>
  <r>
    <x v="1"/>
    <s v="Convenience stores"/>
    <x v="2"/>
    <s v="San Benedetto"/>
    <s v="|13/12/13|"/>
    <n v="6864"/>
    <n v="1.04"/>
    <n v="1.1599999999999999"/>
  </r>
  <r>
    <x v="1"/>
    <s v="Convenience stores"/>
    <x v="2"/>
    <s v="San Benedetto"/>
    <s v="|13/12/14|"/>
    <n v="9012"/>
    <n v="0.95"/>
    <n v="0.98"/>
  </r>
  <r>
    <x v="1"/>
    <s v="Convenience stores"/>
    <x v="2"/>
    <s v="San Benedetto"/>
    <s v="|13/12/15|"/>
    <n v="8328"/>
    <n v="0.94"/>
    <n v="1.03"/>
  </r>
  <r>
    <x v="1"/>
    <s v="Convenience stores"/>
    <x v="2"/>
    <s v="San Benedetto"/>
    <s v="|13/12/16|"/>
    <n v="6816"/>
    <n v="0.99"/>
    <n v="0.97"/>
  </r>
  <r>
    <x v="1"/>
    <s v="Convenience stores"/>
    <x v="2"/>
    <s v="San Benedetto"/>
    <s v="|13/12/17|"/>
    <n v="8688"/>
    <n v="0.66"/>
    <n v="1.1100000000000001"/>
  </r>
  <r>
    <x v="1"/>
    <s v="Convenience stores"/>
    <x v="2"/>
    <s v="San Benedetto"/>
    <s v="|13/12/18|"/>
    <n v="8928"/>
    <n v="0.4"/>
    <n v="0.94"/>
  </r>
  <r>
    <x v="1"/>
    <s v="Convenience stores"/>
    <x v="2"/>
    <s v="San Benedetto"/>
    <s v="|13/12/19|"/>
    <n v="8736"/>
    <n v="0.54"/>
    <n v="1.1399999999999999"/>
  </r>
  <r>
    <x v="1"/>
    <s v="Convenience stores"/>
    <x v="2"/>
    <s v="San Benedetto"/>
    <s v="|13/12/20|"/>
    <n v="7488"/>
    <n v="0.96"/>
    <n v="1.18"/>
  </r>
  <r>
    <x v="1"/>
    <s v="Convenience stores"/>
    <x v="2"/>
    <s v="San Benedetto"/>
    <s v="|13/12/21|"/>
    <n v="8484"/>
    <n v="0.68"/>
    <n v="0.95"/>
  </r>
  <r>
    <x v="1"/>
    <s v="Convenience stores"/>
    <x v="2"/>
    <s v="San Benedetto"/>
    <s v="|13/12/22|"/>
    <n v="5892"/>
    <n v="0.72"/>
    <n v="1.07"/>
  </r>
  <r>
    <x v="1"/>
    <s v="Convenience stores"/>
    <x v="2"/>
    <s v="San Benedetto"/>
    <s v="|13/12/23|"/>
    <n v="5352"/>
    <n v="0.92"/>
    <n v="1.0900000000000001"/>
  </r>
  <r>
    <x v="1"/>
    <s v="Convenience stores"/>
    <x v="2"/>
    <s v="San Benedetto"/>
    <s v="|13/12/24|"/>
    <n v="7536"/>
    <n v="0.85"/>
    <n v="1.08"/>
  </r>
  <r>
    <x v="1"/>
    <s v="Convenience stores"/>
    <x v="2"/>
    <s v="San Benedetto"/>
    <s v="|13/12/25|"/>
    <n v="5424"/>
    <n v="0.68"/>
    <n v="1.1399999999999999"/>
  </r>
  <r>
    <x v="1"/>
    <s v="Convenience stores"/>
    <x v="2"/>
    <s v="San Benedetto"/>
    <s v="|13/12/26|"/>
    <n v="9324"/>
    <n v="0.54"/>
    <n v="1.01"/>
  </r>
  <r>
    <x v="1"/>
    <s v="Convenience stores"/>
    <x v="2"/>
    <s v="San Benedetto"/>
    <s v="|13/12/27|"/>
    <n v="7116"/>
    <n v="0.68"/>
    <n v="1.1100000000000001"/>
  </r>
  <r>
    <x v="1"/>
    <s v="Convenience stores"/>
    <x v="2"/>
    <s v="San Benedetto"/>
    <s v="|13/12/28|"/>
    <n v="7032"/>
    <n v="0.42"/>
    <n v="1.1399999999999999"/>
  </r>
  <r>
    <x v="1"/>
    <s v="Convenience stores"/>
    <x v="2"/>
    <s v="San Benedetto"/>
    <s v="|13/12/29|"/>
    <n v="6936"/>
    <n v="1.17"/>
    <n v="1.1100000000000001"/>
  </r>
  <r>
    <x v="1"/>
    <s v="Convenience stores"/>
    <x v="2"/>
    <s v="San Benedetto"/>
    <s v="|13/12/30|"/>
    <n v="5364"/>
    <n v="1.1100000000000001"/>
    <n v="1.05"/>
  </r>
  <r>
    <x v="1"/>
    <s v="Convenience stores"/>
    <x v="2"/>
    <s v="San Benedetto"/>
    <s v="|13/12/31|"/>
    <n v="7464"/>
    <n v="0.51"/>
    <n v="1.06"/>
  </r>
  <r>
    <x v="1"/>
    <s v="Convenience stores"/>
    <x v="2"/>
    <s v="San Benedetto"/>
    <s v="|13/12/32|"/>
    <n v="8376"/>
    <n v="0.63"/>
    <n v="1.01"/>
  </r>
  <r>
    <x v="1"/>
    <s v="Convenience stores"/>
    <x v="2"/>
    <s v="San Benedetto"/>
    <s v="|13/12/33|"/>
    <n v="8712"/>
    <n v="0.86"/>
    <n v="1.1399999999999999"/>
  </r>
  <r>
    <x v="1"/>
    <s v="Convenience stores"/>
    <x v="2"/>
    <s v="San Benedetto"/>
    <s v="|13/12/34|"/>
    <n v="6648"/>
    <n v="1.04"/>
    <n v="1.1000000000000001"/>
  </r>
  <r>
    <x v="1"/>
    <s v="Convenience stores"/>
    <x v="2"/>
    <s v="San Benedetto"/>
    <s v="|13/12/35|"/>
    <n v="8304"/>
    <n v="1"/>
    <n v="0.96"/>
  </r>
  <r>
    <x v="1"/>
    <s v="Convenience stores"/>
    <x v="2"/>
    <s v="San Benedetto"/>
    <s v="|13/12/36|"/>
    <n v="8760"/>
    <n v="0.79"/>
    <n v="1.17"/>
  </r>
  <r>
    <x v="1"/>
    <s v="Convenience stores"/>
    <x v="2"/>
    <s v="San Benedetto"/>
    <s v="|13/12/37|"/>
    <n v="6864"/>
    <n v="0.62"/>
    <n v="1.0900000000000001"/>
  </r>
  <r>
    <x v="1"/>
    <s v="Convenience stores"/>
    <x v="2"/>
    <s v="San Benedetto"/>
    <s v="|13/12/39|"/>
    <n v="8736"/>
    <n v="0.57999999999999996"/>
    <n v="1.19"/>
  </r>
  <r>
    <x v="1"/>
    <s v="Convenience stores"/>
    <x v="2"/>
    <s v="San Benedetto"/>
    <s v="|13/12/40|"/>
    <n v="8736"/>
    <n v="0.75"/>
    <n v="0.91"/>
  </r>
  <r>
    <x v="1"/>
    <s v="Convenience stores"/>
    <x v="2"/>
    <s v="San Benedetto"/>
    <s v="|13/12/41|"/>
    <n v="7596"/>
    <n v="1.2"/>
    <n v="1.19"/>
  </r>
  <r>
    <x v="1"/>
    <s v="Convenience stores"/>
    <x v="2"/>
    <s v="San Benedetto"/>
    <s v="|13/12/42|"/>
    <n v="5904"/>
    <n v="0.41"/>
    <n v="1.1399999999999999"/>
  </r>
  <r>
    <x v="1"/>
    <s v="Convenience stores"/>
    <x v="2"/>
    <s v="San Benedetto"/>
    <s v="|13/12/43|"/>
    <n v="5844"/>
    <n v="0.94"/>
    <n v="1.1100000000000001"/>
  </r>
  <r>
    <x v="1"/>
    <s v="Convenience stores"/>
    <x v="2"/>
    <s v="San Benedetto"/>
    <s v="|13/12/44|"/>
    <n v="8952"/>
    <n v="0.56999999999999995"/>
    <n v="0.94"/>
  </r>
  <r>
    <x v="1"/>
    <s v="Convenience stores"/>
    <x v="2"/>
    <s v="San Benedetto"/>
    <s v="|13/12/45|"/>
    <n v="7728"/>
    <n v="1.2"/>
    <n v="1.1200000000000001"/>
  </r>
  <r>
    <x v="1"/>
    <s v="Convenience stores"/>
    <x v="2"/>
    <s v="San Benedetto"/>
    <s v="|13/12/46|"/>
    <n v="8316"/>
    <n v="0.5"/>
    <n v="1.04"/>
  </r>
  <r>
    <x v="1"/>
    <s v="Convenience stores"/>
    <x v="2"/>
    <s v="San Benedetto"/>
    <s v="|13/12/47|"/>
    <n v="7920"/>
    <n v="1.1000000000000001"/>
    <n v="0.92"/>
  </r>
  <r>
    <x v="1"/>
    <s v="Convenience stores"/>
    <x v="2"/>
    <s v="San Benedetto"/>
    <s v="|13/12/48|"/>
    <n v="7308"/>
    <n v="0.48"/>
    <n v="0.99"/>
  </r>
  <r>
    <x v="1"/>
    <s v="Convenience stores"/>
    <x v="2"/>
    <s v="San Benedetto"/>
    <s v="|13/12/49|"/>
    <n v="8592"/>
    <n v="0.93"/>
    <n v="1.1599999999999999"/>
  </r>
  <r>
    <x v="1"/>
    <s v="Convenience stores"/>
    <x v="2"/>
    <s v="San Benedetto"/>
    <s v="|13/12/51|"/>
    <n v="5724"/>
    <n v="0.53"/>
    <n v="1.03"/>
  </r>
  <r>
    <x v="1"/>
    <s v="Convenience stores"/>
    <x v="2"/>
    <s v="San Benedetto"/>
    <s v="|13/12/52|"/>
    <n v="6384"/>
    <n v="0.62"/>
    <n v="1.1599999999999999"/>
  </r>
  <r>
    <x v="1"/>
    <s v="Convenience stores"/>
    <x v="2"/>
    <s v="San Benedetto"/>
    <s v="|13/12/53|"/>
    <n v="6156"/>
    <n v="0.59"/>
    <n v="1.17"/>
  </r>
  <r>
    <x v="1"/>
    <s v="Convenience stores"/>
    <x v="2"/>
    <s v="San Benedetto"/>
    <s v="|13/12/54|"/>
    <n v="8568"/>
    <n v="1.02"/>
    <n v="0.93"/>
  </r>
  <r>
    <x v="1"/>
    <s v="Convenience stores"/>
    <x v="2"/>
    <s v="San Benedetto"/>
    <s v="|13/12/55|"/>
    <n v="6336"/>
    <n v="0.94"/>
    <n v="1.04"/>
  </r>
  <r>
    <x v="1"/>
    <s v="Convenience stores"/>
    <x v="2"/>
    <s v="San Benedetto"/>
    <s v="|13/12/56|"/>
    <n v="4992"/>
    <n v="0.51"/>
    <n v="1.1100000000000001"/>
  </r>
  <r>
    <x v="1"/>
    <s v="Convenience stores"/>
    <x v="2"/>
    <s v="San Benedetto"/>
    <s v="|13/12/57|"/>
    <n v="5436"/>
    <n v="0.9"/>
    <n v="0.96"/>
  </r>
  <r>
    <x v="1"/>
    <s v="Convenience stores"/>
    <x v="2"/>
    <s v="San Benedetto"/>
    <s v="|13/12/58|"/>
    <n v="8088"/>
    <n v="1.01"/>
    <n v="1.04"/>
  </r>
  <r>
    <x v="1"/>
    <s v="Convenience stores"/>
    <x v="2"/>
    <s v="San Benedetto"/>
    <s v="|13/12/59|"/>
    <n v="5064"/>
    <n v="0.47"/>
    <n v="1.1599999999999999"/>
  </r>
  <r>
    <x v="1"/>
    <s v="Convenience stores"/>
    <x v="2"/>
    <s v="San Benedetto"/>
    <s v="|13/12/60|"/>
    <n v="9588"/>
    <n v="1.17"/>
    <n v="1.06"/>
  </r>
  <r>
    <x v="1"/>
    <s v="Convenience stores"/>
    <x v="2"/>
    <s v="San Benedetto"/>
    <s v="|13/12/61|"/>
    <n v="5628"/>
    <n v="0.88"/>
    <n v="1.1100000000000001"/>
  </r>
  <r>
    <x v="1"/>
    <s v="Convenience stores"/>
    <x v="2"/>
    <s v="San Benedetto"/>
    <s v="|13/12/62|"/>
    <n v="6804"/>
    <n v="0.46"/>
    <n v="1.04"/>
  </r>
  <r>
    <x v="1"/>
    <s v="Convenience stores"/>
    <x v="2"/>
    <s v="San Benedetto"/>
    <s v="|13/12/63|"/>
    <n v="9120"/>
    <n v="0.87"/>
    <n v="1.03"/>
  </r>
  <r>
    <x v="1"/>
    <s v="Convenience stores"/>
    <x v="2"/>
    <s v="San Benedetto"/>
    <s v="|13/12/64|"/>
    <n v="6840"/>
    <n v="0.82"/>
    <n v="0.92"/>
  </r>
  <r>
    <x v="1"/>
    <s v="Convenience stores"/>
    <x v="2"/>
    <s v="San Benedetto"/>
    <s v="|13/12/65|"/>
    <n v="5232"/>
    <n v="1.0900000000000001"/>
    <n v="1"/>
  </r>
  <r>
    <x v="1"/>
    <s v="Convenience stores"/>
    <x v="2"/>
    <s v="San Benedetto"/>
    <s v="|13/12/66|"/>
    <n v="6312"/>
    <n v="0.85"/>
    <n v="1.1100000000000001"/>
  </r>
  <r>
    <x v="1"/>
    <s v="Convenience stores"/>
    <x v="2"/>
    <s v="San Benedetto"/>
    <s v="|13/12/67|"/>
    <n v="8280"/>
    <n v="0.42"/>
    <n v="1"/>
  </r>
  <r>
    <x v="1"/>
    <s v="Convenience stores"/>
    <x v="2"/>
    <s v="San Benedetto"/>
    <s v="|13/12/68|"/>
    <n v="6540"/>
    <n v="0.6"/>
    <n v="1.1399999999999999"/>
  </r>
  <r>
    <x v="1"/>
    <s v="Convenience stores"/>
    <x v="2"/>
    <s v="San Benedetto"/>
    <s v="|13/12/69|"/>
    <n v="6660"/>
    <n v="1.08"/>
    <n v="1.1299999999999999"/>
  </r>
  <r>
    <x v="1"/>
    <s v="Convenience stores"/>
    <x v="2"/>
    <s v="San Benedetto"/>
    <s v="|13/12/70|"/>
    <n v="7620"/>
    <n v="0.95"/>
    <n v="0.92"/>
  </r>
  <r>
    <x v="1"/>
    <s v="Convenience stores"/>
    <x v="2"/>
    <s v="San Benedetto"/>
    <s v="|13/12/71|"/>
    <n v="7020"/>
    <n v="0.55000000000000004"/>
    <n v="1.17"/>
  </r>
  <r>
    <x v="1"/>
    <s v="Convenience stores"/>
    <x v="2"/>
    <s v="San Benedetto"/>
    <s v="|13/12/72|"/>
    <n v="5700"/>
    <n v="0.65"/>
    <n v="0.98"/>
  </r>
  <r>
    <x v="1"/>
    <s v="Convenience stores"/>
    <x v="2"/>
    <s v="San Benedetto"/>
    <s v="|13/12/73|"/>
    <n v="9204"/>
    <n v="0.64"/>
    <n v="1.1499999999999999"/>
  </r>
  <r>
    <x v="1"/>
    <s v="Convenience stores"/>
    <x v="2"/>
    <s v="San Benedetto"/>
    <s v="|13/12/74|"/>
    <n v="6108"/>
    <n v="0.65"/>
    <n v="1.04"/>
  </r>
  <r>
    <x v="1"/>
    <s v="Convenience stores"/>
    <x v="2"/>
    <s v="San Benedetto"/>
    <s v="|13/12/75|"/>
    <n v="7764"/>
    <n v="0.74"/>
    <n v="0.92"/>
  </r>
  <r>
    <x v="1"/>
    <s v="Convenience stores"/>
    <x v="2"/>
    <s v="San Benedetto"/>
    <s v="|13/12/76|"/>
    <n v="8508"/>
    <n v="0.9"/>
    <n v="1.1000000000000001"/>
  </r>
  <r>
    <x v="1"/>
    <s v="Convenience stores"/>
    <x v="2"/>
    <s v="San Benedetto"/>
    <s v="|13/12/77|"/>
    <n v="9096"/>
    <n v="0.96"/>
    <n v="1.03"/>
  </r>
  <r>
    <x v="1"/>
    <s v="Convenience stores"/>
    <x v="2"/>
    <s v="San Benedetto"/>
    <s v="|13/12/78|"/>
    <n v="6096"/>
    <n v="0.62"/>
    <n v="0.9"/>
  </r>
  <r>
    <x v="1"/>
    <s v="Convenience stores"/>
    <x v="2"/>
    <s v="San Benedetto"/>
    <s v="|13/12/79|"/>
    <n v="6492"/>
    <n v="0.61"/>
    <n v="1.17"/>
  </r>
  <r>
    <x v="1"/>
    <s v="Convenience stores"/>
    <x v="2"/>
    <s v="San Benedetto"/>
    <s v="|13/12/80|"/>
    <n v="6768"/>
    <n v="0.53"/>
    <n v="1.17"/>
  </r>
  <r>
    <x v="1"/>
    <s v="Convenience stores"/>
    <x v="2"/>
    <s v="San Benedetto"/>
    <s v="|13/12/81|"/>
    <n v="8952"/>
    <n v="1.06"/>
    <n v="1.19"/>
  </r>
  <r>
    <x v="1"/>
    <s v="Convenience stores"/>
    <x v="2"/>
    <s v="San Benedetto"/>
    <s v="|13/12/82|"/>
    <n v="6744"/>
    <n v="0.56999999999999995"/>
    <n v="1"/>
  </r>
  <r>
    <x v="1"/>
    <s v="Convenience stores"/>
    <x v="2"/>
    <s v="San Benedetto"/>
    <s v="|13/12/83|"/>
    <n v="8916"/>
    <n v="1.1499999999999999"/>
    <n v="1.1299999999999999"/>
  </r>
  <r>
    <x v="1"/>
    <s v="Convenience stores"/>
    <x v="2"/>
    <s v="San Benedetto"/>
    <s v="|13/12/84|"/>
    <n v="8088"/>
    <n v="0.5"/>
    <n v="1.17"/>
  </r>
  <r>
    <x v="1"/>
    <s v="Convenience stores"/>
    <x v="2"/>
    <s v="San Benedetto"/>
    <s v="|13/12/85|"/>
    <n v="5004"/>
    <n v="0.65"/>
    <n v="1.07"/>
  </r>
  <r>
    <x v="1"/>
    <s v="Convenience stores"/>
    <x v="2"/>
    <s v="San Benedetto"/>
    <s v="|13/12/86|"/>
    <n v="5724"/>
    <n v="0.55000000000000004"/>
    <n v="0.94"/>
  </r>
  <r>
    <x v="1"/>
    <s v="Convenience stores"/>
    <x v="2"/>
    <s v="San Benedetto"/>
    <s v="|13/12/88|"/>
    <n v="5940"/>
    <n v="0.69"/>
    <n v="1.08"/>
  </r>
  <r>
    <x v="1"/>
    <s v="Convenience stores"/>
    <x v="2"/>
    <s v="San Benedetto"/>
    <s v="|13/12/89|"/>
    <n v="4884"/>
    <n v="0.4"/>
    <n v="1.04"/>
  </r>
  <r>
    <x v="1"/>
    <s v="Convenience stores"/>
    <x v="2"/>
    <s v="San Benedetto"/>
    <s v="|13/12/90|"/>
    <n v="8436"/>
    <n v="1.1499999999999999"/>
    <n v="1.07"/>
  </r>
  <r>
    <x v="1"/>
    <s v="Convenience stores"/>
    <x v="2"/>
    <s v="San Benedetto"/>
    <s v="|13/12/91|"/>
    <n v="5208"/>
    <n v="0.86"/>
    <n v="1.01"/>
  </r>
  <r>
    <x v="1"/>
    <s v="Convenience stores"/>
    <x v="2"/>
    <s v="San Benedetto"/>
    <s v="|13/12/92|"/>
    <n v="6540"/>
    <n v="0.7"/>
    <n v="1.08"/>
  </r>
  <r>
    <x v="1"/>
    <s v="Convenience stores"/>
    <x v="2"/>
    <s v="San Benedetto"/>
    <s v="|13/12/93|"/>
    <n v="9252"/>
    <n v="1.1000000000000001"/>
    <n v="1.04"/>
  </r>
  <r>
    <x v="1"/>
    <s v="Convenience stores"/>
    <x v="2"/>
    <s v="San Benedetto"/>
    <s v="|13/12/94|"/>
    <n v="6024"/>
    <n v="1.1000000000000001"/>
    <n v="1.17"/>
  </r>
  <r>
    <x v="1"/>
    <s v="Convenience stores"/>
    <x v="2"/>
    <s v="San Benedetto"/>
    <s v="|13/12/95|"/>
    <n v="7740"/>
    <n v="1.06"/>
    <n v="1.17"/>
  </r>
  <r>
    <x v="1"/>
    <s v="Convenience stores"/>
    <x v="2"/>
    <s v="San Benedetto"/>
    <s v="|13/12/96|"/>
    <n v="8820"/>
    <n v="0.72"/>
    <n v="1.04"/>
  </r>
  <r>
    <x v="1"/>
    <s v="Convenience stores"/>
    <x v="2"/>
    <s v="San Benedetto"/>
    <s v="|13/12/97|"/>
    <n v="6288"/>
    <n v="0.48"/>
    <n v="1.01"/>
  </r>
  <r>
    <x v="1"/>
    <s v="Convenience stores"/>
    <x v="2"/>
    <s v="San Benedetto"/>
    <s v="|13/12/98|"/>
    <n v="6768"/>
    <n v="1.2"/>
    <n v="1.03"/>
  </r>
  <r>
    <x v="1"/>
    <s v="Convenience stores"/>
    <x v="2"/>
    <s v="San Benedetto"/>
    <s v="|13/12/99|"/>
    <n v="6948"/>
    <n v="0.86"/>
    <n v="1.18"/>
  </r>
  <r>
    <x v="1"/>
    <s v="Convenience stores"/>
    <x v="2"/>
    <s v="San Benedetto"/>
    <s v="|13/13/23|"/>
    <n v="5304"/>
    <n v="0.72"/>
    <n v="1.19"/>
  </r>
  <r>
    <x v="1"/>
    <s v="Convenience stores"/>
    <x v="2"/>
    <s v="San Benedetto"/>
    <s v="|13/13/25|"/>
    <n v="6288"/>
    <n v="0.55000000000000004"/>
    <n v="1"/>
  </r>
  <r>
    <x v="1"/>
    <s v="Convenience stores"/>
    <x v="2"/>
    <s v="San Benedetto"/>
    <s v="|13/13/26|"/>
    <n v="5916"/>
    <n v="0.7"/>
    <n v="1.01"/>
  </r>
  <r>
    <x v="1"/>
    <s v="Convenience stores"/>
    <x v="2"/>
    <s v="San Benedetto"/>
    <s v="|13/13/27|"/>
    <n v="7020"/>
    <n v="0.72"/>
    <n v="1.05"/>
  </r>
  <r>
    <x v="1"/>
    <s v="Convenience stores"/>
    <x v="2"/>
    <s v="San Benedetto"/>
    <s v="|13/13/28|"/>
    <n v="6444"/>
    <n v="1.18"/>
    <n v="1.02"/>
  </r>
  <r>
    <x v="1"/>
    <s v="Convenience stores"/>
    <x v="2"/>
    <s v="San Benedetto"/>
    <s v="|13/13/29|"/>
    <n v="5100"/>
    <n v="0.73"/>
    <n v="1.02"/>
  </r>
  <r>
    <x v="1"/>
    <s v="Convenience stores"/>
    <x v="2"/>
    <s v="San Benedetto"/>
    <s v="|13/13/30|"/>
    <n v="6324"/>
    <n v="0.51"/>
    <n v="1.17"/>
  </r>
  <r>
    <x v="1"/>
    <s v="Convenience stores"/>
    <x v="2"/>
    <s v="San Benedetto"/>
    <s v="|13/13/31|"/>
    <n v="8952"/>
    <n v="0.91"/>
    <n v="0.99"/>
  </r>
  <r>
    <x v="1"/>
    <s v="Convenience stores"/>
    <x v="2"/>
    <s v="San Benedetto"/>
    <s v="|13/13/32|"/>
    <n v="9252"/>
    <n v="0.65"/>
    <n v="1.17"/>
  </r>
  <r>
    <x v="1"/>
    <s v="Convenience stores"/>
    <x v="2"/>
    <s v="San Benedetto"/>
    <s v="|13/13/33|"/>
    <n v="8016"/>
    <n v="0.71"/>
    <n v="1.02"/>
  </r>
  <r>
    <x v="1"/>
    <s v="Convenience stores"/>
    <x v="2"/>
    <s v="San Benedetto"/>
    <s v="|13/13/34|"/>
    <n v="9036"/>
    <n v="0.82"/>
    <n v="0.96"/>
  </r>
  <r>
    <x v="1"/>
    <s v="Convenience stores"/>
    <x v="2"/>
    <s v="San Benedetto"/>
    <s v="|13/13/35|"/>
    <n v="6288"/>
    <n v="0.81"/>
    <n v="0.99"/>
  </r>
  <r>
    <x v="1"/>
    <s v="Convenience stores"/>
    <x v="2"/>
    <s v="San Benedetto"/>
    <s v="|13/13/36|"/>
    <n v="8808"/>
    <n v="1.1200000000000001"/>
    <n v="0.94"/>
  </r>
  <r>
    <x v="1"/>
    <s v="Convenience stores"/>
    <x v="2"/>
    <s v="San Benedetto"/>
    <s v="|13/13/37|"/>
    <n v="5532"/>
    <n v="0.68"/>
    <n v="1.06"/>
  </r>
  <r>
    <x v="1"/>
    <s v="Convenience stores"/>
    <x v="2"/>
    <s v="San Benedetto"/>
    <s v="|13/13/38|"/>
    <n v="6588"/>
    <n v="1.1299999999999999"/>
    <n v="1.18"/>
  </r>
  <r>
    <x v="1"/>
    <s v="Convenience stores"/>
    <x v="2"/>
    <s v="San Benedetto"/>
    <s v="|13/13/39|"/>
    <n v="5460"/>
    <n v="0.66"/>
    <n v="1.01"/>
  </r>
  <r>
    <x v="1"/>
    <s v="Convenience stores"/>
    <x v="2"/>
    <s v="San Benedetto"/>
    <s v="|13/13/40|"/>
    <n v="7812"/>
    <n v="0.49"/>
    <n v="0.91"/>
  </r>
  <r>
    <x v="1"/>
    <s v="Convenience stores"/>
    <x v="2"/>
    <s v="San Benedetto"/>
    <s v="|13/13/41|"/>
    <n v="4896"/>
    <n v="1.1100000000000001"/>
    <n v="1.01"/>
  </r>
  <r>
    <x v="1"/>
    <s v="Convenience stores"/>
    <x v="2"/>
    <s v="San Benedetto"/>
    <s v="|13/13/43|"/>
    <n v="6252"/>
    <n v="1.08"/>
    <n v="0.95"/>
  </r>
  <r>
    <x v="1"/>
    <s v="Convenience stores"/>
    <x v="2"/>
    <s v="San Benedetto"/>
    <s v="|13/99/01|"/>
    <n v="8136"/>
    <n v="0.6"/>
    <n v="0.99"/>
  </r>
  <r>
    <x v="1"/>
    <s v="Convenience stores"/>
    <x v="2"/>
    <s v="San Benedetto"/>
    <s v="|13/99/02|"/>
    <n v="5988"/>
    <n v="0.89"/>
    <n v="1.05"/>
  </r>
  <r>
    <x v="1"/>
    <s v="Convenience stores"/>
    <x v="2"/>
    <s v="San Benedetto"/>
    <s v="|13/99/03|"/>
    <n v="5280"/>
    <n v="1.19"/>
    <n v="1.03"/>
  </r>
  <r>
    <x v="1"/>
    <s v="Convenience stores"/>
    <x v="2"/>
    <s v="San Benedetto"/>
    <s v="|13/99/04|"/>
    <n v="7020"/>
    <n v="0.59"/>
    <n v="1.01"/>
  </r>
  <r>
    <x v="1"/>
    <s v="Convenience stores"/>
    <x v="2"/>
    <s v="San Benedetto"/>
    <s v="|13/99/05|"/>
    <n v="5640"/>
    <n v="0.81"/>
    <n v="0.96"/>
  </r>
  <r>
    <x v="1"/>
    <s v="Convenience stores"/>
    <x v="2"/>
    <s v="San Benedetto"/>
    <s v="|13/99/06|"/>
    <n v="5544"/>
    <n v="0.47"/>
    <n v="0.93"/>
  </r>
  <r>
    <x v="1"/>
    <s v="Convenience stores"/>
    <x v="2"/>
    <s v="San Benedetto"/>
    <s v="|13/99/07|"/>
    <n v="5052"/>
    <n v="0.61"/>
    <n v="0.98"/>
  </r>
  <r>
    <x v="1"/>
    <s v="Convenience stores"/>
    <x v="2"/>
    <s v="San Benedetto"/>
    <s v="|13/99/08|"/>
    <n v="7884"/>
    <n v="0.93"/>
    <n v="0.96"/>
  </r>
  <r>
    <x v="1"/>
    <s v="Convenience stores"/>
    <x v="2"/>
    <s v="San Benedetto"/>
    <s v="|13/99/09|"/>
    <n v="7992"/>
    <n v="1.2"/>
    <n v="1.07"/>
  </r>
  <r>
    <x v="1"/>
    <s v="Convenience stores"/>
    <x v="2"/>
    <s v="San Benedetto"/>
    <s v="|13/99/10|"/>
    <n v="4896"/>
    <n v="0.9"/>
    <n v="0.9"/>
  </r>
  <r>
    <x v="1"/>
    <s v="Convenience stores"/>
    <x v="2"/>
    <s v="San Benedetto"/>
    <s v="|13/99/11|"/>
    <n v="5292"/>
    <n v="0.43"/>
    <n v="1.06"/>
  </r>
  <r>
    <x v="1"/>
    <s v="Convenience stores"/>
    <x v="2"/>
    <s v="San Benedetto"/>
    <s v="|13/99/14|"/>
    <n v="9300"/>
    <n v="1.1100000000000001"/>
    <n v="0.95"/>
  </r>
  <r>
    <x v="1"/>
    <s v="Convenience stores"/>
    <x v="2"/>
    <s v="San Benedetto"/>
    <s v="|13/99/15|"/>
    <n v="7296"/>
    <n v="1.17"/>
    <n v="0.93"/>
  </r>
  <r>
    <x v="1"/>
    <s v="Convenience stores"/>
    <x v="2"/>
    <s v="San Benedetto"/>
    <s v="|13/99/16|"/>
    <n v="8364"/>
    <n v="0.86"/>
    <n v="1.1200000000000001"/>
  </r>
  <r>
    <x v="1"/>
    <s v="Convenience stores"/>
    <x v="2"/>
    <s v="San Benedetto"/>
    <s v="|13/99/17|"/>
    <n v="8232"/>
    <n v="1.2"/>
    <n v="1.03"/>
  </r>
  <r>
    <x v="1"/>
    <s v="Convenience stores"/>
    <x v="2"/>
    <s v="San Benedetto"/>
    <s v="|13/99/18|"/>
    <n v="5868"/>
    <n v="1.1399999999999999"/>
    <n v="0.97"/>
  </r>
  <r>
    <x v="1"/>
    <s v="Convenience stores"/>
    <x v="2"/>
    <s v="San Benedetto"/>
    <s v="|13/99/19|"/>
    <n v="7020"/>
    <n v="0.51"/>
    <n v="1.1100000000000001"/>
  </r>
  <r>
    <x v="1"/>
    <s v="Convenience stores"/>
    <x v="2"/>
    <s v="San Benedetto"/>
    <s v="|13/99/20|"/>
    <n v="7608"/>
    <n v="0.77"/>
    <n v="0.9"/>
  </r>
  <r>
    <x v="1"/>
    <s v="Convenience stores"/>
    <x v="2"/>
    <s v="San Benedetto"/>
    <s v="|13/99/21|"/>
    <n v="7704"/>
    <n v="1.07"/>
    <n v="0.91"/>
  </r>
  <r>
    <x v="1"/>
    <s v="Convenience stores"/>
    <x v="2"/>
    <s v="San Benedetto"/>
    <s v="|13/99/51|"/>
    <n v="5316"/>
    <n v="0.62"/>
    <n v="1.03"/>
  </r>
  <r>
    <x v="1"/>
    <s v="Convenience stores"/>
    <x v="3"/>
    <s v="San Benedetto"/>
    <s v="|13/05/01|"/>
    <n v="72"/>
    <n v="1.1100000000000001"/>
    <n v="1.23"/>
  </r>
  <r>
    <x v="1"/>
    <s v="Convenience stores"/>
    <x v="3"/>
    <s v="San Benedetto"/>
    <s v="|13/05/02|"/>
    <s v="`"/>
    <n v="1.1599999999999999"/>
    <n v="1.24"/>
  </r>
  <r>
    <x v="1"/>
    <s v="Convenience stores"/>
    <x v="3"/>
    <s v="San Benedetto"/>
    <s v="|13/05/04|"/>
    <n v="132"/>
    <n v="1.2"/>
    <n v="1.37"/>
  </r>
  <r>
    <x v="1"/>
    <s v="Convenience stores"/>
    <x v="4"/>
    <s v="San Benedetto"/>
    <s v="|13/12/87|"/>
    <n v="540"/>
    <n v="4.95"/>
    <n v="5.21"/>
  </r>
  <r>
    <x v="1"/>
    <s v="Convenience stores"/>
    <x v="4"/>
    <s v="San Benedetto"/>
    <s v="|13/13/01|"/>
    <n v="432"/>
    <n v="4.99"/>
    <n v="5.18"/>
  </r>
  <r>
    <x v="1"/>
    <s v="Convenience stores"/>
    <x v="4"/>
    <s v="San Benedetto"/>
    <s v="|13/13/02|"/>
    <n v="312"/>
    <n v="4.1500000000000004"/>
    <n v="5.12"/>
  </r>
  <r>
    <x v="1"/>
    <s v="Convenience stores"/>
    <x v="4"/>
    <s v="San Benedetto"/>
    <s v="|13/13/03|"/>
    <n v="624"/>
    <n v="4.92"/>
    <n v="5.24"/>
  </r>
  <r>
    <x v="1"/>
    <s v="Convenience stores"/>
    <x v="4"/>
    <s v="San Benedetto"/>
    <s v="|13/13/04|"/>
    <n v="672"/>
    <n v="4.03"/>
    <n v="5.1100000000000003"/>
  </r>
  <r>
    <x v="1"/>
    <s v="Convenience stores"/>
    <x v="4"/>
    <s v="San Benedetto"/>
    <s v="|13/13/05|"/>
    <n v="492"/>
    <n v="4.9800000000000004"/>
    <n v="5.13"/>
  </r>
  <r>
    <x v="1"/>
    <s v="Convenience stores"/>
    <x v="4"/>
    <s v="San Benedetto"/>
    <s v="|13/13/06|"/>
    <n v="684"/>
    <n v="4.3"/>
    <n v="5.14"/>
  </r>
  <r>
    <x v="1"/>
    <s v="Convenience stores"/>
    <x v="4"/>
    <s v="San Benedetto"/>
    <s v="|13/13/07|"/>
    <n v="264"/>
    <n v="4.01"/>
    <n v="5.36"/>
  </r>
  <r>
    <x v="1"/>
    <s v="Convenience stores"/>
    <x v="4"/>
    <s v="San Benedetto"/>
    <s v="|13/13/08|"/>
    <n v="372"/>
    <n v="4.95"/>
    <n v="5.26"/>
  </r>
  <r>
    <x v="1"/>
    <s v="Convenience stores"/>
    <x v="4"/>
    <s v="San Benedetto"/>
    <s v="|13/13/09|"/>
    <n v="456"/>
    <n v="4.72"/>
    <n v="5.25"/>
  </r>
  <r>
    <x v="1"/>
    <s v="Convenience stores"/>
    <x v="4"/>
    <s v="San Benedetto"/>
    <s v="|13/13/10|"/>
    <n v="564"/>
    <n v="4.25"/>
    <n v="5.35"/>
  </r>
  <r>
    <x v="1"/>
    <s v="Convenience stores"/>
    <x v="4"/>
    <s v="San Benedetto"/>
    <s v="|13/13/11|"/>
    <n v="312"/>
    <n v="4.5"/>
    <n v="5.31"/>
  </r>
  <r>
    <x v="1"/>
    <s v="Convenience stores"/>
    <x v="4"/>
    <s v="San Benedetto"/>
    <s v="|13/13/12|"/>
    <n v="384"/>
    <n v="4.68"/>
    <n v="5.05"/>
  </r>
  <r>
    <x v="1"/>
    <s v="Convenience stores"/>
    <x v="4"/>
    <s v="San Benedetto"/>
    <s v="|13/13/13|"/>
    <n v="564"/>
    <n v="4.47"/>
    <n v="5.15"/>
  </r>
  <r>
    <x v="1"/>
    <s v="Convenience stores"/>
    <x v="4"/>
    <s v="San Benedetto"/>
    <s v="|13/13/14|"/>
    <n v="252"/>
    <n v="4.8600000000000003"/>
    <n v="5.1100000000000003"/>
  </r>
  <r>
    <x v="1"/>
    <s v="Convenience stores"/>
    <x v="4"/>
    <s v="San Benedetto"/>
    <s v="|13/13/15|"/>
    <n v="504"/>
    <n v="4.66"/>
    <n v="5.3"/>
  </r>
  <r>
    <x v="1"/>
    <s v="Convenience stores"/>
    <x v="4"/>
    <s v="San Benedetto"/>
    <s v="|13/13/16|"/>
    <n v="324"/>
    <n v="4.3"/>
    <n v="5.13"/>
  </r>
  <r>
    <x v="1"/>
    <s v="Convenience stores"/>
    <x v="4"/>
    <s v="San Benedetto"/>
    <s v="|13/13/17|"/>
    <n v="552"/>
    <n v="4.78"/>
    <n v="5.38"/>
  </r>
  <r>
    <x v="1"/>
    <s v="Convenience stores"/>
    <x v="4"/>
    <s v="San Benedetto"/>
    <s v="|13/13/18|"/>
    <n v="444"/>
    <n v="4.42"/>
    <n v="5.19"/>
  </r>
  <r>
    <x v="1"/>
    <s v="Convenience stores"/>
    <x v="4"/>
    <s v="San Benedetto"/>
    <s v="|13/13/20|"/>
    <n v="708"/>
    <n v="4.1399999999999997"/>
    <n v="5.13"/>
  </r>
  <r>
    <x v="1"/>
    <s v="Convenience stores"/>
    <x v="4"/>
    <s v="San Benedetto"/>
    <s v="|13/13/21|"/>
    <n v="504"/>
    <n v="4.97"/>
    <n v="5.29"/>
  </r>
  <r>
    <x v="1"/>
    <s v="Convenience stores"/>
    <x v="4"/>
    <s v="San Benedetto"/>
    <s v="|13/13/22|"/>
    <n v="468"/>
    <n v="4.54"/>
    <n v="5.34"/>
  </r>
  <r>
    <x v="1"/>
    <s v="Convenience stores"/>
    <x v="4"/>
    <s v="San Benedetto"/>
    <s v="|13/13/24|"/>
    <n v="252"/>
    <n v="4"/>
    <n v="5.33"/>
  </r>
  <r>
    <x v="1"/>
    <s v="Convenience stores"/>
    <x v="4"/>
    <s v="San Benedetto"/>
    <s v="|13/13/44|"/>
    <n v="648"/>
    <n v="4.4000000000000004"/>
    <n v="5.0599999999999996"/>
  </r>
  <r>
    <x v="1"/>
    <s v="Convenience stores"/>
    <x v="4"/>
    <s v="San Benedetto"/>
    <s v="|13/99/13|"/>
    <n v="432"/>
    <n v="4.92"/>
    <n v="5.05"/>
  </r>
  <r>
    <x v="1"/>
    <s v="Convenience stores"/>
    <x v="4"/>
    <s v="San Benedetto"/>
    <s v="|13/99/22|"/>
    <n v="444"/>
    <n v="4.6399999999999997"/>
    <n v="5.37"/>
  </r>
  <r>
    <x v="1"/>
    <s v="Convenience stores"/>
    <x v="4"/>
    <s v="San Benedetto"/>
    <s v="|13/99/23|"/>
    <n v="576"/>
    <n v="4.88"/>
    <n v="5.38"/>
  </r>
  <r>
    <x v="1"/>
    <s v="Convenience stores"/>
    <x v="4"/>
    <s v="San Benedetto"/>
    <s v="|13/99/28|"/>
    <n v="408"/>
    <n v="4.43"/>
    <n v="5.03"/>
  </r>
  <r>
    <x v="1"/>
    <s v="Convenience stores"/>
    <x v="7"/>
    <s v="Taylor farms"/>
    <s v="|28/02/01|"/>
    <n v="768"/>
    <n v="2.5499999999999998"/>
    <n v="3.87"/>
  </r>
  <r>
    <x v="1"/>
    <s v="Convenience stores"/>
    <x v="7"/>
    <s v="Taylor farms"/>
    <s v="|28/02/02|"/>
    <n v="768"/>
    <n v="2.4900000000000002"/>
    <n v="3.8"/>
  </r>
  <r>
    <x v="1"/>
    <s v="Convenience stores"/>
    <x v="7"/>
    <s v="Taylor farms"/>
    <s v="|28/02/03|"/>
    <n v="864"/>
    <n v="2.7"/>
    <n v="3.62"/>
  </r>
  <r>
    <x v="1"/>
    <s v="Convenience stores"/>
    <x v="7"/>
    <s v="Taylor farms"/>
    <s v="|28/02/04|"/>
    <n v="804"/>
    <n v="2.99"/>
    <n v="3.7"/>
  </r>
  <r>
    <x v="1"/>
    <s v="Convenience stores"/>
    <x v="7"/>
    <s v="Taylor farms"/>
    <s v="|28/02/05|"/>
    <n v="1176"/>
    <n v="2.64"/>
    <n v="3.33"/>
  </r>
  <r>
    <x v="1"/>
    <s v="Convenience stores"/>
    <x v="7"/>
    <s v="Taylor farms"/>
    <s v="|28/02/06|"/>
    <n v="960"/>
    <n v="2.92"/>
    <n v="3.84"/>
  </r>
  <r>
    <x v="1"/>
    <s v="Convenience stores"/>
    <x v="7"/>
    <s v="Taylor farms"/>
    <s v="|28/02/07|"/>
    <n v="612"/>
    <n v="2.59"/>
    <n v="3.46"/>
  </r>
  <r>
    <x v="1"/>
    <s v="Convenience stores"/>
    <x v="4"/>
    <s v="Beiersdorf"/>
    <s v="|39/01/01|"/>
    <n v="264"/>
    <n v="4.49"/>
    <n v="5.19"/>
  </r>
  <r>
    <x v="1"/>
    <s v="Convenience stores"/>
    <x v="4"/>
    <s v="Beiersdorf"/>
    <s v="|39/01/02|"/>
    <n v="528"/>
    <n v="4.68"/>
    <n v="5.09"/>
  </r>
  <r>
    <x v="1"/>
    <s v="Convenience stores"/>
    <x v="4"/>
    <s v="Beiersdorf"/>
    <s v="|39/01/03|"/>
    <n v="504"/>
    <n v="4.1399999999999997"/>
    <n v="5.35"/>
  </r>
  <r>
    <x v="1"/>
    <s v="Convenience stores"/>
    <x v="4"/>
    <s v="Beiersdorf"/>
    <s v="|39/01/04|"/>
    <n v="648"/>
    <n v="4.05"/>
    <n v="5.2"/>
  </r>
  <r>
    <x v="1"/>
    <s v="Convenience stores"/>
    <x v="4"/>
    <s v="Beiersdorf"/>
    <s v="|39/01/05|"/>
    <n v="432"/>
    <n v="4.93"/>
    <n v="5.36"/>
  </r>
  <r>
    <x v="1"/>
    <s v="Convenience stores"/>
    <x v="4"/>
    <s v="Beiersdorf"/>
    <s v="|39/01/06|"/>
    <n v="360"/>
    <n v="4.58"/>
    <n v="5.24"/>
  </r>
  <r>
    <x v="1"/>
    <s v="Convenience stores"/>
    <x v="4"/>
    <s v="Beiersdorf"/>
    <s v="|39/01/07|"/>
    <n v="576"/>
    <n v="4.5"/>
    <n v="5.4"/>
  </r>
  <r>
    <x v="1"/>
    <s v="Convenience stores"/>
    <x v="4"/>
    <s v="Beiersdorf"/>
    <s v="|39/01/30|"/>
    <n v="588"/>
    <n v="4.21"/>
    <n v="5.0199999999999996"/>
  </r>
  <r>
    <x v="1"/>
    <s v="Convenience stores"/>
    <x v="3"/>
    <s v="Famous Grousse"/>
    <s v="|26/01/01|"/>
    <n v="96"/>
    <n v="1.04"/>
    <n v="1.3"/>
  </r>
  <r>
    <x v="1"/>
    <s v="Convenience stores"/>
    <x v="3"/>
    <s v="Famous Grousse"/>
    <s v="|26/01/02|"/>
    <n v="132"/>
    <n v="1.07"/>
    <n v="1.36"/>
  </r>
  <r>
    <x v="1"/>
    <s v="Convenience stores"/>
    <x v="3"/>
    <s v="Famous Grousse"/>
    <s v="|26/01/03|"/>
    <n v="168"/>
    <n v="1.0900000000000001"/>
    <n v="1.3"/>
  </r>
  <r>
    <x v="1"/>
    <s v="Convenience stores"/>
    <x v="1"/>
    <s v="Ferrero"/>
    <s v="|48/01/41|"/>
    <n v="480"/>
    <n v="5.8666666666666663"/>
    <n v="7.62"/>
  </r>
  <r>
    <x v="1"/>
    <s v="Convenience stores"/>
    <x v="5"/>
    <s v="Ferrero"/>
    <s v="|48/01/01|"/>
    <n v="816"/>
    <n v="1.23"/>
    <n v="1.66"/>
  </r>
  <r>
    <x v="1"/>
    <s v="Convenience stores"/>
    <x v="5"/>
    <s v="Ferrero"/>
    <s v="|48/01/02|"/>
    <n v="1008"/>
    <n v="1.28"/>
    <n v="1.61"/>
  </r>
  <r>
    <x v="1"/>
    <s v="Convenience stores"/>
    <x v="5"/>
    <s v="Ferrero"/>
    <s v="|48/01/03|"/>
    <n v="672"/>
    <n v="1.4"/>
    <n v="1.79"/>
  </r>
  <r>
    <x v="1"/>
    <s v="Convenience stores"/>
    <x v="5"/>
    <s v="Ferrero"/>
    <s v="|48/01/04|"/>
    <n v="864"/>
    <n v="1.17"/>
    <n v="1.65"/>
  </r>
  <r>
    <x v="1"/>
    <s v="Convenience stores"/>
    <x v="5"/>
    <s v="Ferrero"/>
    <s v="|48/01/05|"/>
    <n v="912"/>
    <n v="1.45"/>
    <n v="1.71"/>
  </r>
  <r>
    <x v="1"/>
    <s v="Convenience stores"/>
    <x v="5"/>
    <s v="Ferrero"/>
    <s v="|48/01/06|"/>
    <n v="1212"/>
    <n v="1.28"/>
    <n v="1.84"/>
  </r>
  <r>
    <x v="1"/>
    <s v="Convenience stores"/>
    <x v="5"/>
    <s v="Ferrero"/>
    <s v="|48/01/07|"/>
    <n v="576"/>
    <n v="1.38"/>
    <n v="1.73"/>
  </r>
  <r>
    <x v="1"/>
    <s v="Convenience stores"/>
    <x v="5"/>
    <s v="Ferrero"/>
    <s v="|48/01/08|"/>
    <n v="696"/>
    <n v="1.37"/>
    <n v="1.79"/>
  </r>
  <r>
    <x v="1"/>
    <s v="Convenience stores"/>
    <x v="5"/>
    <s v="Ferrero"/>
    <s v="|48/01/09|"/>
    <n v="900"/>
    <n v="1.41"/>
    <n v="1.61"/>
  </r>
  <r>
    <x v="1"/>
    <s v="Convenience stores"/>
    <x v="5"/>
    <s v="Ferrero"/>
    <s v="|48/01/10|"/>
    <n v="984"/>
    <n v="1.43"/>
    <n v="1.76"/>
  </r>
  <r>
    <x v="1"/>
    <s v="Convenience stores"/>
    <x v="5"/>
    <s v="Ferrero"/>
    <s v="|48/01/11|"/>
    <n v="960"/>
    <n v="1.1499999999999999"/>
    <n v="1.63"/>
  </r>
  <r>
    <x v="1"/>
    <s v="Convenience stores"/>
    <x v="5"/>
    <s v="Ferrero"/>
    <s v="|48/01/12|"/>
    <n v="636"/>
    <n v="1.1100000000000001"/>
    <n v="1.85"/>
  </r>
  <r>
    <x v="1"/>
    <s v="Convenience stores"/>
    <x v="5"/>
    <s v="Ferrero"/>
    <s v="|48/01/13|"/>
    <n v="948"/>
    <n v="1.48"/>
    <n v="1.82"/>
  </r>
  <r>
    <x v="1"/>
    <s v="Convenience stores"/>
    <x v="5"/>
    <s v="Ferrero"/>
    <s v="|48/01/14|"/>
    <n v="1248"/>
    <n v="1.42"/>
    <n v="1.78"/>
  </r>
  <r>
    <x v="1"/>
    <s v="Convenience stores"/>
    <x v="5"/>
    <s v="Ferrero"/>
    <s v="|48/01/15|"/>
    <n v="816"/>
    <n v="1.1200000000000001"/>
    <n v="1.77"/>
  </r>
  <r>
    <x v="1"/>
    <s v="Convenience stores"/>
    <x v="5"/>
    <s v="Ferrero"/>
    <s v="|48/01/16|"/>
    <n v="804"/>
    <n v="1.27"/>
    <n v="1.7"/>
  </r>
  <r>
    <x v="1"/>
    <s v="Convenience stores"/>
    <x v="5"/>
    <s v="Ferrero"/>
    <s v="|48/01/17|"/>
    <n v="1008"/>
    <n v="1.25"/>
    <n v="1.76"/>
  </r>
  <r>
    <x v="1"/>
    <s v="Convenience stores"/>
    <x v="5"/>
    <s v="Ferrero"/>
    <s v="|48/01/18|"/>
    <n v="972"/>
    <n v="1.43"/>
    <n v="1.74"/>
  </r>
  <r>
    <x v="1"/>
    <s v="Convenience stores"/>
    <x v="5"/>
    <s v="Ferrero"/>
    <s v="|48/01/19|"/>
    <n v="1140"/>
    <n v="1.27"/>
    <n v="1.71"/>
  </r>
  <r>
    <x v="1"/>
    <s v="Convenience stores"/>
    <x v="5"/>
    <s v="Ferrero"/>
    <s v="|48/01/20|"/>
    <n v="804"/>
    <n v="1.24"/>
    <n v="1.64"/>
  </r>
  <r>
    <x v="1"/>
    <s v="Convenience stores"/>
    <x v="5"/>
    <s v="Ferrero"/>
    <s v="|48/01/21|"/>
    <n v="984"/>
    <n v="1.36"/>
    <n v="1.75"/>
  </r>
  <r>
    <x v="1"/>
    <s v="Convenience stores"/>
    <x v="5"/>
    <s v="Ferrero"/>
    <s v="|48/01/22|"/>
    <n v="780"/>
    <n v="1.48"/>
    <n v="1.84"/>
  </r>
  <r>
    <x v="1"/>
    <s v="Convenience stores"/>
    <x v="5"/>
    <s v="Ferrero"/>
    <s v="|48/01/23|"/>
    <n v="672"/>
    <n v="1.36"/>
    <n v="1.8"/>
  </r>
  <r>
    <x v="1"/>
    <s v="Convenience stores"/>
    <x v="5"/>
    <s v="Ferrero"/>
    <s v="|48/01/24|"/>
    <n v="684"/>
    <n v="1.1599999999999999"/>
    <n v="1.77"/>
  </r>
  <r>
    <x v="1"/>
    <s v="Convenience stores"/>
    <x v="5"/>
    <s v="Ferrero"/>
    <s v="|48/01/25|"/>
    <n v="1140"/>
    <n v="1.1599999999999999"/>
    <n v="1.69"/>
  </r>
  <r>
    <x v="1"/>
    <s v="Convenience stores"/>
    <x v="5"/>
    <s v="Ferrero"/>
    <s v="|48/01/26|"/>
    <n v="984"/>
    <n v="1.36"/>
    <n v="1.74"/>
  </r>
  <r>
    <x v="1"/>
    <s v="Convenience stores"/>
    <x v="5"/>
    <s v="Ferrero"/>
    <s v="|48/01/27|"/>
    <n v="900"/>
    <n v="1.34"/>
    <n v="1.87"/>
  </r>
  <r>
    <x v="1"/>
    <s v="Convenience stores"/>
    <x v="5"/>
    <s v="Ferrero"/>
    <s v="|48/01/28|"/>
    <n v="1140"/>
    <n v="1.36"/>
    <n v="1.78"/>
  </r>
  <r>
    <x v="1"/>
    <s v="Convenience stores"/>
    <x v="5"/>
    <s v="Ferrero"/>
    <s v="|48/01/29|"/>
    <n v="684"/>
    <n v="1.34"/>
    <n v="1.6"/>
  </r>
  <r>
    <x v="1"/>
    <s v="Convenience stores"/>
    <x v="5"/>
    <s v="Ferrero"/>
    <s v="|48/01/30|"/>
    <n v="1008"/>
    <n v="1.36"/>
    <n v="1.65"/>
  </r>
  <r>
    <x v="1"/>
    <s v="Convenience stores"/>
    <x v="5"/>
    <s v="Ferrero"/>
    <s v="|48/01/31|"/>
    <n v="1032"/>
    <n v="1.31"/>
    <n v="1.89"/>
  </r>
  <r>
    <x v="1"/>
    <s v="Convenience stores"/>
    <x v="5"/>
    <s v="Ferrero"/>
    <s v="|48/01/32|"/>
    <n v="660"/>
    <n v="1.3"/>
    <n v="1.83"/>
  </r>
  <r>
    <x v="1"/>
    <s v="Convenience stores"/>
    <x v="5"/>
    <s v="Ferrero"/>
    <s v="|48/01/33|"/>
    <n v="996"/>
    <n v="1.47"/>
    <n v="1.74"/>
  </r>
  <r>
    <x v="1"/>
    <s v="Convenience stores"/>
    <x v="5"/>
    <s v="Ferrero"/>
    <s v="|48/01/34|"/>
    <n v="972"/>
    <n v="1.5"/>
    <n v="1.85"/>
  </r>
  <r>
    <x v="1"/>
    <s v="Convenience stores"/>
    <x v="5"/>
    <s v="Ferrero"/>
    <s v="|48/01/35|"/>
    <n v="1092"/>
    <n v="1.37"/>
    <n v="1.72"/>
  </r>
  <r>
    <x v="1"/>
    <s v="Convenience stores"/>
    <x v="5"/>
    <s v="Ferrero"/>
    <s v="|48/01/36|"/>
    <n v="708"/>
    <n v="1.17"/>
    <n v="1.82"/>
  </r>
  <r>
    <x v="1"/>
    <s v="Convenience stores"/>
    <x v="5"/>
    <s v="Ferrero"/>
    <s v="|48/01/37|"/>
    <n v="768"/>
    <n v="1.2"/>
    <n v="1.82"/>
  </r>
  <r>
    <x v="1"/>
    <s v="Convenience stores"/>
    <x v="5"/>
    <s v="Ferrero"/>
    <s v="|48/01/38|"/>
    <n v="996"/>
    <n v="1.27"/>
    <n v="1.61"/>
  </r>
  <r>
    <x v="1"/>
    <s v="Convenience stores"/>
    <x v="5"/>
    <s v="Ferrero"/>
    <s v="|48/01/39|"/>
    <n v="960"/>
    <n v="1.49"/>
    <n v="1.64"/>
  </r>
  <r>
    <x v="1"/>
    <s v="Convenience stores"/>
    <x v="5"/>
    <s v="Ferrero"/>
    <s v="|48/01/40|"/>
    <n v="1008"/>
    <n v="1.4"/>
    <n v="1.76"/>
  </r>
  <r>
    <x v="1"/>
    <s v="Convenience stores"/>
    <x v="5"/>
    <s v="Ferrero"/>
    <s v="|48/01/42|"/>
    <n v="1092"/>
    <n v="1.1200000000000001"/>
    <n v="1.65"/>
  </r>
  <r>
    <x v="1"/>
    <s v="Convenience stores"/>
    <x v="5"/>
    <s v="Ferrero"/>
    <s v="|48/01/43|"/>
    <n v="1188"/>
    <n v="1.5"/>
    <n v="1.7"/>
  </r>
  <r>
    <x v="1"/>
    <s v="Convenience stores"/>
    <x v="5"/>
    <s v="Ferrero"/>
    <s v="|48/01/44|"/>
    <n v="612"/>
    <n v="1.1100000000000001"/>
    <n v="1.78"/>
  </r>
  <r>
    <x v="1"/>
    <s v="Convenience stores"/>
    <x v="5"/>
    <s v="Ferrero"/>
    <s v="|48/01/45|"/>
    <n v="936"/>
    <n v="1.22"/>
    <n v="1.78"/>
  </r>
  <r>
    <x v="1"/>
    <s v="Convenience stores"/>
    <x v="5"/>
    <s v="Ferrero"/>
    <s v="|48/01/46|"/>
    <n v="912"/>
    <n v="1.21"/>
    <n v="1.8"/>
  </r>
  <r>
    <x v="1"/>
    <s v="Convenience stores"/>
    <x v="5"/>
    <s v="Ferrero"/>
    <s v="|48/01/47|"/>
    <n v="972"/>
    <n v="1.25"/>
    <n v="1.86"/>
  </r>
  <r>
    <x v="1"/>
    <s v="Convenience stores"/>
    <x v="5"/>
    <s v="Ferrero"/>
    <s v="|48/01/48|"/>
    <n v="876"/>
    <n v="1.21"/>
    <n v="1.62"/>
  </r>
  <r>
    <x v="1"/>
    <s v="Convenience stores"/>
    <x v="5"/>
    <s v="Ferrero"/>
    <s v="|48/01/49|"/>
    <n v="1152"/>
    <n v="1.27"/>
    <n v="1.78"/>
  </r>
  <r>
    <x v="1"/>
    <s v="Convenience stores"/>
    <x v="5"/>
    <s v="Ferrero"/>
    <s v="|48/01/50|"/>
    <n v="936"/>
    <n v="1.48"/>
    <n v="1.89"/>
  </r>
  <r>
    <x v="1"/>
    <s v="Convenience stores"/>
    <x v="5"/>
    <s v="Ferrero"/>
    <s v="|48/01/51|"/>
    <n v="1092"/>
    <n v="1.47"/>
    <n v="1.73"/>
  </r>
  <r>
    <x v="1"/>
    <s v="Convenience stores"/>
    <x v="5"/>
    <s v="Ferrero"/>
    <s v="|48/01/52|"/>
    <n v="1320"/>
    <n v="1.38"/>
    <n v="1.69"/>
  </r>
  <r>
    <x v="1"/>
    <s v="Convenience stores"/>
    <x v="5"/>
    <s v="Ferrero"/>
    <s v="|48/01/53|"/>
    <n v="696"/>
    <n v="1.49"/>
    <n v="1.67"/>
  </r>
  <r>
    <x v="1"/>
    <s v="Convenience stores"/>
    <x v="5"/>
    <s v="Ferrero"/>
    <s v="|48/01/54|"/>
    <n v="1068"/>
    <n v="1.35"/>
    <n v="1.82"/>
  </r>
  <r>
    <x v="1"/>
    <s v="Convenience stores"/>
    <x v="5"/>
    <s v="Ferrero"/>
    <s v="|48/01/55|"/>
    <n v="684"/>
    <n v="1.5"/>
    <n v="1.85"/>
  </r>
  <r>
    <x v="1"/>
    <s v="Convenience stores"/>
    <x v="5"/>
    <s v="Ferrero"/>
    <s v="|48/01/56|"/>
    <n v="900"/>
    <n v="1.17"/>
    <n v="1.84"/>
  </r>
  <r>
    <x v="1"/>
    <s v="Convenience stores"/>
    <x v="5"/>
    <s v="Ferrero"/>
    <s v="|48/01/57|"/>
    <n v="864"/>
    <n v="1.1299999999999999"/>
    <n v="1.89"/>
  </r>
  <r>
    <x v="1"/>
    <s v="Convenience stores"/>
    <x v="5"/>
    <s v="Ferrero"/>
    <s v="|48/01/58|"/>
    <n v="1032"/>
    <n v="1.22"/>
    <n v="1.89"/>
  </r>
  <r>
    <x v="1"/>
    <s v="Convenience stores"/>
    <x v="5"/>
    <s v="Ferrero"/>
    <s v="|48/01/59|"/>
    <n v="1080"/>
    <n v="1.49"/>
    <n v="1.66"/>
  </r>
  <r>
    <x v="1"/>
    <s v="Convenience stores"/>
    <x v="5"/>
    <s v="Ferrero"/>
    <s v="|48/01/60|"/>
    <n v="1176"/>
    <n v="1.2"/>
    <n v="1.74"/>
  </r>
  <r>
    <x v="1"/>
    <s v="Convenience stores"/>
    <x v="5"/>
    <s v="Ferrero"/>
    <s v="|48/01/61|"/>
    <n v="1020"/>
    <n v="1.42"/>
    <n v="1.73"/>
  </r>
  <r>
    <x v="1"/>
    <s v="Convenience stores"/>
    <x v="5"/>
    <s v="Ferrero"/>
    <s v="|48/01/62|"/>
    <n v="1164"/>
    <n v="1.2"/>
    <n v="1.7"/>
  </r>
  <r>
    <x v="1"/>
    <s v="Convenience stores"/>
    <x v="6"/>
    <s v="Cioccolatti Italiani"/>
    <s v="|63/03/08|"/>
    <n v="1224"/>
    <n v="2.48"/>
    <n v="3.43"/>
  </r>
  <r>
    <x v="1"/>
    <s v="Convenience stores"/>
    <x v="6"/>
    <s v="Cioccolatti Italiani"/>
    <s v="|63/03/09|"/>
    <n v="1296"/>
    <n v="2.56"/>
    <n v="3.8"/>
  </r>
  <r>
    <x v="1"/>
    <s v="Convenience stores"/>
    <x v="6"/>
    <s v="Cioccolatti Italiani"/>
    <s v="|63/03/10|"/>
    <n v="1296"/>
    <n v="2.83"/>
    <n v="3.37"/>
  </r>
  <r>
    <x v="1"/>
    <s v="Convenience stores"/>
    <x v="6"/>
    <s v="Cioccolatti Italiani"/>
    <s v="|63/03/11|"/>
    <n v="1464"/>
    <n v="2.91"/>
    <n v="3.81"/>
  </r>
  <r>
    <x v="1"/>
    <s v="Convenience stores"/>
    <x v="6"/>
    <s v="Cioccolatti Italiani"/>
    <s v="|63/03/12|"/>
    <n v="2124"/>
    <n v="2.86"/>
    <n v="3.87"/>
  </r>
  <r>
    <x v="1"/>
    <s v="Convenience stores"/>
    <x v="1"/>
    <s v="Mindi"/>
    <s v="|79/01/48|"/>
    <n v="444"/>
    <n v="5.6133333333333333"/>
    <n v="8.0399999999999991"/>
  </r>
  <r>
    <x v="1"/>
    <s v="Convenience stores"/>
    <x v="1"/>
    <s v="Mindi"/>
    <s v="|79/01/49|"/>
    <n v="420"/>
    <n v="6.4866666666666664"/>
    <n v="8.4666666666666668"/>
  </r>
  <r>
    <x v="1"/>
    <s v="Convenience stores"/>
    <x v="1"/>
    <s v="Mindi"/>
    <s v="|79/01/79|"/>
    <n v="612"/>
    <n v="6.3466666666666667"/>
    <n v="7.7266666666666666"/>
  </r>
  <r>
    <x v="1"/>
    <s v="Convenience stores"/>
    <x v="7"/>
    <s v="Spani"/>
    <s v="|99/01/05|"/>
    <n v="984"/>
    <n v="2.5"/>
    <n v="3.79"/>
  </r>
  <r>
    <x v="1"/>
    <s v="Convenience stores"/>
    <x v="7"/>
    <s v="Spani"/>
    <s v="|99/01/06|"/>
    <n v="1092"/>
    <n v="2.4700000000000002"/>
    <n v="3.4"/>
  </r>
  <r>
    <x v="1"/>
    <s v="Convenience stores"/>
    <x v="7"/>
    <s v="Spani"/>
    <s v="|99/01/10|"/>
    <n v="672"/>
    <n v="2.4500000000000002"/>
    <n v="3.31"/>
  </r>
  <r>
    <x v="1"/>
    <s v="Convenience stores"/>
    <x v="7"/>
    <s v="Spani"/>
    <s v="|99/01/11|"/>
    <n v="960"/>
    <n v="2.94"/>
    <n v="3.32"/>
  </r>
  <r>
    <x v="1"/>
    <s v="Convenience stores"/>
    <x v="6"/>
    <s v="Grom"/>
    <s v="|09/04/11|"/>
    <n v="2616"/>
    <n v="2.93"/>
    <n v="3.67"/>
  </r>
  <r>
    <x v="1"/>
    <s v="Convenience stores"/>
    <x v="6"/>
    <s v="Grom"/>
    <s v="|09/04/12|"/>
    <n v="2160"/>
    <n v="2.3199999999999998"/>
    <n v="3.35"/>
  </r>
  <r>
    <x v="1"/>
    <s v="Convenience stores"/>
    <x v="6"/>
    <s v="Grom"/>
    <s v="|09/04/13|"/>
    <n v="1344"/>
    <n v="2.95"/>
    <n v="3.7"/>
  </r>
  <r>
    <x v="1"/>
    <s v="Convenience stores"/>
    <x v="6"/>
    <s v="Grom"/>
    <s v="|09/04/14|"/>
    <n v="1536"/>
    <n v="2.84"/>
    <n v="3.63"/>
  </r>
  <r>
    <x v="1"/>
    <s v="Convenience stores"/>
    <x v="6"/>
    <s v="Grom"/>
    <s v="|09/04/15|"/>
    <n v="2220"/>
    <n v="2.59"/>
    <n v="3.6"/>
  </r>
  <r>
    <x v="1"/>
    <s v="Convenience stores"/>
    <x v="6"/>
    <s v="Rivareno"/>
    <s v="|99/06/01|"/>
    <n v="2136"/>
    <n v="2.88"/>
    <n v="3.89"/>
  </r>
  <r>
    <x v="1"/>
    <s v="Convenience stores"/>
    <x v="6"/>
    <s v="Rivareno"/>
    <s v="|99/06/02|"/>
    <n v="2028"/>
    <n v="2.83"/>
    <n v="3.72"/>
  </r>
  <r>
    <x v="1"/>
    <s v="Convenience stores"/>
    <x v="6"/>
    <s v="L'angolo vicino"/>
    <s v="|06/04/01|"/>
    <n v="2028"/>
    <n v="2.75"/>
    <n v="3.47"/>
  </r>
  <r>
    <x v="1"/>
    <s v="Convenience stores"/>
    <x v="6"/>
    <s v="L'angolo vicino"/>
    <s v="|06/04/03|"/>
    <n v="2580"/>
    <n v="2.4"/>
    <n v="3.47"/>
  </r>
  <r>
    <x v="1"/>
    <s v="Convenience stores"/>
    <x v="6"/>
    <s v="L'angolo vicino"/>
    <s v="|06/04/11|"/>
    <n v="1812"/>
    <n v="2.54"/>
    <n v="3.77"/>
  </r>
  <r>
    <x v="1"/>
    <s v="Convenience stores"/>
    <x v="6"/>
    <s v="L'angolo vicino"/>
    <s v="|06/04/12|"/>
    <n v="2724"/>
    <n v="2.5499999999999998"/>
    <n v="3.67"/>
  </r>
  <r>
    <x v="1"/>
    <s v="Convenience stores"/>
    <x v="6"/>
    <s v="L'angolo vicino"/>
    <s v="|06/04/13|"/>
    <n v="2568"/>
    <n v="2.81"/>
    <n v="3.8"/>
  </r>
  <r>
    <x v="1"/>
    <s v="Convenience stores"/>
    <x v="6"/>
    <s v="L'angolo vicino"/>
    <s v="|06/04/20|"/>
    <n v="1452"/>
    <n v="2.4700000000000002"/>
    <n v="3.9"/>
  </r>
  <r>
    <x v="1"/>
    <s v="Convenience stores"/>
    <x v="6"/>
    <s v="Sadand"/>
    <s v="|07/07/01|"/>
    <n v="1656"/>
    <n v="2.37"/>
    <n v="3.42"/>
  </r>
  <r>
    <x v="1"/>
    <s v="Convenience stores"/>
    <x v="6"/>
    <s v="Sadand"/>
    <s v="|07/07/02|"/>
    <n v="2508"/>
    <n v="2.79"/>
    <n v="3.81"/>
  </r>
  <r>
    <x v="1"/>
    <s v="Convenience stores"/>
    <x v="6"/>
    <s v="Sadand"/>
    <s v="|07/07/03|"/>
    <n v="2328"/>
    <n v="2.93"/>
    <n v="3.53"/>
  </r>
  <r>
    <x v="1"/>
    <s v="Convenience stores"/>
    <x v="6"/>
    <s v="Sadand"/>
    <s v="|07/07/04|"/>
    <n v="2172"/>
    <n v="2.9"/>
    <n v="3.93"/>
  </r>
  <r>
    <x v="1"/>
    <s v="Convenience stores"/>
    <x v="6"/>
    <s v="Sadand"/>
    <s v="|07/07/05|"/>
    <n v="2400"/>
    <n v="2.57"/>
    <n v="3.39"/>
  </r>
  <r>
    <x v="1"/>
    <s v="Convenience stores"/>
    <x v="6"/>
    <s v="Sadand"/>
    <s v="|07/07/06|"/>
    <n v="1308"/>
    <n v="2.79"/>
    <n v="3.79"/>
  </r>
  <r>
    <x v="1"/>
    <s v="Convenience stores"/>
    <x v="6"/>
    <s v="Sadand"/>
    <s v="|07/07/07|"/>
    <n v="2520"/>
    <n v="2.5499999999999998"/>
    <n v="3.78"/>
  </r>
  <r>
    <x v="1"/>
    <s v="Convenience stores"/>
    <x v="6"/>
    <s v="Sadand"/>
    <s v="|07/07/08|"/>
    <n v="2628"/>
    <n v="2.83"/>
    <n v="3.43"/>
  </r>
  <r>
    <x v="1"/>
    <s v="Convenience stores"/>
    <x v="6"/>
    <s v="Sadand"/>
    <s v="|07/07/09|"/>
    <n v="1272"/>
    <n v="2.39"/>
    <n v="3.32"/>
  </r>
  <r>
    <x v="1"/>
    <s v="Convenience stores"/>
    <x v="6"/>
    <s v="Sadand"/>
    <s v="|07/07/10|"/>
    <n v="2700"/>
    <n v="2.68"/>
    <n v="3.37"/>
  </r>
  <r>
    <x v="1"/>
    <s v="Convenience stores"/>
    <x v="6"/>
    <s v="Sadand"/>
    <s v="|07/07/12|"/>
    <n v="2220"/>
    <n v="2.38"/>
    <n v="3.8"/>
  </r>
  <r>
    <x v="1"/>
    <s v="Convenience stores"/>
    <x v="3"/>
    <s v="Heineken"/>
    <s v="|33/01/01|"/>
    <n v="60"/>
    <n v="1.1100000000000001"/>
    <n v="1.33"/>
  </r>
  <r>
    <x v="1"/>
    <s v="Convenience stores"/>
    <x v="3"/>
    <s v="Heineken"/>
    <s v="|33/01/02|"/>
    <n v="60"/>
    <n v="1.1299999999999999"/>
    <n v="1.33"/>
  </r>
  <r>
    <x v="1"/>
    <s v="Convenience stores"/>
    <x v="3"/>
    <s v="Heineken"/>
    <s v="|33/01/03|"/>
    <n v="60"/>
    <n v="1.1000000000000001"/>
    <n v="1.26"/>
  </r>
  <r>
    <x v="1"/>
    <s v="Convenience stores"/>
    <x v="3"/>
    <s v="Heineken"/>
    <s v="|33/01/04|"/>
    <n v="84"/>
    <n v="1.2"/>
    <n v="1.29"/>
  </r>
  <r>
    <x v="1"/>
    <s v="Convenience stores"/>
    <x v="3"/>
    <s v="Heineken"/>
    <s v="|33/01/05|"/>
    <n v="156"/>
    <n v="1.19"/>
    <n v="1.22"/>
  </r>
  <r>
    <x v="1"/>
    <s v="Convenience stores"/>
    <x v="3"/>
    <s v="Heineken"/>
    <s v="|33/01/06|"/>
    <n v="84"/>
    <n v="1.06"/>
    <n v="1.25"/>
  </r>
  <r>
    <x v="1"/>
    <s v="Convenience stores"/>
    <x v="3"/>
    <s v="Heineken"/>
    <s v="|33/01/07|"/>
    <n v="144"/>
    <n v="1.08"/>
    <n v="1.3"/>
  </r>
  <r>
    <x v="1"/>
    <s v="Convenience stores"/>
    <x v="3"/>
    <s v="Heineken"/>
    <s v="|33/01/08|"/>
    <n v="204"/>
    <n v="1.1100000000000001"/>
    <n v="1.22"/>
  </r>
  <r>
    <x v="1"/>
    <s v="Convenience stores"/>
    <x v="3"/>
    <s v="Heineken"/>
    <s v="|33/01/09|"/>
    <n v="144"/>
    <n v="1.17"/>
    <n v="1.22"/>
  </r>
  <r>
    <x v="1"/>
    <s v="Convenience stores"/>
    <x v="3"/>
    <s v="Heineken"/>
    <s v="|33/01/10|"/>
    <n v="132"/>
    <n v="1.17"/>
    <n v="1.24"/>
  </r>
  <r>
    <x v="1"/>
    <s v="Convenience stores"/>
    <x v="3"/>
    <s v="Heineken"/>
    <s v="|33/01/11|"/>
    <n v="192"/>
    <n v="1.18"/>
    <n v="1.34"/>
  </r>
  <r>
    <x v="1"/>
    <s v="Convenience stores"/>
    <x v="3"/>
    <s v="Heineken"/>
    <s v="|33/01/12|"/>
    <n v="144"/>
    <n v="1.02"/>
    <n v="1.38"/>
  </r>
  <r>
    <x v="1"/>
    <s v="Convenience stores"/>
    <x v="3"/>
    <s v="Heineken"/>
    <s v="|33/01/13|"/>
    <n v="204"/>
    <n v="1.18"/>
    <n v="1.35"/>
  </r>
  <r>
    <x v="1"/>
    <s v="Convenience stores"/>
    <x v="3"/>
    <s v="Heineken"/>
    <s v="|33/01/14|"/>
    <n v="108"/>
    <n v="1.07"/>
    <n v="1.37"/>
  </r>
  <r>
    <x v="1"/>
    <s v="Convenience stores"/>
    <x v="3"/>
    <s v="Heineken"/>
    <s v="|33/01/15|"/>
    <n v="144"/>
    <n v="1.02"/>
    <n v="1.2"/>
  </r>
  <r>
    <x v="1"/>
    <s v="Convenience stores"/>
    <x v="3"/>
    <s v="Heineken"/>
    <s v="|33/01/16|"/>
    <n v="84"/>
    <n v="1.07"/>
    <n v="1.31"/>
  </r>
  <r>
    <x v="1"/>
    <s v="Convenience stores"/>
    <x v="3"/>
    <s v="Heineken"/>
    <s v="|33/01/17|"/>
    <n v="108"/>
    <n v="1"/>
    <n v="1.2"/>
  </r>
  <r>
    <x v="1"/>
    <s v="Convenience stores"/>
    <x v="3"/>
    <s v="Heineken"/>
    <s v="|33/01/18|"/>
    <n v="144"/>
    <n v="1.1299999999999999"/>
    <n v="1.33"/>
  </r>
  <r>
    <x v="1"/>
    <s v="Convenience stores"/>
    <x v="3"/>
    <s v="Heineken"/>
    <s v="|33/01/19|"/>
    <n v="120"/>
    <n v="1.03"/>
    <n v="1.23"/>
  </r>
  <r>
    <x v="1"/>
    <s v="Convenience stores"/>
    <x v="3"/>
    <s v="Heineken"/>
    <s v="|33/01/20|"/>
    <n v="144"/>
    <n v="1.01"/>
    <n v="1.31"/>
  </r>
  <r>
    <x v="1"/>
    <s v="Convenience stores"/>
    <x v="3"/>
    <s v="Heineken"/>
    <s v="|33/01/21|"/>
    <n v="144"/>
    <n v="1.2"/>
    <n v="1.31"/>
  </r>
  <r>
    <x v="1"/>
    <s v="Convenience stores"/>
    <x v="3"/>
    <s v="Heineken"/>
    <s v="|33/01/22|"/>
    <n v="132"/>
    <n v="1.18"/>
    <n v="1.32"/>
  </r>
  <r>
    <x v="1"/>
    <s v="Convenience stores"/>
    <x v="3"/>
    <s v="Heineken"/>
    <s v="|33/01/23|"/>
    <n v="180"/>
    <n v="1.1100000000000001"/>
    <n v="1.2"/>
  </r>
  <r>
    <x v="1"/>
    <s v="Convenience stores"/>
    <x v="3"/>
    <s v="Heineken"/>
    <s v="|33/01/24|"/>
    <n v="60"/>
    <n v="1.19"/>
    <n v="1.38"/>
  </r>
  <r>
    <x v="1"/>
    <s v="Convenience stores"/>
    <x v="3"/>
    <s v="Heineken"/>
    <s v="|33/01/25|"/>
    <n v="192"/>
    <n v="1.1499999999999999"/>
    <n v="1.27"/>
  </r>
  <r>
    <x v="1"/>
    <s v="Convenience stores"/>
    <x v="3"/>
    <s v="Heineken"/>
    <s v="|33/01/26|"/>
    <n v="180"/>
    <n v="1.0900000000000001"/>
    <n v="1.24"/>
  </r>
  <r>
    <x v="1"/>
    <s v="Convenience stores"/>
    <x v="3"/>
    <s v="Heineken"/>
    <s v="|33/01/30|"/>
    <n v="144"/>
    <n v="1.01"/>
    <n v="1.4"/>
  </r>
  <r>
    <x v="1"/>
    <s v="Convenience stores"/>
    <x v="3"/>
    <s v="Heineken"/>
    <s v="|33/01/31|"/>
    <n v="84"/>
    <n v="1.03"/>
    <n v="1.23"/>
  </r>
  <r>
    <x v="1"/>
    <s v="Convenience stores"/>
    <x v="3"/>
    <s v="Heineken"/>
    <s v="|33/01/32|"/>
    <n v="108"/>
    <n v="1.19"/>
    <n v="1.31"/>
  </r>
  <r>
    <x v="1"/>
    <s v="Convenience stores"/>
    <x v="3"/>
    <s v="Heineken"/>
    <s v="|33/01/33|"/>
    <n v="144"/>
    <n v="1"/>
    <n v="1.25"/>
  </r>
  <r>
    <x v="1"/>
    <s v="Convenience stores"/>
    <x v="3"/>
    <s v="Heineken"/>
    <s v="|33/01/40|"/>
    <n v="120"/>
    <n v="1.07"/>
    <n v="1.25"/>
  </r>
  <r>
    <x v="1"/>
    <s v="Convenience stores"/>
    <x v="3"/>
    <s v="Heineken"/>
    <s v="|33/01/41|"/>
    <n v="84"/>
    <n v="1.1499999999999999"/>
    <n v="1.22"/>
  </r>
  <r>
    <x v="1"/>
    <s v="Convenience stores"/>
    <x v="3"/>
    <s v="Heineken"/>
    <s v="|33/01/42|"/>
    <n v="132"/>
    <n v="1.01"/>
    <n v="1.37"/>
  </r>
  <r>
    <x v="1"/>
    <s v="Convenience stores"/>
    <x v="3"/>
    <s v="Heineken"/>
    <s v="|33/01/43|"/>
    <n v="132"/>
    <n v="1.04"/>
    <n v="1.28"/>
  </r>
  <r>
    <x v="1"/>
    <s v="Convenience stores"/>
    <x v="3"/>
    <s v="Heineken"/>
    <s v="|33/01/44|"/>
    <n v="168"/>
    <n v="1.03"/>
    <n v="1.22"/>
  </r>
  <r>
    <x v="1"/>
    <s v="Convenience stores"/>
    <x v="3"/>
    <s v="Heineken"/>
    <s v="|33/01/45|"/>
    <n v="144"/>
    <n v="1.1599999999999999"/>
    <n v="1.21"/>
  </r>
  <r>
    <x v="1"/>
    <s v="Convenience stores"/>
    <x v="3"/>
    <s v="Heineken"/>
    <s v="|33/01/46|"/>
    <n v="72"/>
    <n v="1.1599999999999999"/>
    <n v="1.36"/>
  </r>
  <r>
    <x v="1"/>
    <s v="Convenience stores"/>
    <x v="3"/>
    <s v="Heineken"/>
    <s v="|33/01/47|"/>
    <n v="120"/>
    <n v="1.1399999999999999"/>
    <n v="1.29"/>
  </r>
  <r>
    <x v="1"/>
    <s v="Convenience stores"/>
    <x v="3"/>
    <s v="Heineken"/>
    <s v="|33/01/48|"/>
    <n v="180"/>
    <n v="1.05"/>
    <n v="1.21"/>
  </r>
  <r>
    <x v="1"/>
    <s v="Convenience stores"/>
    <x v="3"/>
    <s v="Heineken"/>
    <s v="|33/01/49|"/>
    <n v="108"/>
    <n v="1.0900000000000001"/>
    <n v="1.27"/>
  </r>
  <r>
    <x v="1"/>
    <s v="Convenience stores"/>
    <x v="3"/>
    <s v="Heineken"/>
    <s v="|33/01/50|"/>
    <n v="204"/>
    <n v="1.2"/>
    <n v="1.27"/>
  </r>
  <r>
    <x v="1"/>
    <s v="Convenience stores"/>
    <x v="3"/>
    <s v="Heineken"/>
    <s v="|33/01/51|"/>
    <n v="84"/>
    <n v="1.08"/>
    <n v="1.25"/>
  </r>
  <r>
    <x v="1"/>
    <s v="Convenience stores"/>
    <x v="3"/>
    <s v="Heineken"/>
    <s v="|33/01/52|"/>
    <n v="72"/>
    <n v="1.02"/>
    <n v="1.32"/>
  </r>
  <r>
    <x v="1"/>
    <s v="Convenience stores"/>
    <x v="3"/>
    <s v="Heineken"/>
    <s v="|33/01/60|"/>
    <n v="108"/>
    <n v="1"/>
    <n v="1.39"/>
  </r>
  <r>
    <x v="1"/>
    <s v="Convenience stores"/>
    <x v="3"/>
    <s v="Heineken"/>
    <s v="|33/01/61|"/>
    <n v="144"/>
    <n v="1.17"/>
    <n v="1.36"/>
  </r>
  <r>
    <x v="1"/>
    <s v="Convenience stores"/>
    <x v="3"/>
    <s v="Heineken"/>
    <s v="|33/01/62|"/>
    <n v="108"/>
    <n v="1.02"/>
    <n v="1.2"/>
  </r>
  <r>
    <x v="1"/>
    <s v="Convenience stores"/>
    <x v="3"/>
    <s v="Heineken"/>
    <s v="|33/01/63|"/>
    <n v="192"/>
    <n v="1"/>
    <n v="1.22"/>
  </r>
  <r>
    <x v="1"/>
    <s v="Convenience stores"/>
    <x v="3"/>
    <s v="Heineken"/>
    <s v="|33/01/64|"/>
    <n v="108"/>
    <n v="1.06"/>
    <n v="1.25"/>
  </r>
  <r>
    <x v="1"/>
    <s v="Convenience stores"/>
    <x v="3"/>
    <s v="Heineken"/>
    <s v="|33/01/65|"/>
    <n v="204"/>
    <n v="1.02"/>
    <n v="1.28"/>
  </r>
  <r>
    <x v="1"/>
    <s v="Convenience stores"/>
    <x v="3"/>
    <s v="Heineken"/>
    <s v="|33/01/66|"/>
    <n v="156"/>
    <n v="1.18"/>
    <n v="1.39"/>
  </r>
  <r>
    <x v="1"/>
    <s v="Convenience stores"/>
    <x v="3"/>
    <s v="Heineken"/>
    <s v="|33/10/01|"/>
    <n v="120"/>
    <n v="1.01"/>
    <n v="1.36"/>
  </r>
  <r>
    <x v="1"/>
    <s v="Convenience stores"/>
    <x v="3"/>
    <s v="Heineken"/>
    <s v="|33/99/91|"/>
    <n v="156"/>
    <n v="1.19"/>
    <n v="1.26"/>
  </r>
  <r>
    <x v="1"/>
    <s v="Convenience stores"/>
    <x v="3"/>
    <s v="Heineken"/>
    <s v="|33/99/92|"/>
    <n v="168"/>
    <n v="1.18"/>
    <n v="1.28"/>
  </r>
  <r>
    <x v="1"/>
    <s v="Convenience stores"/>
    <x v="3"/>
    <s v="Heineken"/>
    <s v="|33/99/93|"/>
    <n v="108"/>
    <n v="1.01"/>
    <n v="1.33"/>
  </r>
  <r>
    <x v="1"/>
    <s v="Convenience stores"/>
    <x v="3"/>
    <s v="Heineken"/>
    <s v="|33/99/94|"/>
    <n v="156"/>
    <n v="1.01"/>
    <n v="1.32"/>
  </r>
  <r>
    <x v="1"/>
    <s v="Convenience stores"/>
    <x v="3"/>
    <s v="Heineken"/>
    <s v="|33/99/95|"/>
    <n v="108"/>
    <n v="1.07"/>
    <n v="1.23"/>
  </r>
  <r>
    <x v="1"/>
    <s v="Convenience stores"/>
    <x v="3"/>
    <s v="Heineken"/>
    <s v="|33/99/96|"/>
    <n v="144"/>
    <n v="1.07"/>
    <n v="1.36"/>
  </r>
  <r>
    <x v="1"/>
    <s v="Convenience stores"/>
    <x v="3"/>
    <s v="Heineken"/>
    <s v="|33/99/98|"/>
    <n v="180"/>
    <n v="1.18"/>
    <n v="1.29"/>
  </r>
  <r>
    <x v="1"/>
    <s v="Convenience stores"/>
    <x v="3"/>
    <s v="Heineken"/>
    <s v="|33/99/99|"/>
    <n v="132"/>
    <n v="1.1000000000000001"/>
    <n v="1.33"/>
  </r>
  <r>
    <x v="1"/>
    <s v="Convenience stores"/>
    <x v="3"/>
    <s v="Tuborg"/>
    <s v="|33/99/97|"/>
    <n v="168"/>
    <n v="1.1599999999999999"/>
    <n v="1.34"/>
  </r>
  <r>
    <x v="1"/>
    <s v="Convenience stores"/>
    <x v="3"/>
    <s v="Tuborg"/>
    <s v="|97/01/01|"/>
    <n v="84"/>
    <n v="1.03"/>
    <n v="1.3"/>
  </r>
  <r>
    <x v="1"/>
    <s v="Convenience stores"/>
    <x v="3"/>
    <s v="Tuborg"/>
    <s v="|97/01/02|"/>
    <n v="96"/>
    <n v="1.08"/>
    <n v="1.26"/>
  </r>
  <r>
    <x v="1"/>
    <s v="Convenience stores"/>
    <x v="3"/>
    <s v="Tuborg"/>
    <s v="|97/01/03|"/>
    <n v="72"/>
    <n v="1.1000000000000001"/>
    <n v="1.31"/>
  </r>
  <r>
    <x v="1"/>
    <s v="Convenience stores"/>
    <x v="3"/>
    <s v="Tuborg"/>
    <s v="|97/02/01|"/>
    <n v="84"/>
    <n v="1.17"/>
    <n v="1.2"/>
  </r>
  <r>
    <x v="1"/>
    <s v="Convenience stores"/>
    <x v="3"/>
    <s v="Tuborg"/>
    <s v="|97/02/02|"/>
    <n v="60"/>
    <n v="1.19"/>
    <n v="1.33"/>
  </r>
  <r>
    <x v="1"/>
    <s v="Convenience stores"/>
    <x v="3"/>
    <s v="Tuborg"/>
    <s v="|97/02/03|"/>
    <n v="156"/>
    <n v="1"/>
    <n v="1.39"/>
  </r>
  <r>
    <x v="1"/>
    <s v="Convenience stores"/>
    <x v="3"/>
    <s v="Tuborg"/>
    <s v="|97/02/05|"/>
    <n v="96"/>
    <n v="1.1399999999999999"/>
    <n v="1.33"/>
  </r>
  <r>
    <x v="1"/>
    <s v="Convenience stores"/>
    <x v="6"/>
    <s v="Optima"/>
    <s v="|64/01/01|"/>
    <n v="2112"/>
    <n v="2.73"/>
    <n v="3.85"/>
  </r>
  <r>
    <x v="1"/>
    <s v="Convenience stores"/>
    <x v="6"/>
    <s v="Optima"/>
    <s v="|64/01/02|"/>
    <n v="2736"/>
    <n v="2.59"/>
    <n v="3.57"/>
  </r>
  <r>
    <x v="1"/>
    <s v="Convenience stores"/>
    <x v="6"/>
    <s v="Optima"/>
    <s v="|64/02/01|"/>
    <n v="1524"/>
    <n v="2.52"/>
    <n v="3.55"/>
  </r>
  <r>
    <x v="1"/>
    <s v="Convenience stores"/>
    <x v="6"/>
    <s v="Optima"/>
    <s v="|64/02/02|"/>
    <n v="2652"/>
    <n v="2.41"/>
    <n v="3.86"/>
  </r>
  <r>
    <x v="1"/>
    <s v="Convenience stores"/>
    <x v="6"/>
    <s v="Optima"/>
    <s v="|64/02/03|"/>
    <n v="2304"/>
    <n v="2.82"/>
    <n v="3.88"/>
  </r>
  <r>
    <x v="1"/>
    <s v="Convenience stores"/>
    <x v="6"/>
    <s v="Optima"/>
    <s v="|64/02/04|"/>
    <n v="2052"/>
    <n v="2.92"/>
    <n v="3.97"/>
  </r>
  <r>
    <x v="1"/>
    <s v="Convenience stores"/>
    <x v="6"/>
    <s v="Optima"/>
    <s v="|64/02/05|"/>
    <n v="1404"/>
    <n v="2.63"/>
    <n v="3.32"/>
  </r>
  <r>
    <x v="1"/>
    <s v="Convenience stores"/>
    <x v="4"/>
    <s v="Genco"/>
    <s v="|20/10/02|"/>
    <n v="288"/>
    <n v="4.8600000000000003"/>
    <n v="5.35"/>
  </r>
  <r>
    <x v="1"/>
    <s v="Convenience stores"/>
    <x v="4"/>
    <s v="Genco"/>
    <s v="|20/10/03|"/>
    <n v="336"/>
    <n v="4.2300000000000004"/>
    <n v="5.19"/>
  </r>
  <r>
    <x v="1"/>
    <s v="Convenience stores"/>
    <x v="4"/>
    <s v="Genco"/>
    <s v="|20/10/04|"/>
    <n v="600"/>
    <n v="4.03"/>
    <n v="5.13"/>
  </r>
  <r>
    <x v="1"/>
    <s v="Convenience stores"/>
    <x v="4"/>
    <s v="Genco"/>
    <s v="|20/10/05|"/>
    <n v="516"/>
    <n v="4.5"/>
    <n v="5.39"/>
  </r>
  <r>
    <x v="1"/>
    <s v="Convenience stores"/>
    <x v="4"/>
    <s v="Genco"/>
    <s v="|20/10/06|"/>
    <n v="612"/>
    <n v="4.71"/>
    <n v="5.31"/>
  </r>
  <r>
    <x v="1"/>
    <s v="Convenience stores"/>
    <x v="4"/>
    <s v="Genco"/>
    <s v="|20/10/07|"/>
    <n v="408"/>
    <n v="4.0199999999999996"/>
    <n v="5.24"/>
  </r>
  <r>
    <x v="1"/>
    <s v="Convenience stores"/>
    <x v="4"/>
    <s v="Genco"/>
    <s v="|20/10/08|"/>
    <n v="312"/>
    <n v="4.37"/>
    <n v="5.03"/>
  </r>
  <r>
    <x v="1"/>
    <s v="Convenience stores"/>
    <x v="4"/>
    <s v="Genco"/>
    <s v="|20/10/09|"/>
    <n v="360"/>
    <n v="4.8099999999999996"/>
    <n v="5.18"/>
  </r>
  <r>
    <x v="1"/>
    <s v="Convenience stores"/>
    <x v="4"/>
    <s v="Genco"/>
    <s v="|20/10/10|"/>
    <n v="240"/>
    <n v="4.51"/>
    <n v="5.27"/>
  </r>
  <r>
    <x v="1"/>
    <s v="Convenience stores"/>
    <x v="4"/>
    <s v="Genco"/>
    <s v="|20/10/11|"/>
    <n v="540"/>
    <n v="4.0999999999999996"/>
    <n v="5.33"/>
  </r>
  <r>
    <x v="1"/>
    <s v="Convenience stores"/>
    <x v="4"/>
    <s v="Genco"/>
    <s v="|20/10/12|"/>
    <n v="336"/>
    <n v="4.79"/>
    <n v="5.16"/>
  </r>
  <r>
    <x v="1"/>
    <s v="Convenience stores"/>
    <x v="4"/>
    <s v="Genco"/>
    <s v="|20/13/01|"/>
    <n v="564"/>
    <n v="4.25"/>
    <n v="5.0599999999999996"/>
  </r>
  <r>
    <x v="1"/>
    <s v="Convenience stores"/>
    <x v="4"/>
    <s v="Genco"/>
    <s v="|20/13/02|"/>
    <n v="480"/>
    <n v="4.99"/>
    <n v="5.23"/>
  </r>
  <r>
    <x v="1"/>
    <s v="Convenience stores"/>
    <x v="4"/>
    <s v="Genco"/>
    <s v="|20/13/03|"/>
    <n v="324"/>
    <n v="4.3"/>
    <n v="5.17"/>
  </r>
  <r>
    <x v="1"/>
    <s v="Convenience stores"/>
    <x v="4"/>
    <s v="Genco"/>
    <s v="|20/13/04|"/>
    <n v="696"/>
    <n v="4.18"/>
    <n v="5.01"/>
  </r>
  <r>
    <x v="1"/>
    <s v="Convenience stores"/>
    <x v="4"/>
    <s v="Genco"/>
    <s v="|20/13/05|"/>
    <n v="576"/>
    <n v="4.01"/>
    <n v="5.09"/>
  </r>
  <r>
    <x v="1"/>
    <s v="Convenience stores"/>
    <x v="4"/>
    <s v="Genco"/>
    <s v="|20/13/06|"/>
    <n v="516"/>
    <n v="4.55"/>
    <n v="5.05"/>
  </r>
  <r>
    <x v="1"/>
    <s v="Convenience stores"/>
    <x v="4"/>
    <s v="Genco"/>
    <s v="|20/13/07|"/>
    <n v="396"/>
    <n v="4.25"/>
    <n v="5.19"/>
  </r>
  <r>
    <x v="1"/>
    <s v="Convenience stores"/>
    <x v="4"/>
    <s v="Genco"/>
    <s v="|20/13/08|"/>
    <n v="708"/>
    <n v="4.32"/>
    <n v="5.01"/>
  </r>
  <r>
    <x v="1"/>
    <s v="Convenience stores"/>
    <x v="4"/>
    <s v="Genco"/>
    <s v="|20/13/09|"/>
    <n v="348"/>
    <n v="4.33"/>
    <n v="5.3"/>
  </r>
  <r>
    <x v="1"/>
    <s v="Convenience stores"/>
    <x v="4"/>
    <s v="Genco"/>
    <s v="|20/13/10|"/>
    <n v="684"/>
    <n v="4.5999999999999996"/>
    <n v="5.01"/>
  </r>
  <r>
    <x v="1"/>
    <s v="Convenience stores"/>
    <x v="4"/>
    <s v="Genco"/>
    <s v="|20/13/11|"/>
    <n v="324"/>
    <n v="4.33"/>
    <n v="5.35"/>
  </r>
  <r>
    <x v="1"/>
    <s v="Convenience stores"/>
    <x v="4"/>
    <s v="Genco"/>
    <s v="|20/13/12|"/>
    <n v="432"/>
    <n v="4.47"/>
    <n v="5.07"/>
  </r>
  <r>
    <x v="1"/>
    <s v="Convenience stores"/>
    <x v="4"/>
    <s v="Genco"/>
    <s v="|20/13/13|"/>
    <n v="516"/>
    <n v="4.82"/>
    <n v="5.34"/>
  </r>
  <r>
    <x v="1"/>
    <s v="Convenience stores"/>
    <x v="4"/>
    <s v="Genco"/>
    <s v="|20/13/14|"/>
    <n v="564"/>
    <n v="4.16"/>
    <n v="5.17"/>
  </r>
  <r>
    <x v="1"/>
    <s v="Convenience stores"/>
    <x v="4"/>
    <s v="Genco"/>
    <s v="|20/13/15|"/>
    <n v="444"/>
    <n v="4.1100000000000003"/>
    <n v="5.14"/>
  </r>
  <r>
    <x v="1"/>
    <s v="Convenience stores"/>
    <x v="4"/>
    <s v="Genco"/>
    <s v="|20/13/16|"/>
    <n v="492"/>
    <n v="4.83"/>
    <n v="5.38"/>
  </r>
  <r>
    <x v="1"/>
    <s v="Convenience stores"/>
    <x v="4"/>
    <s v="Genco"/>
    <s v="|20/13/17|"/>
    <n v="504"/>
    <n v="4"/>
    <n v="5.04"/>
  </r>
  <r>
    <x v="1"/>
    <s v="Convenience stores"/>
    <x v="4"/>
    <s v="Genco"/>
    <s v="|20/13/18|"/>
    <n v="348"/>
    <n v="4.32"/>
    <n v="5.15"/>
  </r>
  <r>
    <x v="1"/>
    <s v="Convenience stores"/>
    <x v="4"/>
    <s v="Genco"/>
    <s v="|20/13/19|"/>
    <n v="468"/>
    <n v="4.84"/>
    <n v="5.22"/>
  </r>
  <r>
    <x v="1"/>
    <s v="Convenience stores"/>
    <x v="4"/>
    <s v="Genco"/>
    <s v="|20/13/20|"/>
    <n v="516"/>
    <n v="4.84"/>
    <n v="5.35"/>
  </r>
  <r>
    <x v="1"/>
    <s v="Convenience stores"/>
    <x v="4"/>
    <s v="Genco"/>
    <s v="|20/13/21|"/>
    <n v="264"/>
    <n v="4.04"/>
    <n v="5.33"/>
  </r>
  <r>
    <x v="1"/>
    <s v="Convenience stores"/>
    <x v="4"/>
    <s v="Genco"/>
    <s v="|20/13/22|"/>
    <n v="492"/>
    <n v="4.09"/>
    <n v="5.18"/>
  </r>
  <r>
    <x v="1"/>
    <s v="Convenience stores"/>
    <x v="4"/>
    <s v="Genco"/>
    <s v="|20/13/23|"/>
    <n v="672"/>
    <n v="4.25"/>
    <n v="5.39"/>
  </r>
  <r>
    <x v="1"/>
    <s v="Convenience stores"/>
    <x v="4"/>
    <s v="Genco"/>
    <s v="|20/13/24|"/>
    <n v="480"/>
    <n v="4.58"/>
    <n v="5.0999999999999996"/>
  </r>
  <r>
    <x v="1"/>
    <s v="Convenience stores"/>
    <x v="4"/>
    <s v="Genco"/>
    <s v="|20/13/28|"/>
    <n v="540"/>
    <n v="4.83"/>
    <n v="5.0199999999999996"/>
  </r>
  <r>
    <x v="1"/>
    <s v="Convenience stores"/>
    <x v="4"/>
    <s v="Genco"/>
    <s v="|20/13/29|"/>
    <n v="336"/>
    <n v="4.62"/>
    <n v="5.09"/>
  </r>
  <r>
    <x v="1"/>
    <s v="Convenience stores"/>
    <x v="4"/>
    <s v="Genco"/>
    <s v="|20/13/30|"/>
    <n v="468"/>
    <n v="4.79"/>
    <n v="5.0999999999999996"/>
  </r>
  <r>
    <x v="1"/>
    <s v="Convenience stores"/>
    <x v="4"/>
    <s v="Genco"/>
    <s v="|20/13/31|"/>
    <n v="696"/>
    <n v="4.0599999999999996"/>
    <n v="5.29"/>
  </r>
  <r>
    <x v="1"/>
    <s v="Convenience stores"/>
    <x v="4"/>
    <s v="Genco"/>
    <s v="|20/13/32|"/>
    <n v="312"/>
    <n v="4.49"/>
    <n v="5.27"/>
  </r>
  <r>
    <x v="1"/>
    <s v="Convenience stores"/>
    <x v="4"/>
    <s v="Genco"/>
    <s v="|20/13/33|"/>
    <n v="540"/>
    <n v="4.7"/>
    <n v="5.16"/>
  </r>
  <r>
    <x v="1"/>
    <s v="Convenience stores"/>
    <x v="4"/>
    <s v="Genco"/>
    <s v="|20/13/34|"/>
    <n v="708"/>
    <n v="4.8499999999999996"/>
    <n v="5.19"/>
  </r>
  <r>
    <x v="1"/>
    <s v="Convenience stores"/>
    <x v="4"/>
    <s v="Genco"/>
    <s v="|20/13/35|"/>
    <n v="396"/>
    <n v="4.17"/>
    <n v="5.31"/>
  </r>
  <r>
    <x v="1"/>
    <s v="Convenience stores"/>
    <x v="4"/>
    <s v="Genco"/>
    <s v="|20/13/36|"/>
    <n v="504"/>
    <n v="4.62"/>
    <n v="5.24"/>
  </r>
  <r>
    <x v="1"/>
    <s v="Convenience stores"/>
    <x v="4"/>
    <s v="Genco"/>
    <s v="|20/13/37|"/>
    <n v="684"/>
    <n v="4.6900000000000004"/>
    <n v="5.0999999999999996"/>
  </r>
  <r>
    <x v="1"/>
    <s v="Convenience stores"/>
    <x v="4"/>
    <s v="Genco"/>
    <s v="|20/13/38|"/>
    <n v="300"/>
    <n v="4.8099999999999996"/>
    <n v="5"/>
  </r>
  <r>
    <x v="1"/>
    <s v="Convenience stores"/>
    <x v="4"/>
    <s v="Genco"/>
    <s v="|20/13/39|"/>
    <n v="240"/>
    <n v="4.0999999999999996"/>
    <n v="5.24"/>
  </r>
  <r>
    <x v="1"/>
    <s v="Convenience stores"/>
    <x v="4"/>
    <s v="Genco"/>
    <s v="|20/13/40|"/>
    <n v="360"/>
    <n v="4.04"/>
    <n v="5.03"/>
  </r>
  <r>
    <x v="1"/>
    <s v="Convenience stores"/>
    <x v="4"/>
    <s v="Genco"/>
    <s v="|20/13/42|"/>
    <n v="396"/>
    <n v="4.22"/>
    <n v="5.16"/>
  </r>
  <r>
    <x v="1"/>
    <s v="Convenience stores"/>
    <x v="4"/>
    <s v="Genco"/>
    <s v="|20/13/43|"/>
    <n v="648"/>
    <n v="4.04"/>
    <n v="5.21"/>
  </r>
  <r>
    <x v="1"/>
    <s v="Convenience stores"/>
    <x v="4"/>
    <s v="Genco"/>
    <s v="|20/13/44|"/>
    <n v="312"/>
    <n v="4.5599999999999996"/>
    <n v="5.25"/>
  </r>
  <r>
    <x v="1"/>
    <s v="Convenience stores"/>
    <x v="4"/>
    <s v="Genco"/>
    <s v="|20/13/45|"/>
    <n v="504"/>
    <n v="4.63"/>
    <n v="5.04"/>
  </r>
  <r>
    <x v="1"/>
    <s v="Convenience stores"/>
    <x v="4"/>
    <s v="Genco"/>
    <s v="|20/13/46|"/>
    <n v="420"/>
    <n v="4.26"/>
    <n v="5.29"/>
  </r>
  <r>
    <x v="1"/>
    <s v="Convenience stores"/>
    <x v="4"/>
    <s v="Genco"/>
    <s v="|20/13/47|"/>
    <n v="612"/>
    <n v="4.9800000000000004"/>
    <n v="5.03"/>
  </r>
  <r>
    <x v="1"/>
    <s v="Convenience stores"/>
    <x v="4"/>
    <s v="Genco"/>
    <s v="|20/13/48|"/>
    <n v="444"/>
    <n v="4.4400000000000004"/>
    <n v="5.33"/>
  </r>
  <r>
    <x v="1"/>
    <s v="Convenience stores"/>
    <x v="4"/>
    <s v="Genco"/>
    <s v="|20/13/49a|"/>
    <n v="492"/>
    <n v="4.08"/>
    <n v="5.4"/>
  </r>
  <r>
    <x v="1"/>
    <s v="Convenience stores"/>
    <x v="4"/>
    <s v="Genco"/>
    <s v="|20/13/49|"/>
    <n v="648"/>
    <n v="4.4400000000000004"/>
    <n v="5.21"/>
  </r>
  <r>
    <x v="1"/>
    <s v="Convenience stores"/>
    <x v="4"/>
    <s v="Genco"/>
    <s v="|20/13/50|"/>
    <n v="264"/>
    <n v="4.01"/>
    <n v="5.14"/>
  </r>
  <r>
    <x v="1"/>
    <s v="Convenience stores"/>
    <x v="4"/>
    <s v="Genco"/>
    <s v="|20/13/51|"/>
    <n v="684"/>
    <n v="4.79"/>
    <n v="5.18"/>
  </r>
  <r>
    <x v="1"/>
    <s v="Convenience stores"/>
    <x v="4"/>
    <s v="Genco"/>
    <s v="|20/13/52|"/>
    <n v="276"/>
    <n v="4.68"/>
    <n v="5.25"/>
  </r>
  <r>
    <x v="1"/>
    <s v="Convenience stores"/>
    <x v="4"/>
    <s v="Genco"/>
    <s v="|20/13/53|"/>
    <n v="348"/>
    <n v="4.5999999999999996"/>
    <n v="5.13"/>
  </r>
  <r>
    <x v="1"/>
    <s v="Convenience stores"/>
    <x v="4"/>
    <s v="Genco"/>
    <s v="|20/13/54|"/>
    <n v="396"/>
    <n v="4.1100000000000003"/>
    <n v="5.28"/>
  </r>
  <r>
    <x v="1"/>
    <s v="Convenience stores"/>
    <x v="4"/>
    <s v="Genco"/>
    <s v="|20/13/55|"/>
    <n v="672"/>
    <n v="4.4000000000000004"/>
    <n v="5.17"/>
  </r>
  <r>
    <x v="1"/>
    <s v="Convenience stores"/>
    <x v="4"/>
    <s v="Genco"/>
    <s v="|20/13/56|"/>
    <n v="396"/>
    <n v="4.91"/>
    <n v="5.0999999999999996"/>
  </r>
  <r>
    <x v="1"/>
    <s v="Convenience stores"/>
    <x v="4"/>
    <s v="Genco"/>
    <s v="|20/13/57|"/>
    <n v="576"/>
    <n v="4.04"/>
    <n v="5.35"/>
  </r>
  <r>
    <x v="1"/>
    <s v="Convenience stores"/>
    <x v="4"/>
    <s v="Genco"/>
    <s v="|20/13/58|"/>
    <n v="576"/>
    <n v="4.91"/>
    <n v="5.0999999999999996"/>
  </r>
  <r>
    <x v="1"/>
    <s v="Convenience stores"/>
    <x v="4"/>
    <s v="Genco"/>
    <s v="|20/13/79|"/>
    <n v="528"/>
    <n v="4.88"/>
    <n v="5.04"/>
  </r>
  <r>
    <x v="1"/>
    <s v="Convenience stores"/>
    <x v="4"/>
    <s v="Genco"/>
    <s v="|20/13/80|"/>
    <n v="372"/>
    <n v="4.63"/>
    <n v="5.3"/>
  </r>
  <r>
    <x v="1"/>
    <s v="Convenience stores"/>
    <x v="4"/>
    <s v="Genco"/>
    <s v="|20/13/59|"/>
    <n v="384"/>
    <n v="5"/>
    <n v="5.13"/>
  </r>
  <r>
    <x v="1"/>
    <s v="Convenience stores"/>
    <x v="4"/>
    <s v="Genco"/>
    <s v="|20/13/60|"/>
    <n v="276"/>
    <n v="4.51"/>
    <n v="5.04"/>
  </r>
  <r>
    <x v="1"/>
    <s v="Convenience stores"/>
    <x v="3"/>
    <s v="Genco"/>
    <s v="|20/13/61|"/>
    <n v="216"/>
    <n v="1.08"/>
    <n v="1.35"/>
  </r>
  <r>
    <x v="1"/>
    <s v="Convenience stores"/>
    <x v="3"/>
    <s v="Genco"/>
    <s v="|20/14/01|"/>
    <n v="144"/>
    <n v="1.1499999999999999"/>
    <n v="1.26"/>
  </r>
  <r>
    <x v="1"/>
    <s v="Convenience stores"/>
    <x v="3"/>
    <s v="Genco"/>
    <s v="|20/14/02|"/>
    <n v="204"/>
    <n v="1.19"/>
    <n v="1.32"/>
  </r>
  <r>
    <x v="1"/>
    <s v="Convenience stores"/>
    <x v="3"/>
    <s v="Genco"/>
    <s v="|20/14/03|"/>
    <n v="204"/>
    <n v="1.08"/>
    <n v="1.21"/>
  </r>
  <r>
    <x v="1"/>
    <s v="Convenience stores"/>
    <x v="3"/>
    <s v="Genco"/>
    <s v="|20/14/04|"/>
    <n v="84"/>
    <n v="1.19"/>
    <n v="1.24"/>
  </r>
  <r>
    <x v="1"/>
    <s v="Convenience stores"/>
    <x v="3"/>
    <s v="Genco"/>
    <s v="|20/14/05|"/>
    <n v="204"/>
    <n v="1.2"/>
    <n v="1.34"/>
  </r>
  <r>
    <x v="1"/>
    <s v="Convenience stores"/>
    <x v="3"/>
    <s v="Genco"/>
    <s v="|20/14/06|"/>
    <n v="156"/>
    <n v="1.02"/>
    <n v="1.37"/>
  </r>
  <r>
    <x v="1"/>
    <s v="Convenience stores"/>
    <x v="3"/>
    <s v="Genco"/>
    <s v="|20/14/08|"/>
    <n v="108"/>
    <n v="1.1100000000000001"/>
    <n v="1.26"/>
  </r>
  <r>
    <x v="1"/>
    <s v="Convenience stores"/>
    <x v="3"/>
    <s v="Genco"/>
    <s v="|20/14/09|"/>
    <n v="144"/>
    <n v="1.05"/>
    <n v="1.4"/>
  </r>
  <r>
    <x v="1"/>
    <s v="Convenience stores"/>
    <x v="3"/>
    <s v="Genco"/>
    <s v="|20/17/01|"/>
    <n v="204"/>
    <n v="1.1000000000000001"/>
    <n v="1.22"/>
  </r>
  <r>
    <x v="1"/>
    <s v="Convenience stores"/>
    <x v="3"/>
    <s v="Genco"/>
    <s v="|20/17/02|"/>
    <n v="96"/>
    <n v="1.17"/>
    <n v="1.35"/>
  </r>
  <r>
    <x v="1"/>
    <s v="Convenience stores"/>
    <x v="3"/>
    <s v="Genco"/>
    <s v="|20/17/03|"/>
    <n v="96"/>
    <n v="1.18"/>
    <n v="1.3"/>
  </r>
  <r>
    <x v="1"/>
    <s v="Convenience stores"/>
    <x v="3"/>
    <s v="Genco"/>
    <s v="|20/99/91|"/>
    <n v="72"/>
    <n v="1.1599999999999999"/>
    <n v="1.21"/>
  </r>
  <r>
    <x v="1"/>
    <s v="Convenience stores"/>
    <x v="6"/>
    <s v="Brembo"/>
    <s v="|46/01/01|"/>
    <n v="2496"/>
    <n v="2.7"/>
    <n v="3.73"/>
  </r>
  <r>
    <x v="1"/>
    <s v="Convenience stores"/>
    <x v="6"/>
    <s v="Brembo"/>
    <s v="|46/01/02|"/>
    <n v="2004"/>
    <n v="2.59"/>
    <n v="3.77"/>
  </r>
  <r>
    <x v="1"/>
    <s v="Convenience stores"/>
    <x v="6"/>
    <s v="Brembo"/>
    <s v="|46/01/03|"/>
    <n v="2136"/>
    <n v="2.71"/>
    <n v="3.42"/>
  </r>
  <r>
    <x v="1"/>
    <s v="Convenience stores"/>
    <x v="6"/>
    <s v="Brembo"/>
    <s v="|46/01/04|"/>
    <n v="1404"/>
    <n v="2.95"/>
    <n v="3.59"/>
  </r>
  <r>
    <x v="1"/>
    <s v="Convenience stores"/>
    <x v="6"/>
    <s v="Brembo"/>
    <s v="|46/01/05|"/>
    <n v="2496"/>
    <n v="2.75"/>
    <n v="3.61"/>
  </r>
  <r>
    <x v="1"/>
    <s v="Convenience stores"/>
    <x v="6"/>
    <s v="Brembo"/>
    <s v="|46/01/06|"/>
    <n v="1968"/>
    <n v="2.8"/>
    <n v="3.38"/>
  </r>
  <r>
    <x v="1"/>
    <s v="Convenience stores"/>
    <x v="6"/>
    <s v="Brembo"/>
    <s v="|46/01/07|"/>
    <n v="2160"/>
    <n v="2.52"/>
    <n v="3.8"/>
  </r>
  <r>
    <x v="1"/>
    <s v="Convenience stores"/>
    <x v="6"/>
    <s v="Brembo"/>
    <s v="|46/01/08|"/>
    <n v="2172"/>
    <n v="2.81"/>
    <n v="3.65"/>
  </r>
  <r>
    <x v="1"/>
    <s v="Convenience stores"/>
    <x v="6"/>
    <s v="Brembo"/>
    <s v="|46/01/09|"/>
    <n v="2292"/>
    <n v="2.67"/>
    <n v="3.62"/>
  </r>
  <r>
    <x v="1"/>
    <s v="Convenience stores"/>
    <x v="6"/>
    <s v="Brembo"/>
    <s v="|46/01/10|"/>
    <n v="2460"/>
    <n v="2.86"/>
    <n v="3.43"/>
  </r>
  <r>
    <x v="1"/>
    <s v="Convenience stores"/>
    <x v="6"/>
    <s v="Brembo"/>
    <s v="|46/01/11|"/>
    <n v="2124"/>
    <n v="2.37"/>
    <n v="3.69"/>
  </r>
  <r>
    <x v="1"/>
    <s v="Convenience stores"/>
    <x v="6"/>
    <s v="Brembo"/>
    <s v="|46/01/12|"/>
    <n v="2736"/>
    <n v="2.56"/>
    <n v="3.69"/>
  </r>
  <r>
    <x v="1"/>
    <s v="Convenience stores"/>
    <x v="6"/>
    <s v="Brembo"/>
    <s v="|46/01/13|"/>
    <n v="1704"/>
    <n v="2.6"/>
    <n v="3.74"/>
  </r>
  <r>
    <x v="1"/>
    <s v="Convenience stores"/>
    <x v="6"/>
    <s v="Brembo"/>
    <s v="|46/01/14|"/>
    <n v="1260"/>
    <n v="2.34"/>
    <n v="3.97"/>
  </r>
  <r>
    <x v="1"/>
    <s v="Convenience stores"/>
    <x v="6"/>
    <s v="Brembo"/>
    <s v="|46/01/20|"/>
    <n v="1680"/>
    <n v="2.81"/>
    <n v="3.85"/>
  </r>
  <r>
    <x v="1"/>
    <s v="Convenience stores"/>
    <x v="2"/>
    <s v="Illy"/>
    <s v="|80/01/01|"/>
    <n v="9324"/>
    <n v="0.63"/>
    <n v="1.1200000000000001"/>
  </r>
  <r>
    <x v="1"/>
    <s v="Convenience stores"/>
    <x v="2"/>
    <s v="Illy"/>
    <s v="|80/01/02|"/>
    <n v="8784"/>
    <n v="1.2"/>
    <n v="1.1399999999999999"/>
  </r>
  <r>
    <x v="1"/>
    <s v="Convenience stores"/>
    <x v="2"/>
    <s v="Illy"/>
    <s v="|80/01/03|"/>
    <n v="6264"/>
    <n v="0.6"/>
    <n v="1.04"/>
  </r>
  <r>
    <x v="1"/>
    <s v="Convenience stores"/>
    <x v="2"/>
    <s v="Illy"/>
    <s v="|80/01/04|"/>
    <n v="8628"/>
    <n v="0.92"/>
    <n v="1"/>
  </r>
  <r>
    <x v="1"/>
    <s v="Convenience stores"/>
    <x v="2"/>
    <s v="Illy"/>
    <s v="|80/01/05|"/>
    <n v="5004"/>
    <n v="1.0900000000000001"/>
    <n v="1.2"/>
  </r>
  <r>
    <x v="1"/>
    <s v="Convenience stores"/>
    <x v="2"/>
    <s v="Illy"/>
    <s v="|80/01/06|"/>
    <n v="7608"/>
    <n v="0.46"/>
    <n v="0.91"/>
  </r>
  <r>
    <x v="1"/>
    <s v="Convenience stores"/>
    <x v="2"/>
    <s v="Illy"/>
    <s v="|80/01/07|"/>
    <n v="6876"/>
    <n v="0.72"/>
    <n v="1.01"/>
  </r>
  <r>
    <x v="1"/>
    <s v="Convenience stores"/>
    <x v="2"/>
    <s v="Illy"/>
    <s v="|80/01/08|"/>
    <n v="6732"/>
    <n v="0.77"/>
    <n v="1.06"/>
  </r>
  <r>
    <x v="1"/>
    <s v="Convenience stores"/>
    <x v="2"/>
    <s v="Illy"/>
    <s v="|80/01/09|"/>
    <n v="9528"/>
    <n v="0.98"/>
    <n v="1.1499999999999999"/>
  </r>
  <r>
    <x v="1"/>
    <s v="Convenience stores"/>
    <x v="2"/>
    <s v="Illy"/>
    <s v="|80/01/10|"/>
    <n v="7008"/>
    <n v="0.98"/>
    <n v="1.05"/>
  </r>
  <r>
    <x v="1"/>
    <s v="Convenience stores"/>
    <x v="2"/>
    <s v="Illy"/>
    <s v="|80/01/11|"/>
    <n v="5856"/>
    <n v="1.1100000000000001"/>
    <n v="1.02"/>
  </r>
  <r>
    <x v="1"/>
    <s v="Convenience stores"/>
    <x v="2"/>
    <s v="Illy"/>
    <s v="|80/01/12|"/>
    <n v="5136"/>
    <n v="1.03"/>
    <n v="0.96"/>
  </r>
  <r>
    <x v="1"/>
    <s v="Convenience stores"/>
    <x v="2"/>
    <s v="Illy"/>
    <s v="|80/01/13|"/>
    <n v="6468"/>
    <n v="0.85"/>
    <n v="1.19"/>
  </r>
  <r>
    <x v="1"/>
    <s v="Convenience stores"/>
    <x v="2"/>
    <s v="Illy"/>
    <s v="|80/01/14|"/>
    <n v="6204"/>
    <n v="1.1299999999999999"/>
    <n v="0.94"/>
  </r>
  <r>
    <x v="1"/>
    <s v="Convenience stores"/>
    <x v="2"/>
    <s v="Illy"/>
    <s v="|80/01/15|"/>
    <n v="5904"/>
    <n v="1.08"/>
    <n v="1.06"/>
  </r>
  <r>
    <x v="1"/>
    <s v="Convenience stores"/>
    <x v="2"/>
    <s v="Illy"/>
    <s v="|80/01/16|"/>
    <n v="9204"/>
    <n v="0.76"/>
    <n v="1.03"/>
  </r>
  <r>
    <x v="1"/>
    <s v="Convenience stores"/>
    <x v="2"/>
    <s v="Illy"/>
    <s v="|80/01/17|"/>
    <n v="7908"/>
    <n v="0.61"/>
    <n v="0.97"/>
  </r>
  <r>
    <x v="1"/>
    <s v="Convenience stores"/>
    <x v="2"/>
    <s v="Illy"/>
    <s v="|80/01/18|"/>
    <n v="8604"/>
    <n v="0.64"/>
    <n v="1.2"/>
  </r>
  <r>
    <x v="1"/>
    <s v="Convenience stores"/>
    <x v="2"/>
    <s v="Illy"/>
    <s v="|80/01/19|"/>
    <n v="6180"/>
    <n v="0.77"/>
    <n v="1.07"/>
  </r>
  <r>
    <x v="1"/>
    <s v="Convenience stores"/>
    <x v="2"/>
    <s v="Illy"/>
    <s v="|80/01/20|"/>
    <n v="7968"/>
    <n v="0.8"/>
    <n v="0.92"/>
  </r>
  <r>
    <x v="1"/>
    <s v="Convenience stores"/>
    <x v="2"/>
    <s v="Illy"/>
    <s v="|80/01/21|"/>
    <n v="7500"/>
    <n v="0.94"/>
    <n v="1.02"/>
  </r>
  <r>
    <x v="1"/>
    <s v="Convenience stores"/>
    <x v="2"/>
    <s v="Illy"/>
    <s v="|80/01/22|"/>
    <n v="6024"/>
    <n v="1.04"/>
    <n v="0.99"/>
  </r>
  <r>
    <x v="1"/>
    <s v="Convenience stores"/>
    <x v="2"/>
    <s v="Illy"/>
    <s v="|80/01/23|"/>
    <n v="6948"/>
    <n v="0.79"/>
    <n v="0.92"/>
  </r>
  <r>
    <x v="1"/>
    <s v="Convenience stores"/>
    <x v="2"/>
    <s v="Illy"/>
    <s v="|80/01/24|"/>
    <n v="7944"/>
    <n v="0.83"/>
    <n v="1.2"/>
  </r>
  <r>
    <x v="1"/>
    <s v="Convenience stores"/>
    <x v="2"/>
    <s v="Illy"/>
    <s v="|80/01/25|"/>
    <n v="6324"/>
    <n v="0.53"/>
    <n v="0.9"/>
  </r>
  <r>
    <x v="1"/>
    <s v="Convenience stores"/>
    <x v="2"/>
    <s v="Illy"/>
    <s v="|80/01/26|"/>
    <n v="6612"/>
    <n v="1.07"/>
    <n v="1.03"/>
  </r>
  <r>
    <x v="1"/>
    <s v="Convenience stores"/>
    <x v="2"/>
    <s v="Illy"/>
    <s v="|80/01/27|"/>
    <n v="5376"/>
    <n v="1.07"/>
    <n v="1.04"/>
  </r>
  <r>
    <x v="1"/>
    <s v="Convenience stores"/>
    <x v="2"/>
    <s v="Illy"/>
    <s v="|80/01/28|"/>
    <n v="5592"/>
    <n v="0.42"/>
    <n v="1.07"/>
  </r>
  <r>
    <x v="1"/>
    <s v="Convenience stores"/>
    <x v="2"/>
    <s v="Illy"/>
    <s v="|80/01/29|"/>
    <n v="6204"/>
    <n v="1.1299999999999999"/>
    <n v="0.99"/>
  </r>
  <r>
    <x v="1"/>
    <s v="Convenience stores"/>
    <x v="2"/>
    <s v="Illy"/>
    <s v="|80/01/30|"/>
    <n v="7128"/>
    <n v="0.51"/>
    <n v="0.92"/>
  </r>
  <r>
    <x v="1"/>
    <s v="Convenience stores"/>
    <x v="2"/>
    <s v="Illy"/>
    <s v="|80/01/31|"/>
    <n v="5076"/>
    <n v="0.49"/>
    <n v="1.05"/>
  </r>
  <r>
    <x v="1"/>
    <s v="Convenience stores"/>
    <x v="2"/>
    <s v="Illy"/>
    <s v="|80/01/32|"/>
    <n v="7872"/>
    <n v="0.61"/>
    <n v="1.1200000000000001"/>
  </r>
  <r>
    <x v="1"/>
    <s v="Convenience stores"/>
    <x v="2"/>
    <s v="Illy"/>
    <s v="|80/01/33|"/>
    <n v="7140"/>
    <n v="0.93"/>
    <n v="1.19"/>
  </r>
  <r>
    <x v="1"/>
    <s v="Convenience stores"/>
    <x v="2"/>
    <s v="Illy"/>
    <s v="|80/01/34|"/>
    <n v="8988"/>
    <n v="1.1599999999999999"/>
    <n v="0.95"/>
  </r>
  <r>
    <x v="1"/>
    <s v="Convenience stores"/>
    <x v="2"/>
    <s v="Illy"/>
    <s v="|80/01/35|"/>
    <n v="8652"/>
    <n v="0.68"/>
    <n v="1.1299999999999999"/>
  </r>
  <r>
    <x v="1"/>
    <s v="Convenience stores"/>
    <x v="2"/>
    <s v="Illy"/>
    <s v="|80/01/36|"/>
    <n v="6312"/>
    <n v="0.82"/>
    <n v="0.91"/>
  </r>
  <r>
    <x v="1"/>
    <s v="Convenience stores"/>
    <x v="2"/>
    <s v="Illy"/>
    <s v="|80/01/37|"/>
    <n v="6552"/>
    <n v="0.91"/>
    <n v="1.1000000000000001"/>
  </r>
  <r>
    <x v="1"/>
    <s v="Convenience stores"/>
    <x v="2"/>
    <s v="Illy"/>
    <s v="|80/01/38|"/>
    <n v="5304"/>
    <n v="0.8"/>
    <n v="0.93"/>
  </r>
  <r>
    <x v="1"/>
    <s v="Convenience stores"/>
    <x v="2"/>
    <s v="Illy"/>
    <s v="|80/01/40|"/>
    <n v="8952"/>
    <n v="0.52"/>
    <n v="1.06"/>
  </r>
  <r>
    <x v="1"/>
    <s v="Convenience stores"/>
    <x v="7"/>
    <s v="Kraus"/>
    <s v="|126/01/01|"/>
    <n v="1164"/>
    <n v="2.17"/>
    <n v="3.76"/>
  </r>
  <r>
    <x v="1"/>
    <s v="Convenience stores"/>
    <x v="7"/>
    <s v="Kraus"/>
    <s v="|126/01/02|"/>
    <n v="684"/>
    <n v="2.89"/>
    <n v="3.41"/>
  </r>
  <r>
    <x v="1"/>
    <s v="Convenience stores"/>
    <x v="7"/>
    <s v="Kraus"/>
    <s v="|126/01/03|"/>
    <n v="1068"/>
    <n v="2.63"/>
    <n v="3.69"/>
  </r>
  <r>
    <x v="1"/>
    <s v="Convenience stores"/>
    <x v="7"/>
    <s v="Kraus"/>
    <s v="|126/01/04|"/>
    <n v="972"/>
    <n v="2.66"/>
    <n v="3.2"/>
  </r>
  <r>
    <x v="1"/>
    <s v="Convenience stores"/>
    <x v="7"/>
    <s v="Kraus"/>
    <s v="|126/01/05|"/>
    <n v="924"/>
    <n v="2.0699999999999998"/>
    <n v="3.53"/>
  </r>
  <r>
    <x v="1"/>
    <s v="Convenience stores"/>
    <x v="7"/>
    <s v="Kraus"/>
    <s v="|126/01/06|"/>
    <n v="684"/>
    <n v="2.06"/>
    <n v="3.88"/>
  </r>
  <r>
    <x v="1"/>
    <s v="Convenience stores"/>
    <x v="7"/>
    <s v="Kraus"/>
    <s v="|126/01/07|"/>
    <n v="780"/>
    <n v="2.5"/>
    <n v="3.36"/>
  </r>
  <r>
    <x v="1"/>
    <s v="Convenience stores"/>
    <x v="7"/>
    <s v="Kraus"/>
    <s v="|126/01/08|"/>
    <n v="996"/>
    <n v="2.19"/>
    <n v="3.31"/>
  </r>
  <r>
    <x v="1"/>
    <s v="Convenience stores"/>
    <x v="7"/>
    <s v="Kraus"/>
    <s v="|126/01/09|"/>
    <n v="1116"/>
    <n v="2.0499999999999998"/>
    <n v="3.31"/>
  </r>
  <r>
    <x v="1"/>
    <s v="Convenience stores"/>
    <x v="7"/>
    <s v="Kraus"/>
    <s v="|126/02/01|"/>
    <n v="1032"/>
    <n v="2.42"/>
    <n v="3.63"/>
  </r>
  <r>
    <x v="1"/>
    <s v="Convenience stores"/>
    <x v="7"/>
    <s v="Kraus"/>
    <s v="|126/02/02|"/>
    <n v="1152"/>
    <n v="2.38"/>
    <n v="3.66"/>
  </r>
  <r>
    <x v="1"/>
    <s v="Convenience stores"/>
    <x v="7"/>
    <s v="Kraus"/>
    <s v="|126/02/03|"/>
    <n v="768"/>
    <n v="2.11"/>
    <n v="3.97"/>
  </r>
  <r>
    <x v="1"/>
    <s v="Convenience stores"/>
    <x v="7"/>
    <s v="Kraus"/>
    <s v="|126/02/04|"/>
    <n v="624"/>
    <n v="2.5099999999999998"/>
    <n v="4"/>
  </r>
  <r>
    <x v="1"/>
    <s v="Convenience stores"/>
    <x v="7"/>
    <s v="Kraus"/>
    <s v="|126/02/05|"/>
    <n v="636"/>
    <n v="3"/>
    <n v="3.92"/>
  </r>
  <r>
    <x v="1"/>
    <s v="Convenience stores"/>
    <x v="7"/>
    <s v="Kraus"/>
    <s v="|126/02/06|"/>
    <n v="1068"/>
    <n v="2.95"/>
    <n v="3.51"/>
  </r>
  <r>
    <x v="1"/>
    <s v="Convenience stores"/>
    <x v="7"/>
    <s v="Kraus"/>
    <s v="|126/02/07|"/>
    <n v="864"/>
    <n v="3"/>
    <n v="3.77"/>
  </r>
  <r>
    <x v="1"/>
    <s v="Convenience stores"/>
    <x v="7"/>
    <s v="Kraus"/>
    <s v="|126/02/08|"/>
    <n v="612"/>
    <n v="2.85"/>
    <n v="3.89"/>
  </r>
  <r>
    <x v="1"/>
    <s v="Convenience stores"/>
    <x v="7"/>
    <s v="Kraus"/>
    <s v="|126/02/09|"/>
    <n v="816"/>
    <n v="2.8"/>
    <n v="4"/>
  </r>
  <r>
    <x v="1"/>
    <s v="Convenience stores"/>
    <x v="7"/>
    <s v="Kraus"/>
    <s v="|126/02/10|"/>
    <n v="1020"/>
    <n v="2.89"/>
    <n v="3.58"/>
  </r>
  <r>
    <x v="1"/>
    <s v="Convenience stores"/>
    <x v="7"/>
    <s v="Kraus"/>
    <s v="|126/02/11|"/>
    <n v="756"/>
    <n v="2.25"/>
    <n v="3.29"/>
  </r>
  <r>
    <x v="1"/>
    <s v="Convenience stores"/>
    <x v="7"/>
    <s v="Kraus"/>
    <s v="|126/02/12|"/>
    <n v="996"/>
    <n v="2.4900000000000002"/>
    <n v="3.41"/>
  </r>
  <r>
    <x v="1"/>
    <s v="Convenience stores"/>
    <x v="7"/>
    <s v="Kraus"/>
    <s v="|126/02/13|"/>
    <n v="756"/>
    <n v="2.44"/>
    <n v="3.68"/>
  </r>
  <r>
    <x v="1"/>
    <s v="Convenience stores"/>
    <x v="7"/>
    <s v="Kraus"/>
    <s v="|126/02/14|"/>
    <n v="780"/>
    <n v="2.8"/>
    <n v="3.47"/>
  </r>
  <r>
    <x v="1"/>
    <s v="Convenience stores"/>
    <x v="7"/>
    <s v="Kraus"/>
    <s v="|126/03/01|"/>
    <n v="876"/>
    <n v="2.4"/>
    <n v="3.55"/>
  </r>
  <r>
    <x v="1"/>
    <s v="Convenience stores"/>
    <x v="7"/>
    <s v="Kraus"/>
    <s v="|126/03/02|"/>
    <n v="768"/>
    <n v="2.78"/>
    <n v="3.35"/>
  </r>
  <r>
    <x v="1"/>
    <s v="Convenience stores"/>
    <x v="7"/>
    <s v="Kraus"/>
    <s v="|126/03/03|"/>
    <n v="624"/>
    <n v="2.95"/>
    <n v="3.46"/>
  </r>
  <r>
    <x v="1"/>
    <s v="Convenience stores"/>
    <x v="7"/>
    <s v="Kraus"/>
    <s v="|126/03/04|"/>
    <n v="756"/>
    <n v="2.85"/>
    <n v="3.33"/>
  </r>
  <r>
    <x v="1"/>
    <s v="Convenience stores"/>
    <x v="7"/>
    <s v="Kraus"/>
    <s v="|126/03/05|"/>
    <n v="864"/>
    <n v="2.75"/>
    <n v="3.79"/>
  </r>
  <r>
    <x v="1"/>
    <s v="Convenience stores"/>
    <x v="7"/>
    <s v="Fast&amp;Easy"/>
    <s v="|82/02/23|"/>
    <n v="732"/>
    <n v="2.58"/>
    <n v="3.7"/>
  </r>
  <r>
    <x v="1"/>
    <s v="Convenience stores"/>
    <x v="7"/>
    <s v="Fast&amp;Easy"/>
    <s v="|82/02/24|"/>
    <n v="924"/>
    <n v="2.57"/>
    <n v="3.67"/>
  </r>
  <r>
    <x v="1"/>
    <s v="Convenience stores"/>
    <x v="7"/>
    <s v="Fast&amp;Easy"/>
    <s v="|125/02/01|"/>
    <n v="636"/>
    <n v="2.0499999999999998"/>
    <n v="3.87"/>
  </r>
  <r>
    <x v="1"/>
    <s v="Convenience stores"/>
    <x v="7"/>
    <s v="Fast&amp;Easy"/>
    <s v="|125/02/04|"/>
    <n v="984"/>
    <n v="2.11"/>
    <n v="3.54"/>
  </r>
  <r>
    <x v="1"/>
    <s v="Convenience stores"/>
    <x v="7"/>
    <s v="Fast&amp;Easy"/>
    <s v="|125/02/06|"/>
    <n v="1188"/>
    <n v="2.58"/>
    <n v="3.2"/>
  </r>
  <r>
    <x v="1"/>
    <s v="Convenience stores"/>
    <x v="7"/>
    <s v="Fast&amp;Easy"/>
    <s v="|125/02/07|"/>
    <n v="972"/>
    <n v="2.93"/>
    <n v="3.89"/>
  </r>
  <r>
    <x v="1"/>
    <s v="Convenience stores"/>
    <x v="7"/>
    <s v="Fast&amp;Easy"/>
    <s v="|125/02/08|"/>
    <n v="1032"/>
    <n v="2.88"/>
    <n v="3.8"/>
  </r>
  <r>
    <x v="1"/>
    <s v="Convenience stores"/>
    <x v="7"/>
    <s v="Fast&amp;Easy"/>
    <s v="|125/04/01|"/>
    <n v="996"/>
    <n v="2.97"/>
    <n v="3.86"/>
  </r>
  <r>
    <x v="1"/>
    <s v="Convenience stores"/>
    <x v="7"/>
    <s v="Fast&amp;Easy"/>
    <s v="|125/04/16|"/>
    <n v="624"/>
    <n v="2.88"/>
    <n v="3.3"/>
  </r>
  <r>
    <x v="1"/>
    <s v="Convenience stores"/>
    <x v="7"/>
    <s v="Fast&amp;Easy"/>
    <s v="|125/04/17|"/>
    <n v="780"/>
    <n v="2.41"/>
    <n v="3.46"/>
  </r>
  <r>
    <x v="1"/>
    <s v="Convenience stores"/>
    <x v="7"/>
    <s v="Fast&amp;Easy"/>
    <s v="|125/05/02|"/>
    <n v="1152"/>
    <n v="2.48"/>
    <n v="3.24"/>
  </r>
  <r>
    <x v="1"/>
    <s v="Convenience stores"/>
    <x v="7"/>
    <s v="Fast&amp;Easy"/>
    <s v="|125/05/03|"/>
    <n v="1176"/>
    <n v="2.0699999999999998"/>
    <n v="3.58"/>
  </r>
  <r>
    <x v="1"/>
    <s v="Convenience stores"/>
    <x v="7"/>
    <s v="Fast&amp;Easy"/>
    <s v="|125/05/04|"/>
    <n v="1080"/>
    <n v="2.0499999999999998"/>
    <n v="3.56"/>
  </r>
  <r>
    <x v="1"/>
    <s v="Convenience stores"/>
    <x v="7"/>
    <s v="Fast&amp;Easy"/>
    <s v="|125/05/06|"/>
    <n v="648"/>
    <n v="2.77"/>
    <n v="3.49"/>
  </r>
  <r>
    <x v="1"/>
    <s v="Convenience stores"/>
    <x v="7"/>
    <s v="Fast&amp;Easy"/>
    <s v="|125/05/07|"/>
    <n v="876"/>
    <n v="2.95"/>
    <n v="3.39"/>
  </r>
  <r>
    <x v="1"/>
    <s v="Convenience stores"/>
    <x v="7"/>
    <s v="Fast&amp;Easy"/>
    <s v="|125/05/08|"/>
    <n v="960"/>
    <n v="2.16"/>
    <n v="3.35"/>
  </r>
  <r>
    <x v="1"/>
    <s v="Convenience stores"/>
    <x v="7"/>
    <s v="Fast&amp;Easy"/>
    <s v="|125/05/09|"/>
    <n v="768"/>
    <n v="2.46"/>
    <n v="3.21"/>
  </r>
  <r>
    <x v="1"/>
    <s v="Convenience stores"/>
    <x v="7"/>
    <s v="Fast&amp;Easy"/>
    <s v="|125/05/15|"/>
    <n v="1128"/>
    <n v="2.81"/>
    <n v="3.6"/>
  </r>
  <r>
    <x v="1"/>
    <s v="Convenience stores"/>
    <x v="7"/>
    <s v="Fast&amp;Easy"/>
    <s v="|125/05/17|"/>
    <n v="1020"/>
    <n v="2.3199999999999998"/>
    <n v="3.53"/>
  </r>
  <r>
    <x v="1"/>
    <s v="Convenience stores"/>
    <x v="7"/>
    <s v="Fast&amp;Easy"/>
    <s v="|125/05/18|"/>
    <n v="1116"/>
    <n v="2.99"/>
    <n v="3.51"/>
  </r>
  <r>
    <x v="1"/>
    <s v="Convenience stores"/>
    <x v="7"/>
    <s v="Fast&amp;Easy"/>
    <s v="|125/05/20|"/>
    <n v="804"/>
    <n v="2.57"/>
    <n v="3.67"/>
  </r>
  <r>
    <x v="1"/>
    <s v="Convenience stores"/>
    <x v="7"/>
    <s v="Fast&amp;Easy"/>
    <s v="|125/05/22|"/>
    <n v="840"/>
    <n v="2.63"/>
    <n v="3.41"/>
  </r>
  <r>
    <x v="1"/>
    <s v="Convenience stores"/>
    <x v="7"/>
    <s v="Fast&amp;Easy"/>
    <s v="|125/05/23|"/>
    <n v="816"/>
    <n v="2.48"/>
    <n v="3.9"/>
  </r>
  <r>
    <x v="1"/>
    <s v="Convenience stores"/>
    <x v="7"/>
    <s v="Fast&amp;Easy"/>
    <s v="|125/05/28|"/>
    <n v="900"/>
    <n v="2.5299999999999998"/>
    <n v="3.34"/>
  </r>
  <r>
    <x v="1"/>
    <s v="Convenience stores"/>
    <x v="7"/>
    <s v="Fast&amp;Easy"/>
    <s v="|125/05/32|"/>
    <n v="888"/>
    <n v="2.19"/>
    <n v="3.73"/>
  </r>
  <r>
    <x v="1"/>
    <s v="Convenience stores"/>
    <x v="7"/>
    <s v="Fast&amp;Easy"/>
    <s v="|125/05/37|"/>
    <n v="792"/>
    <n v="2.69"/>
    <n v="3.69"/>
  </r>
  <r>
    <x v="1"/>
    <s v="Convenience stores"/>
    <x v="7"/>
    <s v="Fast&amp;Easy"/>
    <s v="|125/05/42|"/>
    <n v="792"/>
    <n v="2.71"/>
    <n v="3.92"/>
  </r>
  <r>
    <x v="1"/>
    <s v="Convenience stores"/>
    <x v="7"/>
    <s v="Fast&amp;Easy"/>
    <s v="|125/05/50|"/>
    <n v="864"/>
    <n v="2.64"/>
    <n v="3.78"/>
  </r>
  <r>
    <x v="1"/>
    <s v="Convenience stores"/>
    <x v="7"/>
    <s v="Fast&amp;Easy"/>
    <s v="|125/05/58|"/>
    <n v="828"/>
    <n v="2.61"/>
    <n v="3.6"/>
  </r>
  <r>
    <x v="1"/>
    <s v="Convenience stores"/>
    <x v="7"/>
    <s v="Fast&amp;Easy"/>
    <s v="|125/05/59|"/>
    <n v="840"/>
    <n v="2.37"/>
    <n v="3.78"/>
  </r>
  <r>
    <x v="1"/>
    <s v="Convenience stores"/>
    <x v="6"/>
    <s v="Ice Allstars"/>
    <s v="|10/01/01|"/>
    <n v="2400"/>
    <n v="2.9"/>
    <n v="3.87"/>
  </r>
  <r>
    <x v="1"/>
    <s v="Convenience stores"/>
    <x v="6"/>
    <s v="Ice Allstars"/>
    <s v="|10/01/02|"/>
    <n v="2484"/>
    <n v="2.4900000000000002"/>
    <n v="3.81"/>
  </r>
  <r>
    <x v="1"/>
    <s v="Convenience stores"/>
    <x v="6"/>
    <s v="Ice Allstars"/>
    <s v="|10/01/03|"/>
    <n v="1452"/>
    <n v="2.64"/>
    <n v="3.49"/>
  </r>
  <r>
    <x v="1"/>
    <s v="Convenience stores"/>
    <x v="6"/>
    <s v="Ice Allstars"/>
    <s v="|10/01/04|"/>
    <n v="1416"/>
    <n v="2.8"/>
    <n v="3.57"/>
  </r>
  <r>
    <x v="1"/>
    <s v="Convenience stores"/>
    <x v="6"/>
    <s v="Ice Allstars"/>
    <s v="|10/01/05|"/>
    <n v="2376"/>
    <n v="2.67"/>
    <n v="3.47"/>
  </r>
  <r>
    <x v="1"/>
    <s v="Convenience stores"/>
    <x v="6"/>
    <s v="Ice Allstars"/>
    <s v="|10/01/06|"/>
    <n v="2712"/>
    <n v="2.74"/>
    <n v="3.95"/>
  </r>
  <r>
    <x v="1"/>
    <s v="Convenience stores"/>
    <x v="6"/>
    <s v="Ice Allstars"/>
    <s v="|10/01/07|"/>
    <n v="2436"/>
    <n v="2.5499999999999998"/>
    <n v="3.43"/>
  </r>
  <r>
    <x v="1"/>
    <s v="Convenience stores"/>
    <x v="6"/>
    <s v="Ice Allstars"/>
    <s v="|10/01/08|"/>
    <n v="1332"/>
    <n v="2.48"/>
    <n v="3.67"/>
  </r>
  <r>
    <x v="1"/>
    <s v="Convenience stores"/>
    <x v="6"/>
    <s v="Ice Allstars"/>
    <s v="|10/01/09|"/>
    <n v="1644"/>
    <n v="2.2999999999999998"/>
    <n v="3.89"/>
  </r>
  <r>
    <x v="1"/>
    <s v="Convenience stores"/>
    <x v="6"/>
    <s v="Ice Allstars"/>
    <s v="|10/01/12|"/>
    <n v="1836"/>
    <n v="2.6"/>
    <n v="3.94"/>
  </r>
  <r>
    <x v="1"/>
    <s v="Convenience stores"/>
    <x v="7"/>
    <s v="Doleo"/>
    <s v="|113/01/01|"/>
    <n v="1044"/>
    <n v="2.62"/>
    <n v="3.22"/>
  </r>
  <r>
    <x v="1"/>
    <s v="Convenience stores"/>
    <x v="7"/>
    <s v="Doleo"/>
    <s v="|113/01/04|"/>
    <n v="696"/>
    <n v="2.02"/>
    <n v="3.74"/>
  </r>
  <r>
    <x v="1"/>
    <s v="Convenience stores"/>
    <x v="7"/>
    <s v="Doleo"/>
    <s v="|113/01/05|"/>
    <n v="744"/>
    <n v="2.41"/>
    <n v="3.84"/>
  </r>
  <r>
    <x v="1"/>
    <s v="Convenience stores"/>
    <x v="7"/>
    <s v="Doleo"/>
    <s v="|113/01/09|"/>
    <n v="696"/>
    <n v="2.61"/>
    <n v="3.72"/>
  </r>
  <r>
    <x v="1"/>
    <s v="Convenience stores"/>
    <x v="7"/>
    <s v="Doleo"/>
    <s v="|113/01/23|"/>
    <n v="1140"/>
    <n v="2.2999999999999998"/>
    <n v="3.4"/>
  </r>
  <r>
    <x v="1"/>
    <s v="Convenience stores"/>
    <x v="7"/>
    <s v="Doleo"/>
    <s v="|113/01/30|"/>
    <n v="912"/>
    <n v="2.96"/>
    <n v="3.72"/>
  </r>
  <r>
    <x v="1"/>
    <s v="Convenience stores"/>
    <x v="7"/>
    <s v="Doleo"/>
    <s v="|113/01/31|"/>
    <n v="1140"/>
    <n v="2.58"/>
    <n v="3.87"/>
  </r>
  <r>
    <x v="1"/>
    <s v="Convenience stores"/>
    <x v="7"/>
    <s v="Doleo"/>
    <s v="|113/01/33|"/>
    <n v="708"/>
    <n v="2.8"/>
    <n v="3.68"/>
  </r>
  <r>
    <x v="1"/>
    <s v="Convenience stores"/>
    <x v="7"/>
    <s v="Doleo"/>
    <s v="|113/01/34|"/>
    <n v="1176"/>
    <n v="2.23"/>
    <n v="3.5"/>
  </r>
  <r>
    <x v="1"/>
    <s v="Convenience stores"/>
    <x v="7"/>
    <s v="Doleo"/>
    <s v="|113/01/36|"/>
    <n v="912"/>
    <n v="2.69"/>
    <n v="3.4"/>
  </r>
  <r>
    <x v="1"/>
    <s v="Convenience stores"/>
    <x v="7"/>
    <s v="Doleo"/>
    <s v="|113/01/59|"/>
    <n v="1152"/>
    <n v="2.8"/>
    <n v="3.51"/>
  </r>
  <r>
    <x v="1"/>
    <s v="Convenience stores"/>
    <x v="7"/>
    <s v="Doleo"/>
    <s v="|113/01/76|"/>
    <n v="672"/>
    <n v="2.2400000000000002"/>
    <n v="3.26"/>
  </r>
  <r>
    <x v="1"/>
    <s v="Convenience stores"/>
    <x v="6"/>
    <s v="Real ice"/>
    <s v="|112/01/01|"/>
    <n v="1848"/>
    <n v="2.31"/>
    <n v="3.49"/>
  </r>
  <r>
    <x v="1"/>
    <s v="Convenience stores"/>
    <x v="6"/>
    <s v="Real ice"/>
    <s v="|112/01/02|"/>
    <n v="1308"/>
    <n v="2.81"/>
    <n v="3.92"/>
  </r>
  <r>
    <x v="1"/>
    <s v="Convenience stores"/>
    <x v="6"/>
    <s v="Real ice"/>
    <s v="|112/01/03|"/>
    <n v="2640"/>
    <n v="2.4500000000000002"/>
    <n v="3.36"/>
  </r>
  <r>
    <x v="1"/>
    <s v="Convenience stores"/>
    <x v="6"/>
    <s v="Real ice"/>
    <s v="|112/01/05|"/>
    <n v="2400"/>
    <n v="2.73"/>
    <n v="3.32"/>
  </r>
  <r>
    <x v="1"/>
    <s v="Convenience stores"/>
    <x v="4"/>
    <s v="L'Oreal"/>
    <s v="|116/01/01|"/>
    <n v="408"/>
    <n v="4.72"/>
    <n v="5.32"/>
  </r>
  <r>
    <x v="1"/>
    <s v="Convenience stores"/>
    <x v="4"/>
    <s v="L'Oreal"/>
    <s v="|116/01/02|"/>
    <n v="660"/>
    <n v="4.42"/>
    <n v="5.07"/>
  </r>
  <r>
    <x v="1"/>
    <s v="Convenience stores"/>
    <x v="4"/>
    <s v="L'Oreal"/>
    <s v="|116/01/03|"/>
    <n v="300"/>
    <n v="4.17"/>
    <n v="5.24"/>
  </r>
  <r>
    <x v="1"/>
    <s v="Convenience stores"/>
    <x v="4"/>
    <s v="L'Oreal"/>
    <s v="|116/01/04|"/>
    <n v="432"/>
    <n v="4.3600000000000003"/>
    <n v="5.04"/>
  </r>
  <r>
    <x v="1"/>
    <s v="Convenience stores"/>
    <x v="7"/>
    <s v="Green stars"/>
    <s v="|62/10/01|"/>
    <n v="648"/>
    <n v="2.79"/>
    <n v="3.59"/>
  </r>
  <r>
    <x v="1"/>
    <s v="Convenience stores"/>
    <x v="7"/>
    <s v="Green stars"/>
    <s v="|62/11/15|"/>
    <n v="1044"/>
    <n v="2.2999999999999998"/>
    <n v="3.68"/>
  </r>
  <r>
    <x v="1"/>
    <s v="Convenience stores"/>
    <x v="7"/>
    <s v="Green stars"/>
    <s v="|82/01/03|"/>
    <n v="696"/>
    <n v="2.5499999999999998"/>
    <n v="3.43"/>
  </r>
  <r>
    <x v="1"/>
    <s v="Convenience stores"/>
    <x v="7"/>
    <s v="Green stars"/>
    <s v="|82/01/04|"/>
    <n v="624"/>
    <n v="2.82"/>
    <n v="3.95"/>
  </r>
  <r>
    <x v="1"/>
    <s v="Convenience stores"/>
    <x v="7"/>
    <s v="Green stars"/>
    <s v="|82/01/05|"/>
    <n v="1020"/>
    <n v="2.38"/>
    <n v="3.8"/>
  </r>
  <r>
    <x v="1"/>
    <s v="Convenience stores"/>
    <x v="7"/>
    <s v="Green stars"/>
    <s v="|82/01/06|"/>
    <n v="960"/>
    <n v="2.46"/>
    <n v="3.45"/>
  </r>
  <r>
    <x v="1"/>
    <s v="Convenience stores"/>
    <x v="7"/>
    <s v="Green stars"/>
    <s v="|82/01/07|"/>
    <n v="1200"/>
    <n v="2.57"/>
    <n v="3.83"/>
  </r>
  <r>
    <x v="1"/>
    <s v="Convenience stores"/>
    <x v="7"/>
    <s v="Green stars"/>
    <s v="|82/01/08|"/>
    <n v="852"/>
    <n v="2.98"/>
    <n v="3.75"/>
  </r>
  <r>
    <x v="1"/>
    <s v="Convenience stores"/>
    <x v="7"/>
    <s v="Green stars"/>
    <s v="|82/01/09|"/>
    <n v="660"/>
    <n v="2.5099999999999998"/>
    <n v="3.32"/>
  </r>
  <r>
    <x v="1"/>
    <s v="Convenience stores"/>
    <x v="7"/>
    <s v="Green stars"/>
    <s v="|82/01/11|"/>
    <n v="1068"/>
    <n v="2.44"/>
    <n v="3.4"/>
  </r>
  <r>
    <x v="1"/>
    <s v="Convenience stores"/>
    <x v="7"/>
    <s v="Green stars"/>
    <s v="|82/01/12|"/>
    <n v="1176"/>
    <n v="2.35"/>
    <n v="3.53"/>
  </r>
  <r>
    <x v="1"/>
    <s v="Convenience stores"/>
    <x v="7"/>
    <s v="Green stars"/>
    <s v="|82/01/13|"/>
    <n v="1164"/>
    <n v="2.78"/>
    <n v="3.6"/>
  </r>
  <r>
    <x v="1"/>
    <s v="Convenience stores"/>
    <x v="7"/>
    <s v="Green stars"/>
    <s v="|82/01/16|"/>
    <n v="648"/>
    <n v="2.4700000000000002"/>
    <n v="3.4"/>
  </r>
  <r>
    <x v="1"/>
    <s v="Convenience stores"/>
    <x v="7"/>
    <s v="Green stars"/>
    <s v="|82/01/17|"/>
    <n v="912"/>
    <n v="2.1800000000000002"/>
    <n v="3.36"/>
  </r>
  <r>
    <x v="1"/>
    <s v="Convenience stores"/>
    <x v="7"/>
    <s v="Green stars"/>
    <s v="|82/01/18|"/>
    <n v="1008"/>
    <n v="2.84"/>
    <n v="3.2"/>
  </r>
  <r>
    <x v="1"/>
    <s v="Convenience stores"/>
    <x v="7"/>
    <s v="Green stars"/>
    <s v="|82/01/19|"/>
    <n v="600"/>
    <n v="2.5499999999999998"/>
    <n v="3.7"/>
  </r>
  <r>
    <x v="1"/>
    <s v="Convenience stores"/>
    <x v="7"/>
    <s v="Green stars"/>
    <s v="|82/01/20|"/>
    <n v="792"/>
    <n v="2.59"/>
    <n v="3.88"/>
  </r>
  <r>
    <x v="1"/>
    <s v="Convenience stores"/>
    <x v="7"/>
    <s v="Green stars"/>
    <s v="|82/01/21|"/>
    <n v="1140"/>
    <n v="2.95"/>
    <n v="3.41"/>
  </r>
  <r>
    <x v="1"/>
    <s v="Convenience stores"/>
    <x v="7"/>
    <s v="Green stars"/>
    <s v="|82/01/22|"/>
    <n v="660"/>
    <n v="2.67"/>
    <n v="3.98"/>
  </r>
  <r>
    <x v="1"/>
    <s v="Convenience stores"/>
    <x v="7"/>
    <s v="Green stars"/>
    <s v="|82/01/23|"/>
    <n v="744"/>
    <n v="2.2799999999999998"/>
    <n v="3.22"/>
  </r>
  <r>
    <x v="1"/>
    <s v="Convenience stores"/>
    <x v="7"/>
    <s v="Green stars"/>
    <s v="|82/01/24|"/>
    <n v="624"/>
    <n v="2.44"/>
    <n v="3.24"/>
  </r>
  <r>
    <x v="1"/>
    <s v="Convenience stores"/>
    <x v="7"/>
    <s v="Green stars"/>
    <s v="|82/01/25|"/>
    <n v="660"/>
    <n v="2.0299999999999998"/>
    <n v="3.7"/>
  </r>
  <r>
    <x v="1"/>
    <s v="Convenience stores"/>
    <x v="7"/>
    <s v="Green stars"/>
    <s v="|82/01/26|"/>
    <n v="804"/>
    <n v="2.38"/>
    <n v="3.66"/>
  </r>
  <r>
    <x v="1"/>
    <s v="Convenience stores"/>
    <x v="7"/>
    <s v="Green stars"/>
    <s v="|82/01/27|"/>
    <n v="864"/>
    <n v="2.46"/>
    <n v="3.84"/>
  </r>
  <r>
    <x v="1"/>
    <s v="Convenience stores"/>
    <x v="7"/>
    <s v="Green stars"/>
    <s v="|82/01/28|"/>
    <n v="960"/>
    <n v="2.81"/>
    <n v="3.66"/>
  </r>
  <r>
    <x v="1"/>
    <s v="Convenience stores"/>
    <x v="7"/>
    <s v="Green stars"/>
    <s v="|82/01/29|"/>
    <n v="624"/>
    <n v="2.83"/>
    <n v="3.25"/>
  </r>
  <r>
    <x v="1"/>
    <s v="Convenience stores"/>
    <x v="7"/>
    <s v="Green stars"/>
    <s v="|82/01/30|"/>
    <n v="876"/>
    <n v="2.33"/>
    <n v="3.83"/>
  </r>
  <r>
    <x v="1"/>
    <s v="Convenience stores"/>
    <x v="7"/>
    <s v="Green stars"/>
    <s v="|82/01/31|"/>
    <n v="1140"/>
    <n v="2.76"/>
    <n v="3.78"/>
  </r>
  <r>
    <x v="1"/>
    <s v="Convenience stores"/>
    <x v="7"/>
    <s v="Green stars"/>
    <s v="|82/01/32|"/>
    <n v="864"/>
    <n v="2.54"/>
    <n v="3.33"/>
  </r>
  <r>
    <x v="1"/>
    <s v="Convenience stores"/>
    <x v="7"/>
    <s v="Green stars"/>
    <s v="|82/01/33|"/>
    <n v="1068"/>
    <n v="2.42"/>
    <n v="3.4"/>
  </r>
  <r>
    <x v="1"/>
    <s v="Convenience stores"/>
    <x v="7"/>
    <s v="Green stars"/>
    <s v="|82/01/34|"/>
    <n v="780"/>
    <n v="2.4900000000000002"/>
    <n v="3.35"/>
  </r>
  <r>
    <x v="1"/>
    <s v="Convenience stores"/>
    <x v="7"/>
    <s v="Green stars"/>
    <s v="|82/01/35|"/>
    <n v="708"/>
    <n v="2.06"/>
    <n v="3.55"/>
  </r>
  <r>
    <x v="1"/>
    <s v="Convenience stores"/>
    <x v="7"/>
    <s v="Green stars"/>
    <s v="|82/01/36|"/>
    <n v="960"/>
    <n v="2.17"/>
    <n v="3.36"/>
  </r>
  <r>
    <x v="1"/>
    <s v="Convenience stores"/>
    <x v="7"/>
    <s v="Green stars"/>
    <s v="|82/01/37|"/>
    <n v="1164"/>
    <n v="2.0499999999999998"/>
    <n v="3.22"/>
  </r>
  <r>
    <x v="1"/>
    <s v="Convenience stores"/>
    <x v="7"/>
    <s v="Green stars"/>
    <s v="|82/01/38|"/>
    <n v="972"/>
    <n v="2.5099999999999998"/>
    <n v="3.87"/>
  </r>
  <r>
    <x v="1"/>
    <s v="Convenience stores"/>
    <x v="7"/>
    <s v="Green stars"/>
    <s v="|82/01/39|"/>
    <n v="960"/>
    <n v="2.74"/>
    <n v="3.88"/>
  </r>
  <r>
    <x v="1"/>
    <s v="Convenience stores"/>
    <x v="7"/>
    <s v="Green stars"/>
    <s v="|82/01/40|"/>
    <n v="684"/>
    <n v="2.56"/>
    <n v="3.32"/>
  </r>
  <r>
    <x v="1"/>
    <s v="Convenience stores"/>
    <x v="7"/>
    <s v="Green stars"/>
    <s v="|82/01/41|"/>
    <n v="684"/>
    <n v="2.04"/>
    <n v="3.77"/>
  </r>
  <r>
    <x v="1"/>
    <s v="Convenience stores"/>
    <x v="7"/>
    <s v="Green stars"/>
    <s v="|82/01/42|"/>
    <n v="636"/>
    <n v="2.46"/>
    <n v="3.9"/>
  </r>
  <r>
    <x v="1"/>
    <s v="Convenience stores"/>
    <x v="7"/>
    <s v="Green stars"/>
    <s v="|82/01/43|"/>
    <n v="1164"/>
    <n v="2.37"/>
    <n v="3.61"/>
  </r>
  <r>
    <x v="1"/>
    <s v="Convenience stores"/>
    <x v="7"/>
    <s v="Green stars"/>
    <s v="|82/01/44|"/>
    <n v="612"/>
    <n v="2.37"/>
    <n v="3.84"/>
  </r>
  <r>
    <x v="1"/>
    <s v="Convenience stores"/>
    <x v="7"/>
    <s v="Green stars"/>
    <s v="|82/01/45|"/>
    <n v="1104"/>
    <n v="2.13"/>
    <n v="3.48"/>
  </r>
  <r>
    <x v="1"/>
    <s v="Convenience stores"/>
    <x v="7"/>
    <s v="Green stars"/>
    <s v="|82/01/46|"/>
    <n v="1152"/>
    <n v="2.02"/>
    <n v="3.9"/>
  </r>
  <r>
    <x v="1"/>
    <s v="Convenience stores"/>
    <x v="7"/>
    <s v="Green stars"/>
    <s v="|82/01/47|"/>
    <n v="1008"/>
    <n v="2.27"/>
    <n v="3.82"/>
  </r>
  <r>
    <x v="1"/>
    <s v="Convenience stores"/>
    <x v="7"/>
    <s v="Green stars"/>
    <s v="|82/01/48|"/>
    <n v="996"/>
    <n v="2.67"/>
    <n v="3.76"/>
  </r>
  <r>
    <x v="1"/>
    <s v="Convenience stores"/>
    <x v="7"/>
    <s v="Green stars"/>
    <s v="|82/01/49|"/>
    <n v="744"/>
    <n v="2.87"/>
    <n v="3.36"/>
  </r>
  <r>
    <x v="1"/>
    <s v="Convenience stores"/>
    <x v="7"/>
    <s v="Green stars"/>
    <s v="|82/01/50|"/>
    <n v="996"/>
    <n v="2.64"/>
    <n v="3.34"/>
  </r>
  <r>
    <x v="1"/>
    <s v="Convenience stores"/>
    <x v="7"/>
    <s v="Green stars"/>
    <s v="|82/01/51|"/>
    <n v="612"/>
    <n v="2.39"/>
    <n v="3.29"/>
  </r>
  <r>
    <x v="1"/>
    <s v="Convenience stores"/>
    <x v="7"/>
    <s v="Green stars"/>
    <s v="|82/01/52|"/>
    <n v="876"/>
    <n v="2.2999999999999998"/>
    <n v="3.58"/>
  </r>
  <r>
    <x v="1"/>
    <s v="Convenience stores"/>
    <x v="7"/>
    <s v="Green stars"/>
    <s v="|82/01/53|"/>
    <n v="1188"/>
    <n v="2.1800000000000002"/>
    <n v="3.2"/>
  </r>
  <r>
    <x v="1"/>
    <s v="Convenience stores"/>
    <x v="7"/>
    <s v="Green stars"/>
    <s v="|82/01/54|"/>
    <n v="1032"/>
    <n v="2.1800000000000002"/>
    <n v="3.83"/>
  </r>
  <r>
    <x v="1"/>
    <s v="Convenience stores"/>
    <x v="7"/>
    <s v="Green stars"/>
    <s v="|82/01/55|"/>
    <n v="624"/>
    <n v="2.73"/>
    <n v="3.64"/>
  </r>
  <r>
    <x v="1"/>
    <s v="Convenience stores"/>
    <x v="7"/>
    <s v="Green stars"/>
    <s v="|82/01/57|"/>
    <n v="936"/>
    <n v="2.39"/>
    <n v="3.48"/>
  </r>
  <r>
    <x v="1"/>
    <s v="Convenience stores"/>
    <x v="7"/>
    <s v="Green stars"/>
    <s v="|82/02/01|"/>
    <n v="864"/>
    <n v="2.69"/>
    <n v="3.7"/>
  </r>
  <r>
    <x v="1"/>
    <s v="Convenience stores"/>
    <x v="7"/>
    <s v="Green stars"/>
    <s v="|82/02/02|"/>
    <n v="660"/>
    <n v="2.11"/>
    <n v="3.67"/>
  </r>
  <r>
    <x v="1"/>
    <s v="Convenience stores"/>
    <x v="7"/>
    <s v="Green stars"/>
    <s v="|82/02/03|"/>
    <n v="816"/>
    <n v="2.83"/>
    <n v="3.87"/>
  </r>
  <r>
    <x v="1"/>
    <s v="Convenience stores"/>
    <x v="7"/>
    <s v="Green stars"/>
    <s v="|82/02/05|"/>
    <n v="1116"/>
    <n v="2.34"/>
    <n v="3.5"/>
  </r>
  <r>
    <x v="1"/>
    <s v="Convenience stores"/>
    <x v="7"/>
    <s v="Green stars"/>
    <s v="|82/02/06|"/>
    <n v="1164"/>
    <n v="2.69"/>
    <n v="3.8"/>
  </r>
  <r>
    <x v="1"/>
    <s v="Convenience stores"/>
    <x v="7"/>
    <s v="Green stars"/>
    <s v="|82/03/01|"/>
    <n v="804"/>
    <n v="2.0299999999999998"/>
    <n v="3.92"/>
  </r>
  <r>
    <x v="1"/>
    <s v="Convenience stores"/>
    <x v="3"/>
    <s v="Turgsbro"/>
    <s v="|26/99/99|"/>
    <n v="192"/>
    <n v="1.08"/>
    <n v="1.33"/>
  </r>
  <r>
    <x v="1"/>
    <s v="Convenience stores"/>
    <x v="7"/>
    <s v="Bonduelle"/>
    <s v="|26/04/18|"/>
    <n v="948"/>
    <n v="2.77"/>
    <n v="3.98"/>
  </r>
  <r>
    <x v="1"/>
    <s v="Convenience stores"/>
    <x v="7"/>
    <s v="Bonduelle"/>
    <s v="|62/01/01|"/>
    <n v="984"/>
    <n v="2.2400000000000002"/>
    <n v="3.8"/>
  </r>
  <r>
    <x v="1"/>
    <s v="Convenience stores"/>
    <x v="7"/>
    <s v="Bonduelle"/>
    <s v="|62/01/02|"/>
    <n v="684"/>
    <n v="2.54"/>
    <n v="3.63"/>
  </r>
  <r>
    <x v="1"/>
    <s v="Convenience stores"/>
    <x v="7"/>
    <s v="Bonduelle"/>
    <s v="|62/01/03|"/>
    <n v="1080"/>
    <n v="2.08"/>
    <n v="3.67"/>
  </r>
  <r>
    <x v="1"/>
    <s v="Convenience stores"/>
    <x v="7"/>
    <s v="Bonduelle"/>
    <s v="|62/01/04|"/>
    <n v="600"/>
    <n v="2.37"/>
    <n v="3.88"/>
  </r>
  <r>
    <x v="1"/>
    <s v="Convenience stores"/>
    <x v="7"/>
    <s v="Bonduelle"/>
    <s v="|62/01/05|"/>
    <n v="1068"/>
    <n v="2.62"/>
    <n v="3.96"/>
  </r>
  <r>
    <x v="1"/>
    <s v="Convenience stores"/>
    <x v="7"/>
    <s v="Bonduelle"/>
    <s v="|62/01/06|"/>
    <n v="888"/>
    <n v="2.82"/>
    <n v="3.42"/>
  </r>
  <r>
    <x v="1"/>
    <s v="Convenience stores"/>
    <x v="7"/>
    <s v="Bonduelle"/>
    <s v="|62/01/07|"/>
    <n v="1128"/>
    <n v="2.83"/>
    <n v="3.25"/>
  </r>
  <r>
    <x v="1"/>
    <s v="Convenience stores"/>
    <x v="7"/>
    <s v="Bonduelle"/>
    <s v="|62/01/08|"/>
    <n v="888"/>
    <n v="2.83"/>
    <n v="3.29"/>
  </r>
  <r>
    <x v="1"/>
    <s v="Convenience stores"/>
    <x v="7"/>
    <s v="Bonduelle"/>
    <s v="|62/01/09|"/>
    <n v="684"/>
    <n v="2.87"/>
    <n v="3.75"/>
  </r>
  <r>
    <x v="1"/>
    <s v="Convenience stores"/>
    <x v="7"/>
    <s v="Bonduelle"/>
    <s v="|62/01/10|"/>
    <n v="612"/>
    <n v="2.4300000000000002"/>
    <n v="3.75"/>
  </r>
  <r>
    <x v="1"/>
    <s v="Convenience stores"/>
    <x v="7"/>
    <s v="Bonduelle"/>
    <s v="|62/01/11|"/>
    <n v="1068"/>
    <n v="2.25"/>
    <n v="3.63"/>
  </r>
  <r>
    <x v="1"/>
    <s v="Convenience stores"/>
    <x v="7"/>
    <s v="Bonduelle"/>
    <s v="|62/01/12|"/>
    <n v="1128"/>
    <n v="2.78"/>
    <n v="3.2"/>
  </r>
  <r>
    <x v="1"/>
    <s v="Convenience stores"/>
    <x v="7"/>
    <s v="Bonduelle"/>
    <s v="|62/01/13|"/>
    <n v="624"/>
    <n v="2.42"/>
    <n v="3.31"/>
  </r>
  <r>
    <x v="1"/>
    <s v="Convenience stores"/>
    <x v="7"/>
    <s v="Bonduelle"/>
    <s v="|62/01/14|"/>
    <n v="852"/>
    <n v="2.1800000000000002"/>
    <n v="3.35"/>
  </r>
  <r>
    <x v="1"/>
    <s v="Convenience stores"/>
    <x v="7"/>
    <s v="Bonduelle"/>
    <s v="|62/01/15|"/>
    <n v="948"/>
    <n v="2.4700000000000002"/>
    <n v="3.91"/>
  </r>
  <r>
    <x v="1"/>
    <s v="Convenience stores"/>
    <x v="7"/>
    <s v="Bonduelle"/>
    <s v="|62/01/16|"/>
    <n v="1032"/>
    <n v="2.38"/>
    <n v="3.96"/>
  </r>
  <r>
    <x v="1"/>
    <s v="Convenience stores"/>
    <x v="7"/>
    <s v="Bonduelle"/>
    <s v="|62/01/17|"/>
    <n v="888"/>
    <n v="2.69"/>
    <n v="3.76"/>
  </r>
  <r>
    <x v="1"/>
    <s v="Convenience stores"/>
    <x v="7"/>
    <s v="Bonduelle"/>
    <s v="|62/01/18|"/>
    <n v="1092"/>
    <n v="2.8"/>
    <n v="3.71"/>
  </r>
  <r>
    <x v="1"/>
    <s v="Convenience stores"/>
    <x v="7"/>
    <s v="Bonduelle"/>
    <s v="|62/01/19|"/>
    <n v="1104"/>
    <n v="2.38"/>
    <n v="3.21"/>
  </r>
  <r>
    <x v="1"/>
    <s v="Convenience stores"/>
    <x v="7"/>
    <s v="Bonduelle"/>
    <s v="|62/01/20|"/>
    <n v="936"/>
    <n v="2.02"/>
    <n v="3.61"/>
  </r>
  <r>
    <x v="1"/>
    <s v="Convenience stores"/>
    <x v="7"/>
    <s v="Bonduelle"/>
    <s v="|62/01/21|"/>
    <n v="864"/>
    <n v="2.4500000000000002"/>
    <n v="3.81"/>
  </r>
  <r>
    <x v="1"/>
    <s v="Convenience stores"/>
    <x v="7"/>
    <s v="Bonduelle"/>
    <s v="|62/01/22|"/>
    <n v="1056"/>
    <n v="2.68"/>
    <n v="3.32"/>
  </r>
  <r>
    <x v="1"/>
    <s v="Convenience stores"/>
    <x v="7"/>
    <s v="Bonduelle"/>
    <s v="|62/01/23|"/>
    <n v="1044"/>
    <n v="2.15"/>
    <n v="3.97"/>
  </r>
  <r>
    <x v="1"/>
    <s v="Convenience stores"/>
    <x v="7"/>
    <s v="Bonduelle"/>
    <s v="|62/01/24|"/>
    <n v="708"/>
    <n v="2.37"/>
    <n v="3.41"/>
  </r>
  <r>
    <x v="1"/>
    <s v="Convenience stores"/>
    <x v="7"/>
    <s v="Bonduelle"/>
    <s v="|62/01/25|"/>
    <n v="696"/>
    <n v="2.19"/>
    <n v="3.28"/>
  </r>
  <r>
    <x v="1"/>
    <s v="Convenience stores"/>
    <x v="7"/>
    <s v="Bonduelle"/>
    <s v="|62/01/26|"/>
    <n v="828"/>
    <n v="2.38"/>
    <n v="3.43"/>
  </r>
  <r>
    <x v="1"/>
    <s v="Convenience stores"/>
    <x v="7"/>
    <s v="Bonduelle"/>
    <s v="|62/01/27|"/>
    <n v="672"/>
    <n v="2.97"/>
    <n v="3.27"/>
  </r>
  <r>
    <x v="1"/>
    <s v="Convenience stores"/>
    <x v="7"/>
    <s v="Bonduelle"/>
    <s v="|62/01/28|"/>
    <n v="1068"/>
    <n v="2.99"/>
    <n v="3.39"/>
  </r>
  <r>
    <x v="1"/>
    <s v="Convenience stores"/>
    <x v="7"/>
    <s v="Bonduelle"/>
    <s v="|62/01/29|"/>
    <n v="1188"/>
    <n v="2.09"/>
    <n v="3.45"/>
  </r>
  <r>
    <x v="1"/>
    <s v="Convenience stores"/>
    <x v="7"/>
    <s v="Bonduelle"/>
    <s v="|62/01/30|"/>
    <n v="672"/>
    <n v="2.0099999999999998"/>
    <n v="3.71"/>
  </r>
  <r>
    <x v="1"/>
    <s v="Convenience stores"/>
    <x v="7"/>
    <s v="Bonduelle"/>
    <s v="|62/01/31|"/>
    <n v="1140"/>
    <n v="2.82"/>
    <n v="3.24"/>
  </r>
  <r>
    <x v="1"/>
    <s v="Convenience stores"/>
    <x v="7"/>
    <s v="Bonduelle"/>
    <s v="|62/01/32|"/>
    <n v="876"/>
    <n v="2.23"/>
    <n v="3.61"/>
  </r>
  <r>
    <x v="1"/>
    <s v="Convenience stores"/>
    <x v="7"/>
    <s v="Bonduelle"/>
    <s v="|62/01/33|"/>
    <n v="864"/>
    <n v="2.68"/>
    <n v="3.97"/>
  </r>
  <r>
    <x v="1"/>
    <s v="Convenience stores"/>
    <x v="7"/>
    <s v="Bonduelle"/>
    <s v="|62/01/34|"/>
    <n v="1200"/>
    <n v="2.57"/>
    <n v="3.41"/>
  </r>
  <r>
    <x v="1"/>
    <s v="Convenience stores"/>
    <x v="7"/>
    <s v="Bonduelle"/>
    <s v="|62/01/35|"/>
    <n v="1056"/>
    <n v="2.4500000000000002"/>
    <n v="3.35"/>
  </r>
  <r>
    <x v="1"/>
    <s v="Convenience stores"/>
    <x v="7"/>
    <s v="Bonduelle"/>
    <s v="|62/01/36|"/>
    <n v="636"/>
    <n v="2.71"/>
    <n v="3.35"/>
  </r>
  <r>
    <x v="1"/>
    <s v="Convenience stores"/>
    <x v="7"/>
    <s v="Bonduelle"/>
    <s v="|62/01/37|"/>
    <n v="1164"/>
    <n v="2.66"/>
    <n v="3.2"/>
  </r>
  <r>
    <x v="1"/>
    <s v="Convenience stores"/>
    <x v="7"/>
    <s v="Bonduelle"/>
    <s v="|62/01/38|"/>
    <n v="960"/>
    <n v="2.58"/>
    <n v="3.88"/>
  </r>
  <r>
    <x v="1"/>
    <s v="Convenience stores"/>
    <x v="7"/>
    <s v="Bonduelle"/>
    <s v="|62/01/39|"/>
    <n v="696"/>
    <n v="3"/>
    <n v="3.8"/>
  </r>
  <r>
    <x v="1"/>
    <s v="Convenience stores"/>
    <x v="7"/>
    <s v="Bonduelle"/>
    <s v="|62/01/40|"/>
    <n v="984"/>
    <n v="2.15"/>
    <n v="3.96"/>
  </r>
  <r>
    <x v="1"/>
    <s v="Convenience stores"/>
    <x v="7"/>
    <s v="Bonduelle"/>
    <s v="|62/01/41|"/>
    <n v="1068"/>
    <n v="2.14"/>
    <n v="3.39"/>
  </r>
  <r>
    <x v="1"/>
    <s v="Convenience stores"/>
    <x v="7"/>
    <s v="Bonduelle"/>
    <s v="|62/01/42|"/>
    <n v="600"/>
    <n v="2.93"/>
    <n v="3.67"/>
  </r>
  <r>
    <x v="1"/>
    <s v="Convenience stores"/>
    <x v="7"/>
    <s v="Bonduelle"/>
    <s v="|62/01/43|"/>
    <n v="1176"/>
    <n v="2.71"/>
    <n v="3.57"/>
  </r>
  <r>
    <x v="1"/>
    <s v="Convenience stores"/>
    <x v="7"/>
    <s v="Bonduelle"/>
    <s v="|62/01/44|"/>
    <n v="600"/>
    <n v="2.29"/>
    <n v="3.83"/>
  </r>
  <r>
    <x v="1"/>
    <s v="Convenience stores"/>
    <x v="7"/>
    <s v="Bonduelle"/>
    <s v="|62/01/45|"/>
    <n v="888"/>
    <n v="2.7"/>
    <n v="3.81"/>
  </r>
  <r>
    <x v="1"/>
    <s v="Convenience stores"/>
    <x v="7"/>
    <s v="Bonduelle"/>
    <s v="|62/01/46|"/>
    <n v="888"/>
    <n v="2.38"/>
    <n v="3.95"/>
  </r>
  <r>
    <x v="1"/>
    <s v="Convenience stores"/>
    <x v="7"/>
    <s v="Bonduelle"/>
    <s v="|62/01/99|"/>
    <n v="732"/>
    <n v="2.14"/>
    <n v="3.99"/>
  </r>
  <r>
    <x v="1"/>
    <s v="Convenience stores"/>
    <x v="7"/>
    <s v="Bonduelle"/>
    <s v="|62/02/01|"/>
    <n v="792"/>
    <n v="2.13"/>
    <n v="3.64"/>
  </r>
  <r>
    <x v="1"/>
    <s v="Convenience stores"/>
    <x v="7"/>
    <s v="Bonduelle"/>
    <s v="|62/02/02|"/>
    <n v="912"/>
    <n v="2.2599999999999998"/>
    <n v="3.7"/>
  </r>
  <r>
    <x v="1"/>
    <s v="Convenience stores"/>
    <x v="7"/>
    <s v="Bonduelle"/>
    <s v="|62/02/03|"/>
    <n v="1080"/>
    <n v="2.5499999999999998"/>
    <n v="3.83"/>
  </r>
  <r>
    <x v="1"/>
    <s v="Convenience stores"/>
    <x v="7"/>
    <s v="Bonduelle"/>
    <s v="|62/02/04|"/>
    <n v="1176"/>
    <n v="2.27"/>
    <n v="3.75"/>
  </r>
  <r>
    <x v="1"/>
    <s v="Convenience stores"/>
    <x v="7"/>
    <s v="Bonduelle"/>
    <s v="|62/02/05|"/>
    <n v="804"/>
    <n v="2.0299999999999998"/>
    <n v="3.66"/>
  </r>
  <r>
    <x v="1"/>
    <s v="Convenience stores"/>
    <x v="7"/>
    <s v="Bonduelle"/>
    <s v="|62/02/06|"/>
    <n v="780"/>
    <n v="2.2799999999999998"/>
    <n v="3.56"/>
  </r>
  <r>
    <x v="1"/>
    <s v="Convenience stores"/>
    <x v="7"/>
    <s v="Bonduelle"/>
    <s v="|62/02/07|"/>
    <n v="888"/>
    <n v="2.0299999999999998"/>
    <n v="3.52"/>
  </r>
  <r>
    <x v="1"/>
    <s v="Convenience stores"/>
    <x v="7"/>
    <s v="Bonduelle"/>
    <s v="|62/02/08|"/>
    <n v="756"/>
    <n v="2.09"/>
    <n v="3.76"/>
  </r>
  <r>
    <x v="1"/>
    <s v="Convenience stores"/>
    <x v="7"/>
    <s v="Bonduelle"/>
    <s v="|62/02/09|"/>
    <n v="1128"/>
    <n v="2.39"/>
    <n v="3.57"/>
  </r>
  <r>
    <x v="1"/>
    <s v="Convenience stores"/>
    <x v="7"/>
    <s v="Bonduelle"/>
    <s v="|62/02/10|"/>
    <n v="1080"/>
    <n v="2.16"/>
    <n v="3.95"/>
  </r>
  <r>
    <x v="1"/>
    <s v="Convenience stores"/>
    <x v="7"/>
    <s v="Bonduelle"/>
    <s v="|62/02/11|"/>
    <n v="792"/>
    <n v="2.6"/>
    <n v="3.87"/>
  </r>
  <r>
    <x v="1"/>
    <s v="Convenience stores"/>
    <x v="7"/>
    <s v="Bonduelle"/>
    <s v="|62/02/13|"/>
    <n v="888"/>
    <n v="2.77"/>
    <n v="3.55"/>
  </r>
  <r>
    <x v="1"/>
    <s v="Convenience stores"/>
    <x v="7"/>
    <s v="Bonduelle"/>
    <s v="|62/02/14|"/>
    <n v="732"/>
    <n v="2.06"/>
    <n v="3.84"/>
  </r>
  <r>
    <x v="1"/>
    <s v="Convenience stores"/>
    <x v="7"/>
    <s v="Bonduelle"/>
    <s v="|62/02/15|"/>
    <n v="1200"/>
    <n v="2.33"/>
    <n v="3.98"/>
  </r>
  <r>
    <x v="1"/>
    <s v="Convenience stores"/>
    <x v="7"/>
    <s v="Bonduelle"/>
    <s v="|62/03/01|"/>
    <n v="876"/>
    <n v="2.98"/>
    <n v="3.92"/>
  </r>
  <r>
    <x v="1"/>
    <s v="Convenience stores"/>
    <x v="7"/>
    <s v="Bonduelle"/>
    <s v="|62/03/02|"/>
    <n v="816"/>
    <n v="2.83"/>
    <n v="3.22"/>
  </r>
  <r>
    <x v="1"/>
    <s v="Convenience stores"/>
    <x v="7"/>
    <s v="Bonduelle"/>
    <s v="|62/03/03|"/>
    <n v="828"/>
    <n v="2.2999999999999998"/>
    <n v="3.87"/>
  </r>
  <r>
    <x v="1"/>
    <s v="Convenience stores"/>
    <x v="7"/>
    <s v="Bonduelle"/>
    <s v="|62/03/04|"/>
    <n v="624"/>
    <n v="2.4"/>
    <n v="3.82"/>
  </r>
  <r>
    <x v="1"/>
    <s v="Convenience stores"/>
    <x v="7"/>
    <s v="Bonduelle"/>
    <s v="|62/03/05|"/>
    <n v="660"/>
    <n v="2.39"/>
    <n v="3.32"/>
  </r>
  <r>
    <x v="1"/>
    <s v="Convenience stores"/>
    <x v="7"/>
    <s v="Bonduelle"/>
    <s v="|62/03/06|"/>
    <n v="1008"/>
    <n v="2.82"/>
    <n v="3.98"/>
  </r>
  <r>
    <x v="1"/>
    <s v="Convenience stores"/>
    <x v="7"/>
    <s v="Bonduelle"/>
    <s v="|62/03/07|"/>
    <n v="660"/>
    <n v="2.35"/>
    <n v="3.67"/>
  </r>
  <r>
    <x v="1"/>
    <s v="Convenience stores"/>
    <x v="7"/>
    <s v="Bonduelle"/>
    <s v="|62/03/08|"/>
    <n v="864"/>
    <n v="2.4300000000000002"/>
    <n v="3.72"/>
  </r>
  <r>
    <x v="1"/>
    <s v="Convenience stores"/>
    <x v="7"/>
    <s v="Bonduelle"/>
    <s v="|62/03/09|"/>
    <n v="1116"/>
    <n v="2.91"/>
    <n v="3.23"/>
  </r>
  <r>
    <x v="1"/>
    <s v="Convenience stores"/>
    <x v="7"/>
    <s v="Bonduelle"/>
    <s v="|62/03/10|"/>
    <n v="1128"/>
    <n v="2.42"/>
    <n v="3.96"/>
  </r>
  <r>
    <x v="1"/>
    <s v="Convenience stores"/>
    <x v="7"/>
    <s v="Bonduelle"/>
    <s v="|62/03/11|"/>
    <n v="948"/>
    <n v="2.93"/>
    <n v="3.91"/>
  </r>
  <r>
    <x v="1"/>
    <s v="Convenience stores"/>
    <x v="7"/>
    <s v="Bonduelle"/>
    <s v="|62/03/12|"/>
    <n v="1104"/>
    <n v="2.2000000000000002"/>
    <n v="3.65"/>
  </r>
  <r>
    <x v="1"/>
    <s v="Convenience stores"/>
    <x v="7"/>
    <s v="Bonduelle"/>
    <s v="|62/03/13|"/>
    <n v="1176"/>
    <n v="2.36"/>
    <n v="3.64"/>
  </r>
  <r>
    <x v="1"/>
    <s v="Convenience stores"/>
    <x v="7"/>
    <s v="Bonduelle"/>
    <s v="|62/03/14|"/>
    <n v="972"/>
    <n v="2.3199999999999998"/>
    <n v="3.95"/>
  </r>
  <r>
    <x v="1"/>
    <s v="Convenience stores"/>
    <x v="7"/>
    <s v="Bonduelle"/>
    <s v="|62/03/15|"/>
    <n v="960"/>
    <n v="2.5"/>
    <n v="3.78"/>
  </r>
  <r>
    <x v="1"/>
    <s v="Convenience stores"/>
    <x v="7"/>
    <s v="Bonduelle"/>
    <s v="|62/03/16|"/>
    <n v="972"/>
    <n v="2.87"/>
    <n v="3.96"/>
  </r>
  <r>
    <x v="1"/>
    <s v="Convenience stores"/>
    <x v="7"/>
    <s v="Bonduelle"/>
    <s v="|62/03/17|"/>
    <n v="720"/>
    <n v="2.12"/>
    <n v="3.82"/>
  </r>
  <r>
    <x v="1"/>
    <s v="Convenience stores"/>
    <x v="7"/>
    <s v="Bonduelle"/>
    <s v="|62/03/18|"/>
    <n v="684"/>
    <n v="2.4900000000000002"/>
    <n v="3.47"/>
  </r>
  <r>
    <x v="1"/>
    <s v="Convenience stores"/>
    <x v="7"/>
    <s v="Bonduelle"/>
    <s v="|62/03/19|"/>
    <n v="768"/>
    <n v="2.0299999999999998"/>
    <n v="3.77"/>
  </r>
  <r>
    <x v="1"/>
    <s v="Convenience stores"/>
    <x v="7"/>
    <s v="Bonduelle"/>
    <s v="|62/03/20|"/>
    <n v="1020"/>
    <n v="2.83"/>
    <n v="3.77"/>
  </r>
  <r>
    <x v="1"/>
    <s v="Convenience stores"/>
    <x v="7"/>
    <s v="Bonduelle"/>
    <s v="|62/03/21|"/>
    <n v="924"/>
    <n v="2.91"/>
    <n v="3.65"/>
  </r>
  <r>
    <x v="1"/>
    <s v="Convenience stores"/>
    <x v="7"/>
    <s v="Bonduelle"/>
    <s v="|62/03/22|"/>
    <n v="1140"/>
    <n v="2.11"/>
    <n v="3.73"/>
  </r>
  <r>
    <x v="1"/>
    <s v="Convenience stores"/>
    <x v="7"/>
    <s v="Bonduelle"/>
    <s v="|62/03/23|"/>
    <n v="1032"/>
    <n v="2.56"/>
    <n v="3.93"/>
  </r>
  <r>
    <x v="1"/>
    <s v="Convenience stores"/>
    <x v="7"/>
    <s v="Bonduelle"/>
    <s v="|62/03/24|"/>
    <n v="936"/>
    <n v="2.94"/>
    <n v="3.45"/>
  </r>
  <r>
    <x v="1"/>
    <s v="Convenience stores"/>
    <x v="7"/>
    <s v="Bonduelle"/>
    <s v="|62/03/25|"/>
    <n v="612"/>
    <n v="2.98"/>
    <n v="3.57"/>
  </r>
  <r>
    <x v="1"/>
    <s v="Convenience stores"/>
    <x v="7"/>
    <s v="Bonduelle"/>
    <s v="|62/03/26|"/>
    <n v="792"/>
    <n v="2.5"/>
    <n v="3.71"/>
  </r>
  <r>
    <x v="1"/>
    <s v="Convenience stores"/>
    <x v="7"/>
    <s v="Bonduelle"/>
    <s v="|62/03/27|"/>
    <n v="792"/>
    <n v="2.4500000000000002"/>
    <n v="4"/>
  </r>
  <r>
    <x v="1"/>
    <s v="Convenience stores"/>
    <x v="7"/>
    <s v="Bonduelle"/>
    <s v="|62/03/28|"/>
    <n v="816"/>
    <n v="2.42"/>
    <n v="3.9"/>
  </r>
  <r>
    <x v="1"/>
    <s v="Convenience stores"/>
    <x v="7"/>
    <s v="Bonduelle"/>
    <s v="|62/03/29|"/>
    <n v="804"/>
    <n v="2.75"/>
    <n v="3.34"/>
  </r>
  <r>
    <x v="1"/>
    <s v="Convenience stores"/>
    <x v="7"/>
    <s v="Bonduelle"/>
    <s v="|62/03/30|"/>
    <n v="1104"/>
    <n v="2.08"/>
    <n v="3.22"/>
  </r>
  <r>
    <x v="1"/>
    <s v="Convenience stores"/>
    <x v="7"/>
    <s v="Bonduelle"/>
    <s v="|62/03/31|"/>
    <n v="816"/>
    <n v="2.72"/>
    <n v="3.24"/>
  </r>
  <r>
    <x v="1"/>
    <s v="Convenience stores"/>
    <x v="7"/>
    <s v="Bonduelle"/>
    <s v="|62/03/32|"/>
    <n v="840"/>
    <n v="2.4900000000000002"/>
    <n v="3.25"/>
  </r>
  <r>
    <x v="1"/>
    <s v="Convenience stores"/>
    <x v="7"/>
    <s v="Bonduelle"/>
    <s v="|62/03/33|"/>
    <n v="1080"/>
    <n v="2.21"/>
    <n v="3.57"/>
  </r>
  <r>
    <x v="1"/>
    <s v="Convenience stores"/>
    <x v="7"/>
    <s v="Bonduelle"/>
    <s v="|62/03/34|"/>
    <n v="1116"/>
    <n v="2.86"/>
    <n v="3.85"/>
  </r>
  <r>
    <x v="1"/>
    <s v="Convenience stores"/>
    <x v="7"/>
    <s v="Bonduelle"/>
    <s v="|62/03/35|"/>
    <n v="840"/>
    <n v="2.66"/>
    <n v="3.26"/>
  </r>
  <r>
    <x v="1"/>
    <s v="Convenience stores"/>
    <x v="7"/>
    <s v="Bonduelle"/>
    <s v="|62/03/36|"/>
    <n v="1140"/>
    <n v="2.5299999999999998"/>
    <n v="3.62"/>
  </r>
  <r>
    <x v="1"/>
    <s v="Convenience stores"/>
    <x v="7"/>
    <s v="Bonduelle"/>
    <s v="|62/03/37|"/>
    <n v="1044"/>
    <n v="2.99"/>
    <n v="3.23"/>
  </r>
  <r>
    <x v="1"/>
    <s v="Convenience stores"/>
    <x v="7"/>
    <s v="Bonduelle"/>
    <s v="|62/03/38|"/>
    <n v="600"/>
    <n v="2.9"/>
    <n v="3.63"/>
  </r>
  <r>
    <x v="1"/>
    <s v="Convenience stores"/>
    <x v="7"/>
    <s v="Bonduelle"/>
    <s v="|62/03/39|"/>
    <n v="1020"/>
    <n v="2.27"/>
    <n v="3.61"/>
  </r>
  <r>
    <x v="1"/>
    <s v="Convenience stores"/>
    <x v="7"/>
    <s v="Bonduelle"/>
    <s v="|62/03/40|"/>
    <n v="1032"/>
    <n v="2.25"/>
    <n v="3.8"/>
  </r>
  <r>
    <x v="1"/>
    <s v="Convenience stores"/>
    <x v="7"/>
    <s v="Bonduelle"/>
    <s v="|62/03/41|"/>
    <n v="1080"/>
    <n v="2.77"/>
    <n v="3.91"/>
  </r>
  <r>
    <x v="1"/>
    <s v="Convenience stores"/>
    <x v="7"/>
    <s v="Bonduelle"/>
    <s v="|62/03/42|"/>
    <n v="1044"/>
    <n v="2.2000000000000002"/>
    <n v="3.59"/>
  </r>
  <r>
    <x v="1"/>
    <s v="Convenience stores"/>
    <x v="7"/>
    <s v="Bonduelle"/>
    <s v="|62/03/43|"/>
    <n v="1008"/>
    <n v="2.34"/>
    <n v="3.55"/>
  </r>
  <r>
    <x v="1"/>
    <s v="Convenience stores"/>
    <x v="7"/>
    <s v="Bonduelle"/>
    <s v="|62/03/44|"/>
    <n v="828"/>
    <n v="2.1"/>
    <n v="3.84"/>
  </r>
  <r>
    <x v="1"/>
    <s v="Convenience stores"/>
    <x v="7"/>
    <s v="Bonduelle"/>
    <s v="|62/03/45|"/>
    <n v="996"/>
    <n v="2.2400000000000002"/>
    <n v="3.5"/>
  </r>
  <r>
    <x v="1"/>
    <s v="Convenience stores"/>
    <x v="7"/>
    <s v="Bonduelle"/>
    <s v="|62/03/46|"/>
    <n v="624"/>
    <n v="2.86"/>
    <n v="3.39"/>
  </r>
  <r>
    <x v="1"/>
    <s v="Convenience stores"/>
    <x v="7"/>
    <s v="Bonduelle"/>
    <s v="|62/03/47|"/>
    <n v="888"/>
    <n v="2.2000000000000002"/>
    <n v="3.48"/>
  </r>
  <r>
    <x v="1"/>
    <s v="Convenience stores"/>
    <x v="7"/>
    <s v="Bonduelle"/>
    <s v="|62/03/48|"/>
    <n v="696"/>
    <n v="2.29"/>
    <n v="3.25"/>
  </r>
  <r>
    <x v="1"/>
    <s v="Convenience stores"/>
    <x v="7"/>
    <s v="Bonduelle"/>
    <s v="|62/03/49|"/>
    <n v="936"/>
    <n v="2.89"/>
    <n v="3.78"/>
  </r>
  <r>
    <x v="1"/>
    <s v="Convenience stores"/>
    <x v="7"/>
    <s v="Bonduelle"/>
    <s v="|62/03/50|"/>
    <n v="624"/>
    <n v="2.94"/>
    <n v="3.99"/>
  </r>
  <r>
    <x v="1"/>
    <s v="Convenience stores"/>
    <x v="7"/>
    <s v="Bonduelle"/>
    <s v="|62/03/51|"/>
    <n v="624"/>
    <n v="2.87"/>
    <n v="3.72"/>
  </r>
  <r>
    <x v="1"/>
    <s v="Convenience stores"/>
    <x v="7"/>
    <s v="Bonduelle"/>
    <s v="|62/03/52|"/>
    <n v="1032"/>
    <n v="2.62"/>
    <n v="3.83"/>
  </r>
  <r>
    <x v="1"/>
    <s v="Convenience stores"/>
    <x v="7"/>
    <s v="Bonduelle"/>
    <s v="|62/03/53|"/>
    <n v="1092"/>
    <n v="2.44"/>
    <n v="3.66"/>
  </r>
  <r>
    <x v="1"/>
    <s v="Convenience stores"/>
    <x v="7"/>
    <s v="Bonduelle"/>
    <s v="|62/03/54|"/>
    <n v="1044"/>
    <n v="2.38"/>
    <n v="3.62"/>
  </r>
  <r>
    <x v="1"/>
    <s v="Convenience stores"/>
    <x v="7"/>
    <s v="Bonduelle"/>
    <s v="|62/03/55|"/>
    <n v="660"/>
    <n v="2.72"/>
    <n v="3.89"/>
  </r>
  <r>
    <x v="1"/>
    <s v="Convenience stores"/>
    <x v="7"/>
    <s v="Bonduelle"/>
    <s v="|62/03/56|"/>
    <n v="732"/>
    <n v="2.99"/>
    <n v="3.47"/>
  </r>
  <r>
    <x v="1"/>
    <s v="Convenience stores"/>
    <x v="7"/>
    <s v="Bonduelle"/>
    <s v="|62/03/57|"/>
    <n v="948"/>
    <n v="2.94"/>
    <n v="3.49"/>
  </r>
  <r>
    <x v="1"/>
    <s v="Convenience stores"/>
    <x v="7"/>
    <s v="Bonduelle"/>
    <s v="|62/03/58|"/>
    <n v="1068"/>
    <n v="2.71"/>
    <n v="3.89"/>
  </r>
  <r>
    <x v="1"/>
    <s v="Convenience stores"/>
    <x v="7"/>
    <s v="Bonduelle"/>
    <s v="|62/03/59|"/>
    <n v="1092"/>
    <n v="2.69"/>
    <n v="3.6"/>
  </r>
  <r>
    <x v="1"/>
    <s v="Convenience stores"/>
    <x v="7"/>
    <s v="Bonduelle"/>
    <s v="|62/03/60|"/>
    <n v="876"/>
    <n v="2.2200000000000002"/>
    <n v="3.31"/>
  </r>
  <r>
    <x v="1"/>
    <s v="Convenience stores"/>
    <x v="7"/>
    <s v="Bonduelle"/>
    <s v="|62/03/61|"/>
    <n v="792"/>
    <n v="2.34"/>
    <n v="3.67"/>
  </r>
  <r>
    <x v="1"/>
    <s v="Convenience stores"/>
    <x v="7"/>
    <s v="Bonduelle"/>
    <s v="|62/03/62|"/>
    <n v="624"/>
    <n v="2.97"/>
    <n v="3.67"/>
  </r>
  <r>
    <x v="1"/>
    <s v="Convenience stores"/>
    <x v="7"/>
    <s v="Bonduelle"/>
    <s v="|62/03/63|"/>
    <n v="1080"/>
    <n v="2.1800000000000002"/>
    <n v="3.71"/>
  </r>
  <r>
    <x v="1"/>
    <s v="Convenience stores"/>
    <x v="7"/>
    <s v="Bonduelle"/>
    <s v="|62/03/64|"/>
    <n v="1200"/>
    <n v="2.95"/>
    <n v="3.56"/>
  </r>
  <r>
    <x v="1"/>
    <s v="Convenience stores"/>
    <x v="7"/>
    <s v="Bonduelle"/>
    <s v="|62/03/66|"/>
    <n v="1116"/>
    <n v="2.85"/>
    <n v="3.76"/>
  </r>
  <r>
    <x v="1"/>
    <s v="Convenience stores"/>
    <x v="7"/>
    <s v="Bonduelle"/>
    <s v="|62/03/68|"/>
    <n v="768"/>
    <n v="2.76"/>
    <n v="3.52"/>
  </r>
  <r>
    <x v="1"/>
    <s v="Convenience stores"/>
    <x v="7"/>
    <s v="Bonduelle"/>
    <s v="|62/03/69|"/>
    <n v="1080"/>
    <n v="2.46"/>
    <n v="3.84"/>
  </r>
  <r>
    <x v="1"/>
    <s v="Convenience stores"/>
    <x v="7"/>
    <s v="Bonduelle"/>
    <s v="|62/03/72|"/>
    <n v="816"/>
    <n v="2.56"/>
    <n v="3.73"/>
  </r>
  <r>
    <x v="1"/>
    <s v="Convenience stores"/>
    <x v="7"/>
    <s v="Bonduelle"/>
    <s v="|62/03/73|"/>
    <n v="732"/>
    <n v="2.2999999999999998"/>
    <n v="3.64"/>
  </r>
  <r>
    <x v="1"/>
    <s v="Convenience stores"/>
    <x v="7"/>
    <s v="Bonduelle"/>
    <s v="|62/03/74|"/>
    <n v="876"/>
    <n v="2.2400000000000002"/>
    <n v="3.22"/>
  </r>
  <r>
    <x v="1"/>
    <s v="Convenience stores"/>
    <x v="7"/>
    <s v="Bonduelle"/>
    <s v="|62/03/75|"/>
    <n v="1152"/>
    <n v="2.16"/>
    <n v="3.98"/>
  </r>
  <r>
    <x v="1"/>
    <s v="Convenience stores"/>
    <x v="7"/>
    <s v="Bonduelle"/>
    <s v="|62/03/76|"/>
    <n v="864"/>
    <n v="2.96"/>
    <n v="3.86"/>
  </r>
  <r>
    <x v="1"/>
    <s v="Convenience stores"/>
    <x v="7"/>
    <s v="Bonduelle"/>
    <s v="|62/03/77|"/>
    <n v="924"/>
    <n v="2.82"/>
    <n v="3.24"/>
  </r>
  <r>
    <x v="1"/>
    <s v="Convenience stores"/>
    <x v="7"/>
    <s v="Bonduelle"/>
    <s v="|62/03/78|"/>
    <n v="636"/>
    <n v="2.11"/>
    <n v="3.49"/>
  </r>
  <r>
    <x v="1"/>
    <s v="Convenience stores"/>
    <x v="7"/>
    <s v="Bonduelle"/>
    <s v="|62/03/79|"/>
    <n v="792"/>
    <n v="2.44"/>
    <n v="3.43"/>
  </r>
  <r>
    <x v="1"/>
    <s v="Convenience stores"/>
    <x v="7"/>
    <s v="Bonduelle"/>
    <s v="|62/03/82|"/>
    <n v="1056"/>
    <n v="2.21"/>
    <n v="3.25"/>
  </r>
  <r>
    <x v="1"/>
    <s v="Convenience stores"/>
    <x v="7"/>
    <s v="Bonduelle"/>
    <s v="|62/04/01|"/>
    <n v="1068"/>
    <n v="2.95"/>
    <n v="3.96"/>
  </r>
  <r>
    <x v="1"/>
    <s v="Convenience stores"/>
    <x v="7"/>
    <s v="Bonduelle"/>
    <s v="|62/04/02|"/>
    <n v="816"/>
    <n v="2.12"/>
    <n v="3.77"/>
  </r>
  <r>
    <x v="1"/>
    <s v="Convenience stores"/>
    <x v="7"/>
    <s v="Bonduelle"/>
    <s v="|62/04/03|"/>
    <n v="1020"/>
    <n v="2.5099999999999998"/>
    <n v="3.65"/>
  </r>
  <r>
    <x v="1"/>
    <s v="Convenience stores"/>
    <x v="7"/>
    <s v="Bonduelle"/>
    <s v="|62/04/04|"/>
    <n v="1200"/>
    <n v="2.44"/>
    <n v="3.48"/>
  </r>
  <r>
    <x v="1"/>
    <s v="Convenience stores"/>
    <x v="7"/>
    <s v="Bonduelle"/>
    <s v="|62/04/05|"/>
    <n v="1200"/>
    <n v="2.0299999999999998"/>
    <n v="3.69"/>
  </r>
  <r>
    <x v="1"/>
    <s v="Convenience stores"/>
    <x v="7"/>
    <s v="Bonduelle"/>
    <s v="|62/04/06|"/>
    <n v="1044"/>
    <n v="2.73"/>
    <n v="3.3"/>
  </r>
  <r>
    <x v="1"/>
    <s v="Convenience stores"/>
    <x v="7"/>
    <s v="Bonduelle"/>
    <s v="|62/04/07|"/>
    <n v="708"/>
    <n v="2.3199999999999998"/>
    <n v="3.79"/>
  </r>
  <r>
    <x v="1"/>
    <s v="Convenience stores"/>
    <x v="7"/>
    <s v="Bonduelle"/>
    <s v="|62/04/08|"/>
    <n v="1128"/>
    <n v="2.44"/>
    <n v="3.57"/>
  </r>
  <r>
    <x v="1"/>
    <s v="Convenience stores"/>
    <x v="7"/>
    <s v="Bonduelle"/>
    <s v="|62/04/09|"/>
    <n v="600"/>
    <n v="2.2999999999999998"/>
    <n v="3.56"/>
  </r>
  <r>
    <x v="1"/>
    <s v="Convenience stores"/>
    <x v="7"/>
    <s v="Bonduelle"/>
    <s v="|62/04/10|"/>
    <n v="900"/>
    <n v="2.5099999999999998"/>
    <n v="3.79"/>
  </r>
  <r>
    <x v="1"/>
    <s v="Convenience stores"/>
    <x v="7"/>
    <s v="Bonduelle"/>
    <s v="|62/04/11|"/>
    <n v="1032"/>
    <n v="2.68"/>
    <n v="3.32"/>
  </r>
  <r>
    <x v="1"/>
    <s v="Convenience stores"/>
    <x v="7"/>
    <s v="Bonduelle"/>
    <s v="|62/04/13|"/>
    <n v="1020"/>
    <n v="2.04"/>
    <n v="3.66"/>
  </r>
  <r>
    <x v="1"/>
    <s v="Convenience stores"/>
    <x v="7"/>
    <s v="Bonduelle"/>
    <s v="|62/04/14|"/>
    <n v="600"/>
    <n v="2.88"/>
    <n v="3.37"/>
  </r>
  <r>
    <x v="1"/>
    <s v="Convenience stores"/>
    <x v="7"/>
    <s v="Bonduelle"/>
    <s v="|62/04/15|"/>
    <n v="1128"/>
    <n v="2.14"/>
    <n v="3.77"/>
  </r>
  <r>
    <x v="1"/>
    <s v="Convenience stores"/>
    <x v="7"/>
    <s v="Bonduelle"/>
    <s v="|62/04/16|"/>
    <n v="708"/>
    <n v="2.91"/>
    <n v="3.99"/>
  </r>
  <r>
    <x v="1"/>
    <s v="Convenience stores"/>
    <x v="7"/>
    <s v="Bonduelle"/>
    <s v="|62/04/17|"/>
    <n v="1008"/>
    <n v="2.31"/>
    <n v="3.76"/>
  </r>
  <r>
    <x v="1"/>
    <s v="Convenience stores"/>
    <x v="7"/>
    <s v="Bonduelle"/>
    <s v="|62/04/18|"/>
    <n v="1092"/>
    <n v="2.0299999999999998"/>
    <n v="3.27"/>
  </r>
  <r>
    <x v="1"/>
    <s v="Convenience stores"/>
    <x v="7"/>
    <s v="Bonduelle"/>
    <s v="|62/04/19|"/>
    <n v="732"/>
    <n v="2.94"/>
    <n v="3.77"/>
  </r>
  <r>
    <x v="1"/>
    <s v="Convenience stores"/>
    <x v="7"/>
    <s v="Bonduelle"/>
    <s v="|62/04/20|"/>
    <n v="1128"/>
    <n v="2.31"/>
    <n v="3.48"/>
  </r>
  <r>
    <x v="1"/>
    <s v="Convenience stores"/>
    <x v="7"/>
    <s v="Bonduelle"/>
    <s v="|62/04/21|"/>
    <n v="756"/>
    <n v="2.74"/>
    <n v="3.71"/>
  </r>
  <r>
    <x v="1"/>
    <s v="Convenience stores"/>
    <x v="7"/>
    <s v="Bonduelle"/>
    <s v="|62/04/23|"/>
    <n v="612"/>
    <n v="2.68"/>
    <n v="3.39"/>
  </r>
  <r>
    <x v="1"/>
    <s v="Convenience stores"/>
    <x v="7"/>
    <s v="Bonduelle"/>
    <s v="|62/04/25|"/>
    <n v="1128"/>
    <n v="2.5"/>
    <n v="3.51"/>
  </r>
  <r>
    <x v="1"/>
    <s v="Convenience stores"/>
    <x v="7"/>
    <s v="Bonduelle"/>
    <s v="|62/04/26|"/>
    <n v="1044"/>
    <n v="2.1"/>
    <n v="3.29"/>
  </r>
  <r>
    <x v="1"/>
    <s v="Convenience stores"/>
    <x v="7"/>
    <s v="Bonduelle"/>
    <s v="|62/04/27|"/>
    <n v="1032"/>
    <n v="2.94"/>
    <n v="3.99"/>
  </r>
  <r>
    <x v="1"/>
    <s v="Convenience stores"/>
    <x v="7"/>
    <s v="Bonduelle"/>
    <s v="|62/05/01|"/>
    <n v="1068"/>
    <n v="2.7"/>
    <n v="3.73"/>
  </r>
  <r>
    <x v="1"/>
    <s v="Convenience stores"/>
    <x v="7"/>
    <s v="Bonduelle"/>
    <s v="|62/05/02|"/>
    <n v="1044"/>
    <n v="2.06"/>
    <n v="3.83"/>
  </r>
  <r>
    <x v="1"/>
    <s v="Convenience stores"/>
    <x v="7"/>
    <s v="Bonduelle"/>
    <s v="|62/05/03|"/>
    <n v="792"/>
    <n v="2.0699999999999998"/>
    <n v="3.67"/>
  </r>
  <r>
    <x v="1"/>
    <s v="Convenience stores"/>
    <x v="7"/>
    <s v="Bonduelle"/>
    <s v="|62/05/04|"/>
    <n v="1056"/>
    <n v="2.57"/>
    <n v="3.97"/>
  </r>
  <r>
    <x v="1"/>
    <s v="Convenience stores"/>
    <x v="7"/>
    <s v="Bonduelle"/>
    <s v="|62/05/05|"/>
    <n v="792"/>
    <n v="2.41"/>
    <n v="3.82"/>
  </r>
  <r>
    <x v="1"/>
    <s v="Convenience stores"/>
    <x v="7"/>
    <s v="Bonduelle"/>
    <s v="|62/05/06|"/>
    <n v="828"/>
    <n v="2.08"/>
    <n v="3.22"/>
  </r>
  <r>
    <x v="1"/>
    <s v="Convenience stores"/>
    <x v="7"/>
    <s v="Bonduelle"/>
    <s v="|62/05/08|"/>
    <n v="936"/>
    <n v="2.34"/>
    <n v="3.29"/>
  </r>
  <r>
    <x v="1"/>
    <s v="Convenience stores"/>
    <x v="7"/>
    <s v="Bonduelle"/>
    <s v="|62/09/01|"/>
    <n v="1056"/>
    <n v="2.5"/>
    <n v="3.41"/>
  </r>
  <r>
    <x v="1"/>
    <s v="Convenience stores"/>
    <x v="4"/>
    <s v="Veet"/>
    <s v="|55/01/01|"/>
    <n v="588"/>
    <n v="4.16"/>
    <n v="5.31"/>
  </r>
  <r>
    <x v="1"/>
    <s v="Convenience stores"/>
    <x v="4"/>
    <s v="Veet"/>
    <s v="|55/01/02|"/>
    <n v="432"/>
    <n v="4.1399999999999997"/>
    <n v="5.32"/>
  </r>
  <r>
    <x v="1"/>
    <s v="Convenience stores"/>
    <x v="4"/>
    <s v="Veet"/>
    <s v="|55/01/03|"/>
    <n v="684"/>
    <n v="4.88"/>
    <n v="5.24"/>
  </r>
  <r>
    <x v="1"/>
    <s v="Convenience stores"/>
    <x v="4"/>
    <s v="Veet"/>
    <s v="|55/01/04|"/>
    <n v="396"/>
    <n v="4.72"/>
    <n v="5.04"/>
  </r>
  <r>
    <x v="1"/>
    <s v="Convenience stores"/>
    <x v="4"/>
    <s v="Veet"/>
    <s v="|55/01/05|"/>
    <n v="456"/>
    <n v="4.0999999999999996"/>
    <n v="5.0199999999999996"/>
  </r>
  <r>
    <x v="1"/>
    <s v="Convenience stores"/>
    <x v="4"/>
    <s v="Veet"/>
    <s v="|55/01/06|"/>
    <n v="336"/>
    <n v="4.9400000000000004"/>
    <n v="5.28"/>
  </r>
  <r>
    <x v="1"/>
    <s v="Convenience stores"/>
    <x v="4"/>
    <s v="Veet"/>
    <s v="|55/01/07|"/>
    <n v="636"/>
    <n v="4.1399999999999997"/>
    <n v="5.27"/>
  </r>
  <r>
    <x v="1"/>
    <s v="Convenience stores"/>
    <x v="4"/>
    <s v="Veet"/>
    <s v="|55/01/08|"/>
    <n v="552"/>
    <n v="4.54"/>
    <n v="5.33"/>
  </r>
  <r>
    <x v="1"/>
    <s v="Convenience stores"/>
    <x v="4"/>
    <s v="Veet"/>
    <s v="|55/01/09|"/>
    <n v="348"/>
    <n v="4.8099999999999996"/>
    <n v="5.13"/>
  </r>
  <r>
    <x v="1"/>
    <s v="Convenience stores"/>
    <x v="4"/>
    <s v="Veet"/>
    <s v="|55/01/10|"/>
    <n v="528"/>
    <n v="4.05"/>
    <n v="5.25"/>
  </r>
  <r>
    <x v="1"/>
    <s v="Convenience stores"/>
    <x v="4"/>
    <s v="Veet"/>
    <s v="|55/01/11|"/>
    <n v="288"/>
    <n v="4.1500000000000004"/>
    <n v="5.04"/>
  </r>
  <r>
    <x v="1"/>
    <s v="Convenience stores"/>
    <x v="4"/>
    <s v="Veet"/>
    <s v="|55/01/12|"/>
    <n v="504"/>
    <n v="4.25"/>
    <n v="5.1100000000000003"/>
  </r>
  <r>
    <x v="1"/>
    <s v="Convenience stores"/>
    <x v="4"/>
    <s v="Veet"/>
    <s v="|55/01/13|"/>
    <n v="660"/>
    <n v="4.55"/>
    <n v="5.05"/>
  </r>
  <r>
    <x v="1"/>
    <s v="Convenience stores"/>
    <x v="4"/>
    <s v="Veet"/>
    <s v="|55/01/14|"/>
    <n v="300"/>
    <n v="4.0999999999999996"/>
    <n v="5.21"/>
  </r>
  <r>
    <x v="1"/>
    <s v="Convenience stores"/>
    <x v="4"/>
    <s v="Veet"/>
    <s v="|55/01/15|"/>
    <n v="384"/>
    <n v="4.5199999999999996"/>
    <n v="5.0999999999999996"/>
  </r>
  <r>
    <x v="1"/>
    <s v="Convenience stores"/>
    <x v="4"/>
    <s v="Veet"/>
    <s v="|55/01/16|"/>
    <n v="360"/>
    <n v="4.2300000000000004"/>
    <n v="5.05"/>
  </r>
  <r>
    <x v="1"/>
    <s v="Convenience stores"/>
    <x v="4"/>
    <s v="Veet"/>
    <s v="|55/01/17|"/>
    <n v="288"/>
    <n v="4.42"/>
    <n v="5.08"/>
  </r>
  <r>
    <x v="1"/>
    <s v="Convenience stores"/>
    <x v="4"/>
    <s v="Veet"/>
    <s v="|55/01/18|"/>
    <n v="504"/>
    <n v="4.62"/>
    <n v="5.21"/>
  </r>
  <r>
    <x v="1"/>
    <s v="Convenience stores"/>
    <x v="4"/>
    <s v="Veet"/>
    <s v="|55/01/19|"/>
    <n v="264"/>
    <n v="4.47"/>
    <n v="5.23"/>
  </r>
  <r>
    <x v="1"/>
    <s v="Convenience stores"/>
    <x v="4"/>
    <s v="Veet"/>
    <s v="|55/01/20|"/>
    <n v="408"/>
    <n v="4.32"/>
    <n v="5.38"/>
  </r>
  <r>
    <x v="1"/>
    <s v="Convenience stores"/>
    <x v="4"/>
    <s v="Veet"/>
    <s v="|55/01/21|"/>
    <n v="456"/>
    <n v="4.6100000000000003"/>
    <n v="5.13"/>
  </r>
  <r>
    <x v="1"/>
    <s v="Convenience stores"/>
    <x v="4"/>
    <s v="Veet"/>
    <s v="|55/01/22|"/>
    <n v="240"/>
    <n v="4.6399999999999997"/>
    <n v="5.15"/>
  </r>
  <r>
    <x v="1"/>
    <s v="Convenience stores"/>
    <x v="4"/>
    <s v="Veet"/>
    <s v="|55/01/23|"/>
    <n v="324"/>
    <n v="4.3099999999999996"/>
    <n v="5.05"/>
  </r>
  <r>
    <x v="1"/>
    <s v="Convenience stores"/>
    <x v="4"/>
    <s v="Veet"/>
    <s v="|55/01/24|"/>
    <n v="240"/>
    <n v="4.8099999999999996"/>
    <n v="5.2"/>
  </r>
  <r>
    <x v="1"/>
    <s v="Convenience stores"/>
    <x v="4"/>
    <s v="Veet"/>
    <s v="|55/01/25|"/>
    <n v="540"/>
    <n v="4.1500000000000004"/>
    <n v="5.19"/>
  </r>
  <r>
    <x v="1"/>
    <s v="Convenience stores"/>
    <x v="4"/>
    <s v="Veet"/>
    <s v="|55/01/26|"/>
    <n v="480"/>
    <n v="4.25"/>
    <n v="5.21"/>
  </r>
  <r>
    <x v="1"/>
    <s v="Convenience stores"/>
    <x v="4"/>
    <s v="Veet"/>
    <s v="|55/01/27|"/>
    <n v="360"/>
    <n v="4.87"/>
    <n v="5.37"/>
  </r>
  <r>
    <x v="1"/>
    <s v="Convenience stores"/>
    <x v="4"/>
    <s v="Veet"/>
    <s v="|55/01/28|"/>
    <n v="384"/>
    <n v="4.8099999999999996"/>
    <n v="5.35"/>
  </r>
  <r>
    <x v="1"/>
    <s v="Convenience stores"/>
    <x v="4"/>
    <s v="Veet"/>
    <s v="|55/01/29|"/>
    <n v="648"/>
    <n v="4.67"/>
    <n v="5.0599999999999996"/>
  </r>
  <r>
    <x v="1"/>
    <s v="Convenience stores"/>
    <x v="4"/>
    <s v="Veet"/>
    <s v="|55/01/30|"/>
    <n v="276"/>
    <n v="4.87"/>
    <n v="5.1100000000000003"/>
  </r>
  <r>
    <x v="1"/>
    <s v="Convenience stores"/>
    <x v="4"/>
    <s v="Veet"/>
    <s v="|55/01/31|"/>
    <n v="564"/>
    <n v="4.1399999999999997"/>
    <n v="5.31"/>
  </r>
  <r>
    <x v="1"/>
    <s v="Convenience stores"/>
    <x v="4"/>
    <s v="Veet"/>
    <s v="|55/01/32|"/>
    <n v="300"/>
    <n v="4.51"/>
    <n v="5.08"/>
  </r>
  <r>
    <x v="1"/>
    <s v="Convenience stores"/>
    <x v="4"/>
    <s v="Veet"/>
    <s v="|55/01/33|"/>
    <n v="492"/>
    <n v="4.1900000000000004"/>
    <n v="5.24"/>
  </r>
  <r>
    <x v="1"/>
    <s v="Convenience stores"/>
    <x v="4"/>
    <s v="Veet"/>
    <s v="|55/01/34|"/>
    <n v="612"/>
    <n v="4.24"/>
    <n v="5.21"/>
  </r>
  <r>
    <x v="1"/>
    <s v="Convenience stores"/>
    <x v="4"/>
    <s v="Veet"/>
    <s v="|55/01/35|"/>
    <n v="516"/>
    <n v="4.37"/>
    <n v="5.32"/>
  </r>
  <r>
    <x v="1"/>
    <s v="Convenience stores"/>
    <x v="4"/>
    <s v="Veet"/>
    <s v="|55/01/36|"/>
    <n v="492"/>
    <n v="4.67"/>
    <n v="5.29"/>
  </r>
  <r>
    <x v="1"/>
    <s v="Convenience stores"/>
    <x v="4"/>
    <s v="Veet"/>
    <s v="|55/01/37|"/>
    <n v="432"/>
    <n v="4.01"/>
    <n v="5.18"/>
  </r>
  <r>
    <x v="1"/>
    <s v="Convenience stores"/>
    <x v="4"/>
    <s v="Veet"/>
    <s v="|55/01/38|"/>
    <n v="528"/>
    <n v="4.1100000000000003"/>
    <n v="5.34"/>
  </r>
  <r>
    <x v="1"/>
    <s v="Convenience stores"/>
    <x v="4"/>
    <s v="Veet"/>
    <s v="|55/01/39|"/>
    <n v="624"/>
    <n v="4.6399999999999997"/>
    <n v="5.0199999999999996"/>
  </r>
  <r>
    <x v="1"/>
    <s v="Convenience stores"/>
    <x v="4"/>
    <s v="Veet"/>
    <s v="|55/01/40|"/>
    <n v="372"/>
    <n v="4.87"/>
    <n v="5.19"/>
  </r>
  <r>
    <x v="1"/>
    <s v="Convenience stores"/>
    <x v="4"/>
    <s v="Veet"/>
    <s v="|55/01/41|"/>
    <n v="372"/>
    <n v="4.3"/>
    <n v="5.12"/>
  </r>
  <r>
    <x v="1"/>
    <s v="Convenience stores"/>
    <x v="4"/>
    <s v="Veet"/>
    <s v="|55/01/42|"/>
    <n v="348"/>
    <n v="4.8499999999999996"/>
    <n v="5.09"/>
  </r>
  <r>
    <x v="1"/>
    <s v="Convenience stores"/>
    <x v="4"/>
    <s v="Veet"/>
    <s v="|55/01/43|"/>
    <n v="288"/>
    <n v="4.8600000000000003"/>
    <n v="5.24"/>
  </r>
  <r>
    <x v="1"/>
    <s v="Convenience stores"/>
    <x v="4"/>
    <s v="Veet"/>
    <s v="|55/01/44|"/>
    <n v="516"/>
    <n v="4.5199999999999996"/>
    <n v="5.26"/>
  </r>
  <r>
    <x v="1"/>
    <s v="Convenience stores"/>
    <x v="4"/>
    <s v="Veet"/>
    <s v="|55/01/45|"/>
    <n v="720"/>
    <n v="4.82"/>
    <n v="5.23"/>
  </r>
  <r>
    <x v="1"/>
    <s v="Convenience stores"/>
    <x v="4"/>
    <s v="Veet"/>
    <s v="|55/01/46|"/>
    <n v="564"/>
    <n v="4.38"/>
    <n v="5.23"/>
  </r>
  <r>
    <x v="1"/>
    <s v="Convenience stores"/>
    <x v="4"/>
    <s v="Veet"/>
    <s v="|55/01/47|"/>
    <n v="684"/>
    <n v="4.76"/>
    <n v="5"/>
  </r>
  <r>
    <x v="1"/>
    <s v="Convenience stores"/>
    <x v="4"/>
    <s v="Veet"/>
    <s v="|55/01/48|"/>
    <n v="492"/>
    <n v="4.28"/>
    <n v="5.09"/>
  </r>
  <r>
    <x v="1"/>
    <s v="Convenience stores"/>
    <x v="4"/>
    <s v="Veet"/>
    <s v="|55/01/60|"/>
    <n v="312"/>
    <n v="4.1100000000000003"/>
    <n v="5.36"/>
  </r>
  <r>
    <x v="1"/>
    <s v="Convenience stores"/>
    <x v="4"/>
    <s v="Veet"/>
    <s v="|55/01/61|"/>
    <n v="324"/>
    <n v="4.7300000000000004"/>
    <n v="5.04"/>
  </r>
  <r>
    <x v="1"/>
    <s v="Convenience stores"/>
    <x v="4"/>
    <s v="Veet"/>
    <s v="|55/01/62|"/>
    <n v="372"/>
    <n v="4.53"/>
    <n v="5.19"/>
  </r>
  <r>
    <x v="1"/>
    <s v="Convenience stores"/>
    <x v="4"/>
    <s v="Veet"/>
    <s v="|55/01/63|"/>
    <n v="288"/>
    <n v="4.3499999999999996"/>
    <n v="5.16"/>
  </r>
  <r>
    <x v="1"/>
    <s v="Convenience stores"/>
    <x v="4"/>
    <s v="Veet"/>
    <s v="|55/01/64|"/>
    <n v="360"/>
    <n v="4.75"/>
    <n v="5.21"/>
  </r>
  <r>
    <x v="1"/>
    <s v="Convenience stores"/>
    <x v="1"/>
    <s v="North Cascade"/>
    <s v="|45/08/01|"/>
    <n v="468"/>
    <n v="6.293333333333333"/>
    <n v="7.9666666666666668"/>
  </r>
  <r>
    <x v="1"/>
    <s v="Convenience stores"/>
    <x v="1"/>
    <s v="North Cascade"/>
    <s v="|45/30/01|"/>
    <n v="516"/>
    <n v="6.64"/>
    <n v="7.6333333333333337"/>
  </r>
  <r>
    <x v="1"/>
    <s v="Convenience stores"/>
    <x v="1"/>
    <s v="North Cascade"/>
    <s v="|45/50/01|"/>
    <n v="600"/>
    <n v="5.4533333333333331"/>
    <n v="7.8533333333333335"/>
  </r>
  <r>
    <x v="1"/>
    <s v="Convenience stores"/>
    <x v="1"/>
    <s v="North Cascade"/>
    <s v="|45/50/02|"/>
    <n v="492"/>
    <n v="5.58"/>
    <n v="8.6"/>
  </r>
  <r>
    <x v="1"/>
    <s v="Convenience stores"/>
    <x v="1"/>
    <s v="North Cascade"/>
    <s v="|45/50/03|"/>
    <n v="504"/>
    <n v="5.3933333333333335"/>
    <n v="8.4333333333333336"/>
  </r>
  <r>
    <x v="1"/>
    <s v="Convenience stores"/>
    <x v="1"/>
    <s v="North Cascade"/>
    <s v="|45/50/04|"/>
    <n v="564"/>
    <n v="6.46"/>
    <n v="8.293333333333333"/>
  </r>
  <r>
    <x v="1"/>
    <s v="Convenience stores"/>
    <x v="1"/>
    <s v="North Cascade"/>
    <s v="|45/50/05|"/>
    <n v="468"/>
    <n v="6.54"/>
    <n v="8.5"/>
  </r>
  <r>
    <x v="1"/>
    <s v="Convenience stores"/>
    <x v="1"/>
    <s v="North Cascade"/>
    <s v="|45/50/06|"/>
    <n v="624"/>
    <n v="5.4"/>
    <n v="8.2466666666666661"/>
  </r>
  <r>
    <x v="1"/>
    <s v="Convenience stores"/>
    <x v="1"/>
    <s v="North Cascade"/>
    <s v="|45/50/07|"/>
    <n v="624"/>
    <n v="5.6066666666666665"/>
    <n v="8.02"/>
  </r>
  <r>
    <x v="1"/>
    <s v="Convenience stores"/>
    <x v="1"/>
    <s v="North Cascade"/>
    <s v="|45/50/08|"/>
    <n v="624"/>
    <n v="6.4533333333333331"/>
    <n v="7.8933333333333335"/>
  </r>
  <r>
    <x v="1"/>
    <s v="Convenience stores"/>
    <x v="1"/>
    <s v="North Cascade"/>
    <s v="|45/50/09|"/>
    <n v="408"/>
    <n v="5.9066666666666663"/>
    <n v="8.4466666666666672"/>
  </r>
  <r>
    <x v="1"/>
    <s v="Convenience stores"/>
    <x v="1"/>
    <s v="North Cascade"/>
    <s v="|45/50/10|"/>
    <n v="564"/>
    <n v="5.44"/>
    <n v="7.92"/>
  </r>
  <r>
    <x v="1"/>
    <s v="Convenience stores"/>
    <x v="1"/>
    <s v="North Cascade"/>
    <s v="|45/50/11|"/>
    <n v="528"/>
    <n v="5.9066666666666663"/>
    <n v="7.5666666666666664"/>
  </r>
  <r>
    <x v="1"/>
    <s v="Convenience stores"/>
    <x v="1"/>
    <s v="North Cascade"/>
    <s v="|45/50/12|"/>
    <n v="456"/>
    <n v="6.3066666666666666"/>
    <n v="7.6333333333333337"/>
  </r>
  <r>
    <x v="1"/>
    <s v="Convenience stores"/>
    <x v="1"/>
    <s v="North Cascade"/>
    <s v="|45/50/13|"/>
    <n v="516"/>
    <n v="5.2733333333333334"/>
    <n v="7.8866666666666667"/>
  </r>
  <r>
    <x v="1"/>
    <s v="Convenience stores"/>
    <x v="1"/>
    <s v="North Cascade"/>
    <s v="|45/50/14|"/>
    <n v="492"/>
    <n v="5.54"/>
    <n v="8.52"/>
  </r>
  <r>
    <x v="1"/>
    <s v="Convenience stores"/>
    <x v="1"/>
    <s v="North Cascade"/>
    <s v="|45/50/15|"/>
    <n v="432"/>
    <n v="6.0266666666666664"/>
    <n v="8.6066666666666674"/>
  </r>
  <r>
    <x v="1"/>
    <s v="Convenience stores"/>
    <x v="1"/>
    <s v="North Cascade"/>
    <s v="|45/50/16|"/>
    <n v="456"/>
    <n v="5.4533333333333331"/>
    <n v="7.7"/>
  </r>
  <r>
    <x v="1"/>
    <s v="Convenience stores"/>
    <x v="1"/>
    <s v="North Cascade"/>
    <s v="|45/50/17|"/>
    <n v="588"/>
    <n v="6.4266666666666667"/>
    <n v="8.413333333333334"/>
  </r>
  <r>
    <x v="1"/>
    <s v="Convenience stores"/>
    <x v="1"/>
    <s v="North Cascade"/>
    <s v="|45/50/19|"/>
    <n v="420"/>
    <n v="5.8266666666666671"/>
    <n v="8.3933333333333326"/>
  </r>
  <r>
    <x v="1"/>
    <s v="Convenience stores"/>
    <x v="1"/>
    <s v="North Cascade"/>
    <s v="|45/50/20|"/>
    <n v="636"/>
    <n v="5.6466666666666665"/>
    <n v="8.4066666666666663"/>
  </r>
  <r>
    <x v="1"/>
    <s v="Convenience stores"/>
    <x v="1"/>
    <s v="North Cascade"/>
    <s v="|45/50/21|"/>
    <n v="492"/>
    <n v="5.793333333333333"/>
    <n v="8.3133333333333326"/>
  </r>
  <r>
    <x v="1"/>
    <s v="Convenience stores"/>
    <x v="1"/>
    <s v="North Cascade"/>
    <s v="|45/50/22|"/>
    <n v="456"/>
    <n v="5.4866666666666664"/>
    <n v="7.74"/>
  </r>
  <r>
    <x v="1"/>
    <s v="Convenience stores"/>
    <x v="1"/>
    <s v="North Cascade"/>
    <s v="|45/50/23|"/>
    <n v="468"/>
    <n v="6.2266666666666666"/>
    <n v="7.4333333333333336"/>
  </r>
  <r>
    <x v="1"/>
    <s v="Convenience stores"/>
    <x v="1"/>
    <s v="North Cascade"/>
    <s v="|45/50/24|"/>
    <n v="540"/>
    <n v="5.88"/>
    <n v="7.52"/>
  </r>
  <r>
    <x v="1"/>
    <s v="Convenience stores"/>
    <x v="1"/>
    <s v="North Cascade"/>
    <s v="|45/50/25|"/>
    <n v="564"/>
    <n v="5.6933333333333334"/>
    <n v="8.3133333333333326"/>
  </r>
  <r>
    <x v="1"/>
    <s v="Convenience stores"/>
    <x v="1"/>
    <s v="North Cascade"/>
    <s v="|45/50/26|"/>
    <n v="432"/>
    <n v="6.5466666666666669"/>
    <n v="7.7266666666666666"/>
  </r>
  <r>
    <x v="1"/>
    <s v="Convenience stores"/>
    <x v="1"/>
    <s v="North Cascade"/>
    <s v="|45/50/27|"/>
    <n v="420"/>
    <n v="5.8266666666666671"/>
    <n v="8.586666666666666"/>
  </r>
  <r>
    <x v="1"/>
    <s v="Convenience stores"/>
    <x v="1"/>
    <s v="North Cascade"/>
    <s v="|45/50/28|"/>
    <n v="408"/>
    <n v="6"/>
    <n v="8.4733333333333327"/>
  </r>
  <r>
    <x v="1"/>
    <s v="Convenience stores"/>
    <x v="1"/>
    <s v="North Cascade"/>
    <s v="|45/50/29|"/>
    <n v="588"/>
    <n v="6.2866666666666671"/>
    <n v="8.4600000000000009"/>
  </r>
  <r>
    <x v="1"/>
    <s v="Convenience stores"/>
    <x v="1"/>
    <s v="North Cascade"/>
    <s v="|45/50/30|"/>
    <n v="552"/>
    <n v="5.7666666666666666"/>
    <n v="8.6133333333333333"/>
  </r>
  <r>
    <x v="1"/>
    <s v="Convenience stores"/>
    <x v="1"/>
    <s v="North Cascade"/>
    <s v="|45/50/31|"/>
    <n v="576"/>
    <n v="5.4533333333333331"/>
    <n v="7.68"/>
  </r>
  <r>
    <x v="1"/>
    <s v="Convenience stores"/>
    <x v="1"/>
    <s v="North Cascade"/>
    <s v="|45/50/32|"/>
    <n v="408"/>
    <n v="6.4866666666666664"/>
    <n v="8.0933333333333337"/>
  </r>
  <r>
    <x v="1"/>
    <s v="Convenience stores"/>
    <x v="1"/>
    <s v="North Cascade"/>
    <s v="|45/50/33|"/>
    <n v="420"/>
    <n v="5.9466666666666663"/>
    <n v="8.64"/>
  </r>
  <r>
    <x v="1"/>
    <s v="Convenience stores"/>
    <x v="1"/>
    <s v="North Cascade"/>
    <s v="|45/50/34|"/>
    <n v="636"/>
    <n v="5.32"/>
    <n v="8.2666666666666675"/>
  </r>
  <r>
    <x v="1"/>
    <s v="Convenience stores"/>
    <x v="1"/>
    <s v="North Cascade"/>
    <s v="|45/50/35|"/>
    <n v="480"/>
    <n v="6.5333333333333332"/>
    <n v="7.9733333333333336"/>
  </r>
  <r>
    <x v="1"/>
    <s v="Convenience stores"/>
    <x v="1"/>
    <s v="North Cascade"/>
    <s v="|45/50/36|"/>
    <n v="468"/>
    <n v="5.2733333333333334"/>
    <n v="8.5"/>
  </r>
  <r>
    <x v="1"/>
    <s v="Convenience stores"/>
    <x v="1"/>
    <s v="North Cascade"/>
    <s v="|45/50/37|"/>
    <n v="456"/>
    <n v="5.82"/>
    <n v="7.5"/>
  </r>
  <r>
    <x v="1"/>
    <s v="Convenience stores"/>
    <x v="1"/>
    <s v="North Cascade"/>
    <s v="|45/50/38|"/>
    <n v="456"/>
    <n v="5.3733333333333331"/>
    <n v="7.4733333333333336"/>
  </r>
  <r>
    <x v="1"/>
    <s v="Convenience stores"/>
    <x v="1"/>
    <s v="North Cascade"/>
    <s v="|45/50/39|"/>
    <n v="576"/>
    <n v="6.48"/>
    <n v="8.0733333333333341"/>
  </r>
  <r>
    <x v="1"/>
    <s v="Convenience stores"/>
    <x v="1"/>
    <s v="North Cascade"/>
    <s v="|45/50/40|"/>
    <n v="456"/>
    <n v="6.3533333333333335"/>
    <n v="8.1866666666666674"/>
  </r>
  <r>
    <x v="1"/>
    <s v="Convenience stores"/>
    <x v="1"/>
    <s v="North Cascade"/>
    <s v="|45/50/40a|"/>
    <n v="492"/>
    <n v="5.333333333333333"/>
    <n v="8.24"/>
  </r>
  <r>
    <x v="1"/>
    <s v="Convenience stores"/>
    <x v="1"/>
    <s v="North Cascade"/>
    <s v="|45/50/40b|"/>
    <n v="564"/>
    <n v="6.206666666666667"/>
    <n v="8.5266666666666673"/>
  </r>
  <r>
    <x v="1"/>
    <s v="Convenience stores"/>
    <x v="1"/>
    <s v="North Cascade"/>
    <s v="|45/50/40c|"/>
    <n v="612"/>
    <n v="6.5"/>
    <n v="8.1266666666666669"/>
  </r>
  <r>
    <x v="1"/>
    <s v="Convenience stores"/>
    <x v="1"/>
    <s v="North Cascade"/>
    <s v="|45/50/40d|"/>
    <n v="576"/>
    <n v="5.706666666666667"/>
    <n v="7.36"/>
  </r>
  <r>
    <x v="1"/>
    <s v="Convenience stores"/>
    <x v="1"/>
    <s v="North Cascade"/>
    <s v="|45/50/41|"/>
    <n v="612"/>
    <n v="6.5066666666666668"/>
    <n v="7.3933333333333335"/>
  </r>
  <r>
    <x v="1"/>
    <s v="Convenience stores"/>
    <x v="1"/>
    <s v="North Cascade"/>
    <s v="|45/50/42|"/>
    <n v="576"/>
    <n v="5.72"/>
    <n v="7.5533333333333337"/>
  </r>
  <r>
    <x v="1"/>
    <s v="Convenience stores"/>
    <x v="1"/>
    <s v="North Cascade"/>
    <s v="|45/50/98|"/>
    <n v="456"/>
    <n v="5.78"/>
    <n v="7.4533333333333331"/>
  </r>
  <r>
    <x v="1"/>
    <s v="Convenience stores"/>
    <x v="1"/>
    <s v="North Cascade"/>
    <s v="|45/50/99|"/>
    <n v="636"/>
    <n v="5.28"/>
    <n v="8.6666666666666661"/>
  </r>
  <r>
    <x v="1"/>
    <s v="Convenience stores"/>
    <x v="8"/>
    <s v="North Cascade"/>
    <s v="|45/01/01|"/>
    <n v="1860"/>
    <n v="5"/>
    <n v="7"/>
  </r>
  <r>
    <x v="1"/>
    <s v="Convenience stores"/>
    <x v="8"/>
    <s v="North Cascade"/>
    <s v="|45/01/02|"/>
    <n v="1836"/>
    <n v="4"/>
    <n v="7"/>
  </r>
  <r>
    <x v="1"/>
    <s v="Convenience stores"/>
    <x v="8"/>
    <s v="North Cascade"/>
    <s v="|45/01/03|"/>
    <n v="1824"/>
    <n v="5"/>
    <n v="6"/>
  </r>
  <r>
    <x v="1"/>
    <s v="Convenience stores"/>
    <x v="8"/>
    <s v="North Cascade"/>
    <s v="|45/01/04|"/>
    <n v="1764"/>
    <n v="4"/>
    <n v="7"/>
  </r>
  <r>
    <x v="1"/>
    <s v="Convenience stores"/>
    <x v="8"/>
    <s v="North Cascade"/>
    <s v="|45/01/05|"/>
    <n v="1740"/>
    <n v="4"/>
    <n v="6"/>
  </r>
  <r>
    <x v="1"/>
    <s v="Convenience stores"/>
    <x v="8"/>
    <s v="North Cascade"/>
    <s v="|45/01/11|"/>
    <n v="1836"/>
    <n v="4"/>
    <n v="6"/>
  </r>
  <r>
    <x v="1"/>
    <s v="Convenience stores"/>
    <x v="8"/>
    <s v="North Cascade"/>
    <s v="|45/01/12|"/>
    <n v="1848"/>
    <n v="5"/>
    <n v="7"/>
  </r>
  <r>
    <x v="1"/>
    <s v="Convenience stores"/>
    <x v="8"/>
    <s v="North Cascade"/>
    <s v="|45/01/13|"/>
    <n v="1956"/>
    <n v="5"/>
    <n v="7"/>
  </r>
  <r>
    <x v="1"/>
    <s v="Convenience stores"/>
    <x v="8"/>
    <s v="North Cascade"/>
    <s v="|45/01/14|"/>
    <n v="1776"/>
    <n v="4"/>
    <n v="6"/>
  </r>
  <r>
    <x v="1"/>
    <s v="Convenience stores"/>
    <x v="8"/>
    <s v="North Cascade"/>
    <s v="|45/01/15|"/>
    <n v="1740"/>
    <n v="5"/>
    <n v="6"/>
  </r>
  <r>
    <x v="1"/>
    <s v="Convenience stores"/>
    <x v="8"/>
    <s v="North Cascade"/>
    <s v="|45/01/16|"/>
    <n v="1980"/>
    <n v="5"/>
    <n v="6"/>
  </r>
  <r>
    <x v="1"/>
    <s v="Convenience stores"/>
    <x v="8"/>
    <s v="North Cascade"/>
    <s v="|45/01/20|"/>
    <n v="2004"/>
    <n v="5"/>
    <n v="7"/>
  </r>
  <r>
    <x v="1"/>
    <s v="Convenience stores"/>
    <x v="8"/>
    <s v="North Cascade"/>
    <s v="|45/01/21|"/>
    <n v="1932"/>
    <n v="5"/>
    <n v="7"/>
  </r>
  <r>
    <x v="1"/>
    <s v="Convenience stores"/>
    <x v="8"/>
    <s v="North Cascade"/>
    <s v="|45/01/22|"/>
    <n v="1800"/>
    <n v="5"/>
    <n v="7"/>
  </r>
  <r>
    <x v="1"/>
    <s v="Convenience stores"/>
    <x v="8"/>
    <s v="North Cascade"/>
    <s v="|45/02/01|"/>
    <n v="1956"/>
    <n v="4"/>
    <n v="7"/>
  </r>
  <r>
    <x v="1"/>
    <s v="Convenience stores"/>
    <x v="8"/>
    <s v="North Cascade"/>
    <s v="|45/02/02|"/>
    <n v="1824"/>
    <n v="5"/>
    <n v="7"/>
  </r>
  <r>
    <x v="1"/>
    <s v="Convenience stores"/>
    <x v="8"/>
    <s v="North Cascade"/>
    <s v="|45/02/03|"/>
    <n v="1764"/>
    <n v="4"/>
    <n v="6"/>
  </r>
  <r>
    <x v="1"/>
    <s v="Convenience stores"/>
    <x v="8"/>
    <s v="North Cascade"/>
    <s v="|45/02/04|"/>
    <n v="1776"/>
    <n v="4"/>
    <n v="6"/>
  </r>
  <r>
    <x v="1"/>
    <s v="Convenience stores"/>
    <x v="8"/>
    <s v="North Cascade"/>
    <s v="|45/02/05|"/>
    <n v="1824"/>
    <n v="4"/>
    <n v="7"/>
  </r>
  <r>
    <x v="1"/>
    <s v="Convenience stores"/>
    <x v="8"/>
    <s v="North Cascade"/>
    <s v="|45/02/11|"/>
    <n v="1920"/>
    <n v="4"/>
    <n v="6"/>
  </r>
  <r>
    <x v="1"/>
    <s v="Convenience stores"/>
    <x v="8"/>
    <s v="North Cascade"/>
    <s v="|45/02/12|"/>
    <n v="1932"/>
    <n v="4"/>
    <n v="6"/>
  </r>
  <r>
    <x v="1"/>
    <s v="Convenience stores"/>
    <x v="8"/>
    <s v="North Cascade"/>
    <s v="|45/02/13|"/>
    <n v="1980"/>
    <n v="5"/>
    <n v="7"/>
  </r>
  <r>
    <x v="1"/>
    <s v="Convenience stores"/>
    <x v="8"/>
    <s v="North Cascade"/>
    <s v="|45/02/21|"/>
    <n v="2028"/>
    <n v="5"/>
    <n v="6"/>
  </r>
  <r>
    <x v="1"/>
    <s v="Convenience stores"/>
    <x v="8"/>
    <s v="North Cascade"/>
    <s v="|45/02/22|"/>
    <n v="1776"/>
    <n v="4"/>
    <n v="6"/>
  </r>
  <r>
    <x v="1"/>
    <s v="Convenience stores"/>
    <x v="8"/>
    <s v="North Cascade"/>
    <s v="|45/02/23|"/>
    <n v="1812"/>
    <n v="5"/>
    <n v="6"/>
  </r>
  <r>
    <x v="1"/>
    <s v="Convenience stores"/>
    <x v="8"/>
    <s v="North Cascade"/>
    <s v="|45/02/31|"/>
    <n v="1920"/>
    <n v="4"/>
    <n v="6"/>
  </r>
  <r>
    <x v="1"/>
    <s v="Convenience stores"/>
    <x v="8"/>
    <s v="North Cascade"/>
    <s v="|45/03/01|"/>
    <n v="1932"/>
    <n v="4"/>
    <n v="6"/>
  </r>
  <r>
    <x v="1"/>
    <s v="Convenience stores"/>
    <x v="8"/>
    <s v="North Cascade"/>
    <s v="|45/03/03|"/>
    <n v="1764"/>
    <n v="5"/>
    <n v="7"/>
  </r>
  <r>
    <x v="1"/>
    <s v="Convenience stores"/>
    <x v="8"/>
    <s v="North Cascade"/>
    <s v="|45/03/04|"/>
    <n v="2004"/>
    <n v="5"/>
    <n v="6"/>
  </r>
  <r>
    <x v="1"/>
    <s v="Convenience stores"/>
    <x v="8"/>
    <s v="North Cascade"/>
    <s v="|45/03/05|"/>
    <n v="1836"/>
    <n v="4"/>
    <n v="7"/>
  </r>
  <r>
    <x v="1"/>
    <s v="Convenience stores"/>
    <x v="8"/>
    <s v="North Cascade"/>
    <s v="|45/04/01|"/>
    <n v="1776"/>
    <n v="4"/>
    <n v="6"/>
  </r>
  <r>
    <x v="1"/>
    <s v="Convenience stores"/>
    <x v="8"/>
    <s v="North Cascade"/>
    <s v="|45/04/02|"/>
    <n v="1872"/>
    <n v="5"/>
    <n v="6"/>
  </r>
  <r>
    <x v="1"/>
    <s v="Convenience stores"/>
    <x v="8"/>
    <s v="North Cascade"/>
    <s v="|45/04/03|"/>
    <n v="1812"/>
    <n v="5"/>
    <n v="7"/>
  </r>
  <r>
    <x v="1"/>
    <s v="Convenience stores"/>
    <x v="8"/>
    <s v="North Cascade"/>
    <s v="|45/04/04|"/>
    <n v="1872"/>
    <n v="4"/>
    <n v="7"/>
  </r>
  <r>
    <x v="1"/>
    <s v="Convenience stores"/>
    <x v="8"/>
    <s v="North Cascade"/>
    <s v="|45/04/08|"/>
    <n v="1836"/>
    <n v="5"/>
    <n v="7"/>
  </r>
  <r>
    <x v="1"/>
    <s v="Convenience stores"/>
    <x v="8"/>
    <s v="North Cascade"/>
    <s v="|45/04/09|"/>
    <n v="1860"/>
    <n v="4"/>
    <n v="6"/>
  </r>
  <r>
    <x v="1"/>
    <s v="Convenience stores"/>
    <x v="8"/>
    <s v="North Cascade"/>
    <s v="|45/04/10|"/>
    <n v="1776"/>
    <n v="4"/>
    <n v="6"/>
  </r>
  <r>
    <x v="1"/>
    <s v="Convenience stores"/>
    <x v="8"/>
    <s v="North Cascade"/>
    <s v="|45/04/11|"/>
    <n v="2016"/>
    <n v="5"/>
    <n v="6"/>
  </r>
  <r>
    <x v="1"/>
    <s v="Convenience stores"/>
    <x v="8"/>
    <s v="North Cascade"/>
    <s v="|45/04/12|"/>
    <n v="1752"/>
    <n v="4"/>
    <n v="7"/>
  </r>
  <r>
    <x v="1"/>
    <s v="Convenience stores"/>
    <x v="8"/>
    <s v="North Cascade"/>
    <s v="|45/04/13|"/>
    <n v="1812"/>
    <n v="4"/>
    <n v="6"/>
  </r>
  <r>
    <x v="1"/>
    <s v="Convenience stores"/>
    <x v="8"/>
    <s v="North Cascade"/>
    <s v="|45/04/14|"/>
    <n v="1896"/>
    <n v="5"/>
    <n v="7"/>
  </r>
  <r>
    <x v="1"/>
    <s v="Convenience stores"/>
    <x v="8"/>
    <s v="North Cascade"/>
    <s v="|45/04/21|"/>
    <n v="1812"/>
    <n v="4"/>
    <n v="6"/>
  </r>
  <r>
    <x v="1"/>
    <s v="Convenience stores"/>
    <x v="8"/>
    <s v="North Cascade"/>
    <s v="|45/04/22|"/>
    <n v="1800"/>
    <n v="4"/>
    <n v="6"/>
  </r>
  <r>
    <x v="1"/>
    <s v="Convenience stores"/>
    <x v="8"/>
    <s v="North Cascade"/>
    <s v="|45/04/23|"/>
    <n v="1776"/>
    <n v="4"/>
    <n v="6"/>
  </r>
  <r>
    <x v="1"/>
    <s v="Convenience stores"/>
    <x v="8"/>
    <s v="North Cascade"/>
    <s v="|45/04/31|"/>
    <n v="1788"/>
    <n v="5"/>
    <n v="6"/>
  </r>
  <r>
    <x v="1"/>
    <s v="Convenience stores"/>
    <x v="8"/>
    <s v="North Cascade"/>
    <s v="|45/04/32|"/>
    <n v="2004"/>
    <n v="4"/>
    <n v="6"/>
  </r>
  <r>
    <x v="1"/>
    <s v="Convenience stores"/>
    <x v="8"/>
    <s v="North Cascade"/>
    <s v="|45/04/33|"/>
    <n v="1872"/>
    <n v="5"/>
    <n v="6"/>
  </r>
  <r>
    <x v="1"/>
    <s v="Convenience stores"/>
    <x v="8"/>
    <s v="North Cascade"/>
    <s v="|45/04/88|"/>
    <n v="2028"/>
    <n v="5"/>
    <n v="7"/>
  </r>
  <r>
    <x v="1"/>
    <s v="Convenience stores"/>
    <x v="8"/>
    <s v="North Cascade"/>
    <s v="|45/05/01|"/>
    <n v="1908"/>
    <n v="5"/>
    <n v="7"/>
  </r>
  <r>
    <x v="1"/>
    <s v="Convenience stores"/>
    <x v="8"/>
    <s v="North Cascade"/>
    <s v="|45/05/02|"/>
    <n v="2004"/>
    <n v="5"/>
    <n v="6"/>
  </r>
  <r>
    <x v="1"/>
    <s v="Convenience stores"/>
    <x v="8"/>
    <s v="North Cascade"/>
    <s v="|45/05/03|"/>
    <n v="1836"/>
    <n v="4"/>
    <n v="7"/>
  </r>
  <r>
    <x v="1"/>
    <s v="Convenience stores"/>
    <x v="8"/>
    <s v="North Cascade"/>
    <s v="|45/05/04|"/>
    <n v="1800"/>
    <n v="5"/>
    <n v="7"/>
  </r>
  <r>
    <x v="1"/>
    <s v="Convenience stores"/>
    <x v="8"/>
    <s v="North Cascade"/>
    <s v="|45/05/05|"/>
    <n v="1812"/>
    <n v="5"/>
    <n v="7"/>
  </r>
  <r>
    <x v="1"/>
    <s v="Convenience stores"/>
    <x v="8"/>
    <s v="North Cascade"/>
    <s v="|45/05/06|"/>
    <n v="2004"/>
    <n v="5"/>
    <n v="7"/>
  </r>
  <r>
    <x v="1"/>
    <s v="Convenience stores"/>
    <x v="8"/>
    <s v="North Cascade"/>
    <s v="|45/05/07|"/>
    <n v="1992"/>
    <n v="4"/>
    <n v="6"/>
  </r>
  <r>
    <x v="1"/>
    <s v="Convenience stores"/>
    <x v="8"/>
    <s v="North Cascade"/>
    <s v="|45/06/01|"/>
    <n v="1776"/>
    <n v="5"/>
    <n v="6"/>
  </r>
  <r>
    <x v="1"/>
    <s v="Convenience stores"/>
    <x v="8"/>
    <s v="North Cascade"/>
    <s v="|45/06/03|"/>
    <n v="1872"/>
    <n v="5"/>
    <n v="7"/>
  </r>
  <r>
    <x v="1"/>
    <s v="Convenience stores"/>
    <x v="8"/>
    <s v="North Cascade"/>
    <s v="|45/06/04|"/>
    <n v="1932"/>
    <n v="5"/>
    <n v="6"/>
  </r>
  <r>
    <x v="1"/>
    <s v="Convenience stores"/>
    <x v="8"/>
    <s v="North Cascade"/>
    <s v="|45/06/05|"/>
    <n v="2004"/>
    <n v="5"/>
    <n v="6"/>
  </r>
  <r>
    <x v="1"/>
    <s v="Convenience stores"/>
    <x v="8"/>
    <s v="North Cascade"/>
    <s v="|45/07/01|"/>
    <n v="2016"/>
    <n v="4"/>
    <n v="7"/>
  </r>
  <r>
    <x v="1"/>
    <s v="Convenience stores"/>
    <x v="8"/>
    <s v="North Cascade"/>
    <s v="|45/07/02|"/>
    <n v="1752"/>
    <n v="5"/>
    <n v="7"/>
  </r>
  <r>
    <x v="1"/>
    <s v="Convenience stores"/>
    <x v="8"/>
    <s v="North Cascade"/>
    <s v="|45/07/03|"/>
    <n v="1896"/>
    <n v="4"/>
    <n v="7"/>
  </r>
  <r>
    <x v="1"/>
    <s v="Convenience stores"/>
    <x v="8"/>
    <s v="North Cascade"/>
    <s v="|45/07/04|"/>
    <n v="1992"/>
    <n v="4"/>
    <n v="7"/>
  </r>
  <r>
    <x v="1"/>
    <s v="Convenience stores"/>
    <x v="8"/>
    <s v="North Cascade"/>
    <s v="|45/07/05|"/>
    <n v="2040"/>
    <n v="4"/>
    <n v="6"/>
  </r>
  <r>
    <x v="1"/>
    <s v="Convenience stores"/>
    <x v="8"/>
    <s v="North Cascade"/>
    <s v="|45/07/06|"/>
    <n v="1884"/>
    <n v="5"/>
    <n v="6"/>
  </r>
  <r>
    <x v="1"/>
    <s v="Convenience stores"/>
    <x v="8"/>
    <s v="North Cascade"/>
    <s v="|45/07/07|"/>
    <n v="1980"/>
    <n v="5"/>
    <n v="7"/>
  </r>
  <r>
    <x v="1"/>
    <s v="Convenience stores"/>
    <x v="8"/>
    <s v="North Cascade"/>
    <s v="|45/07/08|"/>
    <n v="1980"/>
    <n v="4"/>
    <n v="7"/>
  </r>
  <r>
    <x v="1"/>
    <s v="Convenience stores"/>
    <x v="8"/>
    <s v="North Cascade"/>
    <s v="|45/07/09|"/>
    <n v="1824"/>
    <n v="4"/>
    <n v="6"/>
  </r>
  <r>
    <x v="1"/>
    <s v="Convenience stores"/>
    <x v="8"/>
    <s v="North Cascade"/>
    <s v="|45/07/10|"/>
    <n v="2016"/>
    <n v="5"/>
    <n v="7"/>
  </r>
  <r>
    <x v="1"/>
    <s v="Convenience stores"/>
    <x v="8"/>
    <s v="North Cascade"/>
    <s v="|45/20/01|"/>
    <n v="1956"/>
    <n v="4"/>
    <n v="7"/>
  </r>
  <r>
    <x v="1"/>
    <s v="Convenience stores"/>
    <x v="8"/>
    <s v="North Cascade"/>
    <s v="|45/20/02|"/>
    <n v="1812"/>
    <n v="5"/>
    <n v="7"/>
  </r>
  <r>
    <x v="1"/>
    <s v="Convenience stores"/>
    <x v="8"/>
    <s v="North Cascade"/>
    <s v="|45/20/03|"/>
    <n v="1800"/>
    <n v="4"/>
    <n v="7"/>
  </r>
  <r>
    <x v="1"/>
    <s v="Convenience stores"/>
    <x v="8"/>
    <s v="North Cascade"/>
    <s v="|45/20/04|"/>
    <n v="1980"/>
    <n v="5"/>
    <n v="6"/>
  </r>
  <r>
    <x v="1"/>
    <s v="Convenience stores"/>
    <x v="8"/>
    <s v="North Cascade"/>
    <s v="|45/20/05|"/>
    <n v="1776"/>
    <n v="5"/>
    <n v="6"/>
  </r>
  <r>
    <x v="1"/>
    <s v="Convenience stores"/>
    <x v="8"/>
    <s v="North Cascade"/>
    <s v="|45/20/06|"/>
    <n v="1764"/>
    <n v="4"/>
    <n v="6"/>
  </r>
  <r>
    <x v="1"/>
    <s v="Convenience stores"/>
    <x v="8"/>
    <s v="North Cascade"/>
    <s v="|45/20/07|"/>
    <n v="1992"/>
    <n v="5"/>
    <n v="6"/>
  </r>
  <r>
    <x v="1"/>
    <s v="Convenience stores"/>
    <x v="8"/>
    <s v="North Cascade"/>
    <s v="|45/20/08|"/>
    <n v="1740"/>
    <n v="5"/>
    <n v="7"/>
  </r>
  <r>
    <x v="1"/>
    <s v="Convenience stores"/>
    <x v="8"/>
    <s v="North Cascade"/>
    <s v="|45/20/09|"/>
    <n v="1884"/>
    <n v="5"/>
    <n v="6"/>
  </r>
  <r>
    <x v="1"/>
    <s v="Convenience stores"/>
    <x v="8"/>
    <s v="North Cascade"/>
    <s v="|45/20/10|"/>
    <n v="2040"/>
    <n v="5"/>
    <n v="6"/>
  </r>
  <r>
    <x v="1"/>
    <s v="Convenience stores"/>
    <x v="8"/>
    <s v="North Cascade"/>
    <s v="|45/20/11|"/>
    <n v="1908"/>
    <n v="4"/>
    <n v="7"/>
  </r>
  <r>
    <x v="1"/>
    <s v="Convenience stores"/>
    <x v="8"/>
    <s v="North Cascade"/>
    <s v="|45/20/12|"/>
    <n v="1812"/>
    <n v="5"/>
    <n v="6"/>
  </r>
  <r>
    <x v="1"/>
    <s v="Convenience stores"/>
    <x v="8"/>
    <s v="North Cascade"/>
    <s v="|45/20/13|"/>
    <n v="1812"/>
    <n v="5"/>
    <n v="7"/>
  </r>
  <r>
    <x v="1"/>
    <s v="Convenience stores"/>
    <x v="8"/>
    <s v="North Cascade"/>
    <s v="|45/20/14|"/>
    <n v="1836"/>
    <n v="4"/>
    <n v="7"/>
  </r>
  <r>
    <x v="1"/>
    <s v="Convenience stores"/>
    <x v="8"/>
    <s v="North Cascade"/>
    <s v="|45/20/15|"/>
    <n v="2040"/>
    <n v="4"/>
    <n v="6"/>
  </r>
  <r>
    <x v="1"/>
    <s v="Convenience stores"/>
    <x v="8"/>
    <s v="North Cascade"/>
    <s v="|45/20/16|"/>
    <n v="1956"/>
    <n v="5"/>
    <n v="7"/>
  </r>
  <r>
    <x v="1"/>
    <s v="Convenience stores"/>
    <x v="8"/>
    <s v="North Cascade"/>
    <s v="|45/20/17|"/>
    <n v="1848"/>
    <n v="4"/>
    <n v="7"/>
  </r>
  <r>
    <x v="1"/>
    <s v="Convenience stores"/>
    <x v="8"/>
    <s v="North Cascade"/>
    <s v="|45/20/18|"/>
    <n v="1944"/>
    <n v="5"/>
    <n v="7"/>
  </r>
  <r>
    <x v="1"/>
    <s v="Convenience stores"/>
    <x v="8"/>
    <s v="North Cascade"/>
    <s v="|45/20/19|"/>
    <n v="1872"/>
    <n v="5"/>
    <n v="7"/>
  </r>
  <r>
    <x v="1"/>
    <s v="Convenience stores"/>
    <x v="8"/>
    <s v="North Cascade"/>
    <s v="|45/20/20|"/>
    <n v="1740"/>
    <n v="4"/>
    <n v="6"/>
  </r>
  <r>
    <x v="1"/>
    <s v="Convenience stores"/>
    <x v="8"/>
    <s v="North Cascade"/>
    <s v="|45/20/21|"/>
    <n v="1932"/>
    <n v="4"/>
    <n v="6"/>
  </r>
  <r>
    <x v="1"/>
    <s v="Convenience stores"/>
    <x v="8"/>
    <s v="North Cascade"/>
    <s v="|45/20/22|"/>
    <n v="1752"/>
    <n v="5"/>
    <n v="6"/>
  </r>
  <r>
    <x v="1"/>
    <s v="Convenience stores"/>
    <x v="8"/>
    <s v="North Cascade"/>
    <s v="|45/20/23|"/>
    <n v="1920"/>
    <n v="5"/>
    <n v="6"/>
  </r>
  <r>
    <x v="1"/>
    <s v="Convenience stores"/>
    <x v="8"/>
    <s v="North Cascade"/>
    <s v="|45/20/24|"/>
    <n v="1752"/>
    <n v="4"/>
    <n v="7"/>
  </r>
  <r>
    <x v="1"/>
    <s v="Convenience stores"/>
    <x v="8"/>
    <s v="North Cascade"/>
    <s v="|45/20/25|"/>
    <n v="2004"/>
    <n v="5"/>
    <n v="6"/>
  </r>
  <r>
    <x v="1"/>
    <s v="Convenience stores"/>
    <x v="8"/>
    <s v="North Cascade"/>
    <s v="|45/20/26|"/>
    <n v="1980"/>
    <n v="4"/>
    <n v="6"/>
  </r>
  <r>
    <x v="1"/>
    <s v="Convenience stores"/>
    <x v="8"/>
    <s v="North Cascade"/>
    <s v="|45/20/27|"/>
    <n v="1848"/>
    <n v="5"/>
    <n v="7"/>
  </r>
  <r>
    <x v="1"/>
    <s v="Convenience stores"/>
    <x v="8"/>
    <s v="North Cascade"/>
    <s v="|45/20/28|"/>
    <n v="1956"/>
    <n v="4"/>
    <n v="7"/>
  </r>
  <r>
    <x v="1"/>
    <s v="Convenience stores"/>
    <x v="8"/>
    <s v="North Cascade"/>
    <s v="|45/20/29|"/>
    <n v="1764"/>
    <n v="4"/>
    <n v="7"/>
  </r>
  <r>
    <x v="1"/>
    <s v="Convenience stores"/>
    <x v="8"/>
    <s v="North Cascade"/>
    <s v="|45/20/30|"/>
    <n v="1812"/>
    <n v="4"/>
    <n v="6"/>
  </r>
  <r>
    <x v="1"/>
    <s v="Convenience stores"/>
    <x v="8"/>
    <s v="North Cascade"/>
    <s v="|45/20/31|"/>
    <n v="1932"/>
    <n v="5"/>
    <n v="6"/>
  </r>
  <r>
    <x v="1"/>
    <s v="Convenience stores"/>
    <x v="8"/>
    <s v="North Cascade"/>
    <s v="|45/20/32|"/>
    <n v="1872"/>
    <n v="5"/>
    <n v="6"/>
  </r>
  <r>
    <x v="1"/>
    <s v="Convenience stores"/>
    <x v="8"/>
    <s v="North Cascade"/>
    <s v="|45/20/33|"/>
    <n v="1992"/>
    <n v="4"/>
    <n v="6"/>
  </r>
  <r>
    <x v="1"/>
    <s v="Convenience stores"/>
    <x v="8"/>
    <s v="North Cascade"/>
    <s v="|45/20/34|"/>
    <n v="1764"/>
    <n v="5"/>
    <n v="7"/>
  </r>
  <r>
    <x v="1"/>
    <s v="Convenience stores"/>
    <x v="8"/>
    <s v="North Cascade"/>
    <s v="|45/20/36|"/>
    <n v="2004"/>
    <n v="5"/>
    <n v="7"/>
  </r>
  <r>
    <x v="1"/>
    <s v="Convenience stores"/>
    <x v="8"/>
    <s v="North Cascade"/>
    <s v="|45/20/37|"/>
    <n v="1968"/>
    <n v="4"/>
    <n v="6"/>
  </r>
  <r>
    <x v="1"/>
    <s v="Convenience stores"/>
    <x v="8"/>
    <s v="North Cascade"/>
    <s v="|45/20/38|"/>
    <n v="2028"/>
    <n v="5"/>
    <n v="6"/>
  </r>
  <r>
    <x v="1"/>
    <s v="Convenience stores"/>
    <x v="8"/>
    <s v="North Cascade"/>
    <s v="|45/20/39|"/>
    <n v="1980"/>
    <n v="4"/>
    <n v="6"/>
  </r>
  <r>
    <x v="1"/>
    <s v="Convenience stores"/>
    <x v="8"/>
    <s v="North Cascade"/>
    <s v="|45/20/40|"/>
    <n v="1848"/>
    <n v="4"/>
    <n v="7"/>
  </r>
  <r>
    <x v="1"/>
    <s v="Convenience stores"/>
    <x v="8"/>
    <s v="North Cascade"/>
    <s v="|45/20/41|"/>
    <n v="1800"/>
    <n v="5"/>
    <n v="6"/>
  </r>
  <r>
    <x v="1"/>
    <s v="Convenience stores"/>
    <x v="8"/>
    <s v="North Cascade"/>
    <s v="|45/20/42|"/>
    <n v="1992"/>
    <n v="5"/>
    <n v="7"/>
  </r>
  <r>
    <x v="1"/>
    <s v="Convenience stores"/>
    <x v="8"/>
    <s v="North Cascade"/>
    <s v="|45/20/43|"/>
    <n v="2004"/>
    <n v="5"/>
    <n v="7"/>
  </r>
  <r>
    <x v="1"/>
    <s v="Convenience stores"/>
    <x v="8"/>
    <s v="North Cascade"/>
    <s v="|45/20/45|"/>
    <n v="1932"/>
    <n v="4"/>
    <n v="7"/>
  </r>
  <r>
    <x v="1"/>
    <s v="Convenience stores"/>
    <x v="8"/>
    <s v="North Cascade"/>
    <s v="|45/20/46|"/>
    <n v="1920"/>
    <n v="4"/>
    <n v="6"/>
  </r>
  <r>
    <x v="1"/>
    <s v="Convenience stores"/>
    <x v="8"/>
    <s v="North Cascade"/>
    <s v="|45/20/47|"/>
    <n v="1836"/>
    <n v="4"/>
    <n v="6"/>
  </r>
  <r>
    <x v="1"/>
    <s v="Convenience stores"/>
    <x v="8"/>
    <s v="North Cascade"/>
    <s v="|45/20/48|"/>
    <n v="1908"/>
    <n v="4"/>
    <n v="7"/>
  </r>
  <r>
    <x v="1"/>
    <s v="Convenience stores"/>
    <x v="8"/>
    <s v="North Cascade"/>
    <s v="|45/20/49|"/>
    <n v="1824"/>
    <n v="5"/>
    <n v="6"/>
  </r>
  <r>
    <x v="1"/>
    <s v="Convenience stores"/>
    <x v="8"/>
    <s v="North Cascade"/>
    <s v="|45/20/50|"/>
    <n v="2004"/>
    <n v="5"/>
    <n v="6"/>
  </r>
  <r>
    <x v="1"/>
    <s v="Convenience stores"/>
    <x v="8"/>
    <s v="North Cascade"/>
    <s v="|45/20/51|"/>
    <n v="1896"/>
    <n v="5"/>
    <n v="7"/>
  </r>
  <r>
    <x v="1"/>
    <s v="Convenience stores"/>
    <x v="8"/>
    <s v="North Cascade"/>
    <s v="|45/20/52|"/>
    <n v="1824"/>
    <n v="5"/>
    <n v="7"/>
  </r>
  <r>
    <x v="1"/>
    <s v="Convenience stores"/>
    <x v="8"/>
    <s v="North Cascade"/>
    <s v="|45/20/53|"/>
    <n v="1776"/>
    <n v="5"/>
    <n v="6"/>
  </r>
  <r>
    <x v="1"/>
    <s v="Convenience stores"/>
    <x v="8"/>
    <s v="North Cascade"/>
    <s v="|45/20/54|"/>
    <n v="1752"/>
    <n v="5"/>
    <n v="6"/>
  </r>
  <r>
    <x v="1"/>
    <s v="Convenience stores"/>
    <x v="8"/>
    <s v="North Cascade"/>
    <s v="|45/20/55|"/>
    <n v="1860"/>
    <n v="5"/>
    <n v="6"/>
  </r>
  <r>
    <x v="1"/>
    <s v="Convenience stores"/>
    <x v="8"/>
    <s v="North Cascade"/>
    <s v="|45/20/56|"/>
    <n v="1812"/>
    <n v="4"/>
    <n v="7"/>
  </r>
  <r>
    <x v="1"/>
    <s v="Convenience stores"/>
    <x v="8"/>
    <s v="North Cascade"/>
    <s v="|45/20/57|"/>
    <n v="1824"/>
    <n v="4"/>
    <n v="6"/>
  </r>
  <r>
    <x v="1"/>
    <s v="Convenience stores"/>
    <x v="8"/>
    <s v="North Cascade"/>
    <s v="|45/20/58|"/>
    <n v="1776"/>
    <n v="5"/>
    <n v="7"/>
  </r>
  <r>
    <x v="1"/>
    <s v="Convenience stores"/>
    <x v="8"/>
    <s v="North Cascade"/>
    <s v="|45/20/59|"/>
    <n v="1980"/>
    <n v="5"/>
    <n v="7"/>
  </r>
  <r>
    <x v="1"/>
    <s v="Convenience stores"/>
    <x v="8"/>
    <s v="North Cascade"/>
    <s v="|45/20/60|"/>
    <n v="1956"/>
    <n v="5"/>
    <n v="7"/>
  </r>
  <r>
    <x v="1"/>
    <s v="Convenience stores"/>
    <x v="8"/>
    <s v="North Cascade"/>
    <s v="|45/20/61|"/>
    <n v="1764"/>
    <n v="4"/>
    <n v="7"/>
  </r>
  <r>
    <x v="1"/>
    <s v="Convenience stores"/>
    <x v="8"/>
    <s v="North Cascade"/>
    <s v="|45/20/62|"/>
    <n v="1812"/>
    <n v="4"/>
    <n v="7"/>
  </r>
  <r>
    <x v="1"/>
    <s v="Convenience stores"/>
    <x v="8"/>
    <s v="North Cascade"/>
    <s v="|45/20/63|"/>
    <n v="1884"/>
    <n v="5"/>
    <n v="7"/>
  </r>
  <r>
    <x v="1"/>
    <s v="Convenience stores"/>
    <x v="8"/>
    <s v="North Cascade"/>
    <s v="|45/20/64|"/>
    <n v="1836"/>
    <n v="5"/>
    <n v="7"/>
  </r>
  <r>
    <x v="1"/>
    <s v="Convenience stores"/>
    <x v="8"/>
    <s v="North Cascade"/>
    <s v="|45/20/65|"/>
    <n v="1872"/>
    <n v="5"/>
    <n v="6"/>
  </r>
  <r>
    <x v="1"/>
    <s v="Convenience stores"/>
    <x v="8"/>
    <s v="North Cascade"/>
    <s v="|45/20/66|"/>
    <n v="2016"/>
    <n v="5"/>
    <n v="6"/>
  </r>
  <r>
    <x v="1"/>
    <s v="Convenience stores"/>
    <x v="8"/>
    <s v="North Cascade"/>
    <s v="|45/20/67|"/>
    <n v="1836"/>
    <n v="4"/>
    <n v="6"/>
  </r>
  <r>
    <x v="1"/>
    <s v="Convenience stores"/>
    <x v="8"/>
    <s v="North Cascade"/>
    <s v="|45/20/68|"/>
    <n v="1992"/>
    <n v="5"/>
    <n v="7"/>
  </r>
  <r>
    <x v="1"/>
    <s v="Convenience stores"/>
    <x v="8"/>
    <s v="North Cascade"/>
    <s v="|45/20/69|"/>
    <n v="2004"/>
    <n v="4"/>
    <n v="7"/>
  </r>
  <r>
    <x v="1"/>
    <s v="Convenience stores"/>
    <x v="8"/>
    <s v="North Cascade"/>
    <s v="|45/20/70|"/>
    <n v="1788"/>
    <n v="4"/>
    <n v="7"/>
  </r>
  <r>
    <x v="1"/>
    <s v="Convenience stores"/>
    <x v="8"/>
    <s v="North Cascade"/>
    <s v="|45/20/71|"/>
    <n v="1848"/>
    <n v="5"/>
    <n v="7"/>
  </r>
  <r>
    <x v="1"/>
    <s v="Convenience stores"/>
    <x v="8"/>
    <s v="North Cascade"/>
    <s v="|45/20/72|"/>
    <n v="1860"/>
    <n v="4"/>
    <n v="6"/>
  </r>
  <r>
    <x v="1"/>
    <s v="Convenience stores"/>
    <x v="8"/>
    <s v="North Cascade"/>
    <s v="|45/20/73|"/>
    <n v="1752"/>
    <n v="4"/>
    <n v="6"/>
  </r>
  <r>
    <x v="1"/>
    <s v="Convenience stores"/>
    <x v="8"/>
    <s v="North Cascade"/>
    <s v="|45/20/74|"/>
    <n v="1764"/>
    <n v="4"/>
    <n v="6"/>
  </r>
  <r>
    <x v="1"/>
    <s v="Convenience stores"/>
    <x v="8"/>
    <s v="North Cascade"/>
    <s v="|45/20/75|"/>
    <n v="1812"/>
    <n v="4"/>
    <n v="7"/>
  </r>
  <r>
    <x v="1"/>
    <s v="Convenience stores"/>
    <x v="8"/>
    <s v="North Cascade"/>
    <s v="|45/20/76|"/>
    <n v="1932"/>
    <n v="5"/>
    <n v="7"/>
  </r>
  <r>
    <x v="1"/>
    <s v="Convenience stores"/>
    <x v="8"/>
    <s v="North Cascade"/>
    <s v="|45/20/77|"/>
    <n v="2040"/>
    <n v="4"/>
    <n v="6"/>
  </r>
  <r>
    <x v="1"/>
    <s v="Convenience stores"/>
    <x v="8"/>
    <s v="North Cascade"/>
    <s v="|45/20/78|"/>
    <n v="1824"/>
    <n v="5"/>
    <n v="6"/>
  </r>
  <r>
    <x v="1"/>
    <s v="Convenience stores"/>
    <x v="8"/>
    <s v="North Cascade"/>
    <s v="|45/20/79|"/>
    <n v="2040"/>
    <n v="4"/>
    <n v="6"/>
  </r>
  <r>
    <x v="1"/>
    <s v="Convenience stores"/>
    <x v="8"/>
    <s v="North Cascade"/>
    <s v="|45/20/80|"/>
    <n v="1824"/>
    <n v="4"/>
    <n v="6"/>
  </r>
  <r>
    <x v="1"/>
    <s v="Convenience stores"/>
    <x v="8"/>
    <s v="North Cascade"/>
    <s v="|45/20/81|"/>
    <n v="1752"/>
    <n v="5"/>
    <n v="7"/>
  </r>
  <r>
    <x v="1"/>
    <s v="Convenience stores"/>
    <x v="8"/>
    <s v="North Cascade"/>
    <s v="|45/20/82|"/>
    <n v="1836"/>
    <n v="4"/>
    <n v="7"/>
  </r>
  <r>
    <x v="1"/>
    <s v="Convenience stores"/>
    <x v="8"/>
    <s v="North Cascade"/>
    <s v="|45/50/49|"/>
    <n v="1776"/>
    <n v="5"/>
    <n v="7"/>
  </r>
  <r>
    <x v="1"/>
    <s v="Convenience stores"/>
    <x v="8"/>
    <s v="North Cascade"/>
    <s v="|45/01/101|"/>
    <n v="1848"/>
    <n v="5"/>
    <n v="6"/>
  </r>
  <r>
    <x v="1"/>
    <s v="Convenience stores"/>
    <x v="8"/>
    <s v="North Cascade"/>
    <s v="|45/01/102|"/>
    <n v="1944"/>
    <n v="5"/>
    <n v="6"/>
  </r>
  <r>
    <x v="1"/>
    <s v="Convenience stores"/>
    <x v="8"/>
    <s v="North Cascade"/>
    <s v="|45/01/103|"/>
    <n v="2004"/>
    <n v="5"/>
    <n v="7"/>
  </r>
  <r>
    <x v="1"/>
    <s v="Convenience stores"/>
    <x v="8"/>
    <s v="North Cascade"/>
    <s v="|45/02/101|"/>
    <n v="1956"/>
    <n v="5"/>
    <n v="7"/>
  </r>
  <r>
    <x v="1"/>
    <s v="Convenience stores"/>
    <x v="8"/>
    <s v="North Cascade"/>
    <s v="|45/02/102|"/>
    <n v="1776"/>
    <n v="5"/>
    <n v="6"/>
  </r>
  <r>
    <x v="1"/>
    <s v="Convenience stores"/>
    <x v="8"/>
    <s v="North Cascade"/>
    <s v="|45/02/103|"/>
    <n v="1992"/>
    <n v="5"/>
    <n v="6"/>
  </r>
  <r>
    <x v="1"/>
    <s v="Convenience stores"/>
    <x v="8"/>
    <s v="North Cascade"/>
    <s v="|45/03/101|"/>
    <n v="1824"/>
    <n v="4"/>
    <n v="7"/>
  </r>
  <r>
    <x v="1"/>
    <s v="Convenience stores"/>
    <x v="8"/>
    <s v="North Cascade"/>
    <s v="|45/04/101|"/>
    <n v="1824"/>
    <n v="5"/>
    <n v="6"/>
  </r>
  <r>
    <x v="1"/>
    <s v="Convenience stores"/>
    <x v="8"/>
    <s v="North Cascade"/>
    <s v="|45/04/102|"/>
    <n v="1800"/>
    <n v="5"/>
    <n v="6"/>
  </r>
  <r>
    <x v="1"/>
    <s v="Convenience stores"/>
    <x v="8"/>
    <s v="North Cascade"/>
    <s v="|45/04/103|"/>
    <n v="1944"/>
    <n v="4"/>
    <n v="7"/>
  </r>
  <r>
    <x v="1"/>
    <s v="Convenience stores"/>
    <x v="8"/>
    <s v="North Cascade"/>
    <s v="|45/06/101|"/>
    <n v="1848"/>
    <n v="5"/>
    <n v="6"/>
  </r>
  <r>
    <x v="1"/>
    <s v="Convenience stores"/>
    <x v="8"/>
    <s v="North Cascade"/>
    <s v="|45/06/103|"/>
    <n v="1908"/>
    <n v="5"/>
    <n v="7"/>
  </r>
  <r>
    <x v="1"/>
    <s v="Convenience stores"/>
    <x v="8"/>
    <s v="North Cascade"/>
    <s v="|45/07/108|"/>
    <n v="1860"/>
    <n v="4"/>
    <n v="6"/>
  </r>
  <r>
    <x v="1"/>
    <s v="Convenience stores"/>
    <x v="8"/>
    <s v="North Cascade"/>
    <s v="|45/07/110|"/>
    <n v="1824"/>
    <n v="4"/>
    <n v="6"/>
  </r>
  <r>
    <x v="1"/>
    <s v="Convenience stores"/>
    <x v="8"/>
    <s v="North Cascade"/>
    <s v="|45/20/101|"/>
    <n v="1896"/>
    <n v="4"/>
    <n v="7"/>
  </r>
  <r>
    <x v="1"/>
    <s v="Convenience stores"/>
    <x v="8"/>
    <s v="North Cascade"/>
    <s v="|45/20/102|"/>
    <n v="1908"/>
    <n v="4"/>
    <n v="7"/>
  </r>
  <r>
    <x v="1"/>
    <s v="Convenience stores"/>
    <x v="8"/>
    <s v="North Cascade"/>
    <s v="|45/20/103|"/>
    <n v="1932"/>
    <n v="4"/>
    <n v="7"/>
  </r>
  <r>
    <x v="1"/>
    <s v="Convenience stores"/>
    <x v="8"/>
    <s v="North Cascade"/>
    <s v="|45/04/881|"/>
    <n v="1884"/>
    <n v="4"/>
    <n v="6"/>
  </r>
  <r>
    <x v="1"/>
    <s v="Convenience stores"/>
    <x v="7"/>
    <s v="Earthbound"/>
    <s v="|99/04/01|"/>
    <n v="1056"/>
    <n v="2.79"/>
    <n v="3.53"/>
  </r>
  <r>
    <x v="1"/>
    <s v="Convenience stores"/>
    <x v="7"/>
    <s v="Earthbound"/>
    <s v="|99/04/02|"/>
    <n v="948"/>
    <n v="2.76"/>
    <n v="3.74"/>
  </r>
  <r>
    <x v="1"/>
    <s v="Convenience stores"/>
    <x v="7"/>
    <s v="Earthbound"/>
    <s v="|99/04/03|"/>
    <n v="636"/>
    <n v="2.66"/>
    <n v="3.42"/>
  </r>
  <r>
    <x v="1"/>
    <s v="Convenience stores"/>
    <x v="7"/>
    <s v="Earthbound"/>
    <s v="|99/04/04|"/>
    <n v="696"/>
    <n v="2.2000000000000002"/>
    <n v="3.64"/>
  </r>
  <r>
    <x v="1"/>
    <s v="Convenience stores"/>
    <x v="7"/>
    <s v="Earthbound"/>
    <s v="|99/04/05|"/>
    <n v="1152"/>
    <n v="2.2400000000000002"/>
    <n v="3.91"/>
  </r>
  <r>
    <x v="1"/>
    <s v="Convenience stores"/>
    <x v="7"/>
    <s v="Earthbound"/>
    <s v="|99/04/07|"/>
    <n v="636"/>
    <n v="2.21"/>
    <n v="3.86"/>
  </r>
  <r>
    <x v="1"/>
    <s v="Convenience stores"/>
    <x v="7"/>
    <s v="Earthbound"/>
    <s v="|99/04/08|"/>
    <n v="1116"/>
    <n v="2.56"/>
    <n v="3.41"/>
  </r>
  <r>
    <x v="1"/>
    <s v="Convenience stores"/>
    <x v="7"/>
    <s v="Earthbound"/>
    <s v="|99/04/09|"/>
    <n v="768"/>
    <n v="2.56"/>
    <n v="3.56"/>
  </r>
  <r>
    <x v="1"/>
    <s v="Convenience stores"/>
    <x v="7"/>
    <s v="Earthbound"/>
    <s v="|99/05/58|"/>
    <n v="624"/>
    <n v="2.37"/>
    <n v="3.59"/>
  </r>
  <r>
    <x v="1"/>
    <s v="Convenience stores"/>
    <x v="7"/>
    <s v="Earthbound"/>
    <s v="|99/05/67|"/>
    <n v="1020"/>
    <n v="2.85"/>
    <n v="3.6"/>
  </r>
  <r>
    <x v="1"/>
    <s v="Convenience stores"/>
    <x v="7"/>
    <s v="Earthbound"/>
    <s v="|99/05/102|"/>
    <n v="936"/>
    <n v="2.98"/>
    <n v="3.89"/>
  </r>
  <r>
    <x v="1"/>
    <s v="Convenience stores"/>
    <x v="7"/>
    <s v="Earthbound"/>
    <s v="|125/02/02|"/>
    <n v="1128"/>
    <n v="2.35"/>
    <n v="3.43"/>
  </r>
  <r>
    <x v="1"/>
    <s v="Convenience stores"/>
    <x v="1"/>
    <s v="Green lamb"/>
    <s v="|70/00/00|"/>
    <n v="624"/>
    <n v="5.7"/>
    <n v="7.36"/>
  </r>
  <r>
    <x v="1"/>
    <s v="Convenience stores"/>
    <x v="1"/>
    <s v="Green lamb"/>
    <s v="|70/00/01|"/>
    <n v="564"/>
    <n v="5.64"/>
    <n v="8.5266666666666673"/>
  </r>
  <r>
    <x v="1"/>
    <s v="Convenience stores"/>
    <x v="1"/>
    <s v="Green lamb"/>
    <s v="|70/00/02|"/>
    <n v="576"/>
    <n v="6.0466666666666669"/>
    <n v="8.2866666666666671"/>
  </r>
  <r>
    <x v="1"/>
    <s v="Convenience stores"/>
    <x v="1"/>
    <s v="Green lamb"/>
    <s v="|70/00/03|"/>
    <n v="492"/>
    <n v="6.1133333333333333"/>
    <n v="8.2266666666666666"/>
  </r>
  <r>
    <x v="1"/>
    <s v="Convenience stores"/>
    <x v="1"/>
    <s v="Green lamb"/>
    <s v="|70/00/04|"/>
    <n v="468"/>
    <n v="5.6533333333333333"/>
    <n v="7.92"/>
  </r>
  <r>
    <x v="1"/>
    <s v="Convenience stores"/>
    <x v="1"/>
    <s v="Green lamb"/>
    <s v="|70/00/05|"/>
    <n v="540"/>
    <n v="5.5066666666666668"/>
    <n v="8.02"/>
  </r>
  <r>
    <x v="1"/>
    <s v="Convenience stores"/>
    <x v="1"/>
    <s v="Green lamb"/>
    <s v="|70/00/06|"/>
    <n v="444"/>
    <n v="6.18"/>
    <n v="7.9533333333333331"/>
  </r>
  <r>
    <x v="1"/>
    <s v="Convenience stores"/>
    <x v="1"/>
    <s v="Green lamb"/>
    <s v="|70/00/07|"/>
    <n v="624"/>
    <n v="6.3133333333333335"/>
    <n v="8.6133333333333333"/>
  </r>
  <r>
    <x v="1"/>
    <s v="Convenience stores"/>
    <x v="1"/>
    <s v="Green lamb"/>
    <s v="|70/00/08|"/>
    <n v="636"/>
    <n v="5.42"/>
    <n v="7.9866666666666664"/>
  </r>
  <r>
    <x v="1"/>
    <s v="Convenience stores"/>
    <x v="1"/>
    <s v="Green lamb"/>
    <s v="|70/00/09|"/>
    <n v="588"/>
    <n v="5.52"/>
    <n v="8.4600000000000009"/>
  </r>
  <r>
    <x v="1"/>
    <s v="Convenience stores"/>
    <x v="1"/>
    <s v="Green lamb"/>
    <s v="|70/00/11|"/>
    <n v="468"/>
    <n v="6.12"/>
    <n v="7.9866666666666664"/>
  </r>
  <r>
    <x v="1"/>
    <s v="Convenience stores"/>
    <x v="1"/>
    <s v="Green lamb"/>
    <s v="|70/00/12|"/>
    <n v="588"/>
    <n v="5.5"/>
    <n v="7.52"/>
  </r>
  <r>
    <x v="1"/>
    <s v="Convenience stores"/>
    <x v="1"/>
    <s v="Green lamb"/>
    <s v="|70/00/13|"/>
    <n v="636"/>
    <n v="6.6"/>
    <n v="8.4333333333333336"/>
  </r>
  <r>
    <x v="1"/>
    <s v="Convenience stores"/>
    <x v="1"/>
    <s v="Green lamb"/>
    <s v="|70/00/14|"/>
    <n v="552"/>
    <n v="6.0133333333333336"/>
    <n v="8.1866666666666674"/>
  </r>
  <r>
    <x v="1"/>
    <s v="Convenience stores"/>
    <x v="1"/>
    <s v="Green lamb"/>
    <s v="|70/00/15|"/>
    <n v="408"/>
    <n v="6.4533333333333331"/>
    <n v="7.54"/>
  </r>
  <r>
    <x v="1"/>
    <s v="Convenience stores"/>
    <x v="1"/>
    <s v="Green lamb"/>
    <s v="|70/00/16|"/>
    <n v="444"/>
    <n v="5.793333333333333"/>
    <n v="8.3000000000000007"/>
  </r>
  <r>
    <x v="1"/>
    <s v="Convenience stores"/>
    <x v="1"/>
    <s v="Green lamb"/>
    <s v="|70/00/17|"/>
    <n v="540"/>
    <n v="6.1733333333333329"/>
    <n v="8.586666666666666"/>
  </r>
  <r>
    <x v="1"/>
    <s v="Convenience stores"/>
    <x v="1"/>
    <s v="Green lamb"/>
    <s v="|70/00/18|"/>
    <n v="576"/>
    <n v="6.6533333333333333"/>
    <n v="7.46"/>
  </r>
  <r>
    <x v="1"/>
    <s v="Convenience stores"/>
    <x v="1"/>
    <s v="Green lamb"/>
    <s v="|70/00/19|"/>
    <n v="516"/>
    <n v="6.2333333333333334"/>
    <n v="7.6466666666666665"/>
  </r>
  <r>
    <x v="1"/>
    <s v="Convenience stores"/>
    <x v="1"/>
    <s v="Green lamb"/>
    <s v="|70/00/20|"/>
    <n v="444"/>
    <n v="6.52"/>
    <n v="8.2133333333333329"/>
  </r>
  <r>
    <x v="1"/>
    <s v="Convenience stores"/>
    <x v="1"/>
    <s v="Green lamb"/>
    <s v="|70/01/01|"/>
    <n v="456"/>
    <n v="5.5933333333333337"/>
    <n v="8.3133333333333326"/>
  </r>
  <r>
    <x v="1"/>
    <s v="Convenience stores"/>
    <x v="1"/>
    <s v="Green lamb"/>
    <s v="|70/01/04|"/>
    <n v="612"/>
    <n v="5.5933333333333337"/>
    <n v="7.5"/>
  </r>
  <r>
    <x v="1"/>
    <s v="Convenience stores"/>
    <x v="1"/>
    <s v="Green lamb"/>
    <s v="|70/01/05|"/>
    <n v="420"/>
    <n v="5.3733333333333331"/>
    <n v="8.1333333333333329"/>
  </r>
  <r>
    <x v="1"/>
    <s v="Convenience stores"/>
    <x v="1"/>
    <s v="Green lamb"/>
    <s v="|70/01/12|"/>
    <n v="432"/>
    <n v="5.706666666666667"/>
    <n v="7.6533333333333333"/>
  </r>
  <r>
    <x v="1"/>
    <s v="Convenience stores"/>
    <x v="1"/>
    <s v="Green lamb"/>
    <s v="|70/01/13|"/>
    <n v="480"/>
    <n v="5.58"/>
    <n v="7.36"/>
  </r>
  <r>
    <x v="1"/>
    <s v="Convenience stores"/>
    <x v="1"/>
    <s v="Green lamb"/>
    <s v="|70/01/14|"/>
    <n v="492"/>
    <n v="6.3533333333333335"/>
    <n v="8.1466666666666665"/>
  </r>
  <r>
    <x v="1"/>
    <s v="Convenience stores"/>
    <x v="1"/>
    <s v="Green lamb"/>
    <s v="|70/02/01|"/>
    <n v="528"/>
    <n v="6.66"/>
    <n v="8.1533333333333342"/>
  </r>
  <r>
    <x v="1"/>
    <s v="Convenience stores"/>
    <x v="1"/>
    <s v="Green lamb"/>
    <s v="|70/02/02|"/>
    <n v="480"/>
    <n v="6.08"/>
    <n v="8.4266666666666659"/>
  </r>
  <r>
    <x v="1"/>
    <s v="Convenience stores"/>
    <x v="1"/>
    <s v="Green lamb"/>
    <s v="|70/02/03|"/>
    <n v="456"/>
    <n v="6.66"/>
    <n v="8.0933333333333337"/>
  </r>
  <r>
    <x v="1"/>
    <s v="Convenience stores"/>
    <x v="1"/>
    <s v="Green lamb"/>
    <s v="|70/02/04|"/>
    <n v="468"/>
    <n v="5.7266666666666666"/>
    <n v="7.8866666666666667"/>
  </r>
  <r>
    <x v="1"/>
    <s v="Convenience stores"/>
    <x v="1"/>
    <s v="Green lamb"/>
    <s v="|70/02/05|"/>
    <n v="612"/>
    <n v="6.3266666666666671"/>
    <n v="7.7"/>
  </r>
  <r>
    <x v="1"/>
    <s v="Convenience stores"/>
    <x v="1"/>
    <s v="Green lamb"/>
    <s v="|70/02/06|"/>
    <n v="552"/>
    <n v="6.0733333333333333"/>
    <n v="8.5266666666666673"/>
  </r>
  <r>
    <x v="1"/>
    <s v="Convenience stores"/>
    <x v="1"/>
    <s v="Green lamb"/>
    <s v="|70/02/07|"/>
    <n v="456"/>
    <n v="5.8733333333333331"/>
    <n v="8.6266666666666669"/>
  </r>
  <r>
    <x v="1"/>
    <s v="Convenience stores"/>
    <x v="1"/>
    <s v="Green lamb"/>
    <s v="|70/02/08|"/>
    <n v="468"/>
    <n v="6.333333333333333"/>
    <n v="7.84"/>
  </r>
  <r>
    <x v="1"/>
    <s v="Convenience stores"/>
    <x v="1"/>
    <s v="Green lamb"/>
    <s v="|70/02/09|"/>
    <n v="456"/>
    <n v="5.44"/>
    <n v="8.5133333333333336"/>
  </r>
  <r>
    <x v="1"/>
    <s v="Convenience stores"/>
    <x v="1"/>
    <s v="Green lamb"/>
    <s v="|70/02/10|"/>
    <n v="480"/>
    <n v="6.56"/>
    <n v="7.333333333333333"/>
  </r>
  <r>
    <x v="1"/>
    <s v="Convenience stores"/>
    <x v="1"/>
    <s v="Green lamb"/>
    <s v="|70/03/01|"/>
    <n v="420"/>
    <n v="5.4066666666666663"/>
    <n v="8.1933333333333334"/>
  </r>
  <r>
    <x v="1"/>
    <s v="Convenience stores"/>
    <x v="1"/>
    <s v="Green lamb"/>
    <s v="|70/03/02|"/>
    <n v="480"/>
    <n v="5.3"/>
    <n v="8.4933333333333341"/>
  </r>
  <r>
    <x v="1"/>
    <s v="Convenience stores"/>
    <x v="1"/>
    <s v="Green lamb"/>
    <s v="|70/03/03|"/>
    <n v="552"/>
    <n v="6.206666666666667"/>
    <n v="8.3933333333333326"/>
  </r>
  <r>
    <x v="1"/>
    <s v="Convenience stores"/>
    <x v="1"/>
    <s v="Green lamb"/>
    <s v="|70/03/04|"/>
    <n v="588"/>
    <n v="6.1866666666666665"/>
    <n v="8.3000000000000007"/>
  </r>
  <r>
    <x v="1"/>
    <s v="Convenience stores"/>
    <x v="1"/>
    <s v="Green lamb"/>
    <s v="|70/03/05|"/>
    <n v="444"/>
    <n v="6.3"/>
    <n v="7.3866666666666667"/>
  </r>
  <r>
    <x v="1"/>
    <s v="Convenience stores"/>
    <x v="1"/>
    <s v="Green lamb"/>
    <s v="|70/03/06|"/>
    <n v="528"/>
    <n v="6.62"/>
    <n v="8.4"/>
  </r>
  <r>
    <x v="1"/>
    <s v="Convenience stores"/>
    <x v="1"/>
    <s v="Green lamb"/>
    <s v="|70/03/07|"/>
    <n v="456"/>
    <n v="5.4666666666666668"/>
    <n v="8.1933333333333334"/>
  </r>
  <r>
    <x v="1"/>
    <s v="Convenience stores"/>
    <x v="1"/>
    <s v="Green lamb"/>
    <s v="|70/03/08|"/>
    <n v="480"/>
    <n v="6.66"/>
    <n v="8.5533333333333328"/>
  </r>
  <r>
    <x v="1"/>
    <s v="Convenience stores"/>
    <x v="1"/>
    <s v="Green lamb"/>
    <s v="|70/03/09|"/>
    <n v="540"/>
    <n v="5.94"/>
    <n v="8"/>
  </r>
  <r>
    <x v="1"/>
    <s v="Convenience stores"/>
    <x v="1"/>
    <s v="Green lamb"/>
    <s v="|70/03/10|"/>
    <n v="480"/>
    <n v="5.746666666666667"/>
    <n v="8.4266666666666659"/>
  </r>
  <r>
    <x v="1"/>
    <s v="Convenience stores"/>
    <x v="1"/>
    <s v="Green lamb"/>
    <s v="|70/03/11|"/>
    <n v="468"/>
    <n v="6.4733333333333336"/>
    <n v="7.4"/>
  </r>
  <r>
    <x v="1"/>
    <s v="Convenience stores"/>
    <x v="1"/>
    <s v="Green lamb"/>
    <s v="|70/03/12|"/>
    <n v="636"/>
    <n v="6.4333333333333336"/>
    <n v="7.82"/>
  </r>
  <r>
    <x v="1"/>
    <s v="Convenience stores"/>
    <x v="1"/>
    <s v="Green lamb"/>
    <s v="|70/03/17|"/>
    <n v="624"/>
    <n v="5.6533333333333333"/>
    <n v="8.64"/>
  </r>
  <r>
    <x v="1"/>
    <s v="Convenience stores"/>
    <x v="1"/>
    <s v="Green lamb"/>
    <s v="|70/04/18|"/>
    <n v="612"/>
    <n v="5.5133333333333336"/>
    <n v="8.6333333333333329"/>
  </r>
  <r>
    <x v="1"/>
    <s v="Convenience stores"/>
    <x v="1"/>
    <s v="Green lamb"/>
    <s v="|70/04/19|"/>
    <n v="432"/>
    <n v="5.9133333333333331"/>
    <n v="8.4466666666666672"/>
  </r>
  <r>
    <x v="1"/>
    <s v="Convenience stores"/>
    <x v="3"/>
    <s v="Red Bull"/>
    <s v="|42/01/01|"/>
    <n v="96"/>
    <n v="1.18"/>
    <n v="1.35"/>
  </r>
  <r>
    <x v="1"/>
    <s v="Convenience stores"/>
    <x v="3"/>
    <s v="Red Bull"/>
    <s v="|42/01/02|"/>
    <n v="204"/>
    <n v="1"/>
    <n v="1.34"/>
  </r>
  <r>
    <x v="1"/>
    <s v="Convenience stores"/>
    <x v="3"/>
    <s v="Red Bull"/>
    <s v="|42/01/03|"/>
    <n v="156"/>
    <n v="1.1499999999999999"/>
    <n v="1.28"/>
  </r>
  <r>
    <x v="1"/>
    <s v="Convenience stores"/>
    <x v="3"/>
    <s v="Red Bull"/>
    <s v="|42/01/04|"/>
    <n v="192"/>
    <n v="1.06"/>
    <n v="1.29"/>
  </r>
  <r>
    <x v="1"/>
    <s v="Convenience stores"/>
    <x v="3"/>
    <s v="Red Bull"/>
    <s v="|42/01/05|"/>
    <n v="192"/>
    <n v="1.0900000000000001"/>
    <n v="1.24"/>
  </r>
  <r>
    <x v="1"/>
    <s v="Convenience stores"/>
    <x v="3"/>
    <s v="San Pellegrino"/>
    <s v="|21/00/01|"/>
    <n v="108"/>
    <n v="1.08"/>
    <n v="1.21"/>
  </r>
  <r>
    <x v="1"/>
    <s v="Convenience stores"/>
    <x v="3"/>
    <s v="San Pellegrino"/>
    <s v="|21/00/02|"/>
    <n v="192"/>
    <n v="1.06"/>
    <n v="1.28"/>
  </r>
  <r>
    <x v="1"/>
    <s v="Convenience stores"/>
    <x v="3"/>
    <s v="San Pellegrino"/>
    <s v="|21/00/03|"/>
    <n v="144"/>
    <n v="1.04"/>
    <n v="1.29"/>
  </r>
  <r>
    <x v="1"/>
    <s v="Convenience stores"/>
    <x v="3"/>
    <s v="San Pellegrino"/>
    <s v="|21/00/04|"/>
    <n v="60"/>
    <n v="1"/>
    <n v="1.26"/>
  </r>
  <r>
    <x v="1"/>
    <s v="Convenience stores"/>
    <x v="3"/>
    <s v="San Pellegrino"/>
    <s v="|21/00/11|"/>
    <n v="120"/>
    <n v="1.1200000000000001"/>
    <n v="1.27"/>
  </r>
  <r>
    <x v="1"/>
    <s v="Convenience stores"/>
    <x v="3"/>
    <s v="San Pellegrino"/>
    <s v="|21/00/12|"/>
    <n v="60"/>
    <n v="1.05"/>
    <n v="1.27"/>
  </r>
  <r>
    <x v="1"/>
    <s v="Convenience stores"/>
    <x v="3"/>
    <s v="San Pellegrino"/>
    <s v="|21/00/13|"/>
    <n v="108"/>
    <n v="1.1499999999999999"/>
    <n v="1.39"/>
  </r>
  <r>
    <x v="1"/>
    <s v="Convenience stores"/>
    <x v="3"/>
    <s v="San Pellegrino"/>
    <s v="|21/00/14|"/>
    <n v="204"/>
    <n v="1"/>
    <n v="1.27"/>
  </r>
  <r>
    <x v="1"/>
    <s v="Convenience stores"/>
    <x v="3"/>
    <s v="San Pellegrino"/>
    <s v="|21/00/15|"/>
    <n v="84"/>
    <n v="1.18"/>
    <n v="1.36"/>
  </r>
  <r>
    <x v="1"/>
    <s v="Convenience stores"/>
    <x v="3"/>
    <s v="San Pellegrino"/>
    <s v="|21/00/16|"/>
    <n v="120"/>
    <n v="1.01"/>
    <n v="1.29"/>
  </r>
  <r>
    <x v="1"/>
    <s v="Convenience stores"/>
    <x v="3"/>
    <s v="San Pellegrino"/>
    <s v="|21/00/17|"/>
    <n v="72"/>
    <n v="1.1200000000000001"/>
    <n v="1.27"/>
  </r>
  <r>
    <x v="1"/>
    <s v="Convenience stores"/>
    <x v="3"/>
    <s v="San Pellegrino"/>
    <s v="|21/00/18|"/>
    <n v="108"/>
    <n v="1.1299999999999999"/>
    <n v="1.33"/>
  </r>
  <r>
    <x v="1"/>
    <s v="Convenience stores"/>
    <x v="3"/>
    <s v="San Pellegrino"/>
    <s v="|21/00/19|"/>
    <n v="84"/>
    <n v="1.17"/>
    <n v="1.36"/>
  </r>
  <r>
    <x v="1"/>
    <s v="Convenience stores"/>
    <x v="3"/>
    <s v="San Pellegrino"/>
    <s v="|21/00/20|"/>
    <n v="156"/>
    <n v="1.1000000000000001"/>
    <n v="1.26"/>
  </r>
  <r>
    <x v="1"/>
    <s v="Convenience stores"/>
    <x v="3"/>
    <s v="San Pellegrino"/>
    <s v="|21/00/30|"/>
    <n v="168"/>
    <n v="1.19"/>
    <n v="1.38"/>
  </r>
  <r>
    <x v="1"/>
    <s v="Convenience stores"/>
    <x v="3"/>
    <s v="San Pellegrino"/>
    <s v="|21/00/31|"/>
    <n v="108"/>
    <n v="1.1200000000000001"/>
    <n v="1.31"/>
  </r>
  <r>
    <x v="1"/>
    <s v="Convenience stores"/>
    <x v="3"/>
    <s v="San Pellegrino"/>
    <s v="|21/00/32|"/>
    <n v="168"/>
    <n v="1.04"/>
    <n v="1.37"/>
  </r>
  <r>
    <x v="1"/>
    <s v="Convenience stores"/>
    <x v="3"/>
    <s v="San Pellegrino"/>
    <s v="|21/00/33|"/>
    <n v="108"/>
    <n v="1.1000000000000001"/>
    <n v="1.3"/>
  </r>
  <r>
    <x v="1"/>
    <s v="Convenience stores"/>
    <x v="3"/>
    <s v="San Pellegrino"/>
    <s v="|21/00/34|"/>
    <n v="192"/>
    <n v="1.1299999999999999"/>
    <n v="1.33"/>
  </r>
  <r>
    <x v="1"/>
    <s v="Convenience stores"/>
    <x v="3"/>
    <s v="San Pellegrino"/>
    <s v="|21/00/40|"/>
    <n v="60"/>
    <n v="1.02"/>
    <n v="1.37"/>
  </r>
  <r>
    <x v="1"/>
    <s v="Convenience stores"/>
    <x v="3"/>
    <s v="San Pellegrino"/>
    <s v="|21/00/50|"/>
    <n v="192"/>
    <n v="1.1499999999999999"/>
    <n v="1.36"/>
  </r>
  <r>
    <x v="1"/>
    <s v="Convenience stores"/>
    <x v="3"/>
    <s v="San Pellegrino"/>
    <s v="|21/00/51|"/>
    <n v="120"/>
    <n v="1.1599999999999999"/>
    <n v="1.2"/>
  </r>
  <r>
    <x v="1"/>
    <s v="Convenience stores"/>
    <x v="3"/>
    <s v="San Pellegrino"/>
    <s v="|21/00/52|"/>
    <n v="72"/>
    <n v="1.1599999999999999"/>
    <n v="1.33"/>
  </r>
  <r>
    <x v="1"/>
    <s v="Convenience stores"/>
    <x v="3"/>
    <s v="San Pellegrino"/>
    <s v="|21/00/53|"/>
    <n v="180"/>
    <n v="1.18"/>
    <n v="1.36"/>
  </r>
  <r>
    <x v="1"/>
    <s v="Convenience stores"/>
    <x v="3"/>
    <s v="San Pellegrino"/>
    <s v="|21/00/54|"/>
    <n v="144"/>
    <n v="1.05"/>
    <n v="1.36"/>
  </r>
  <r>
    <x v="1"/>
    <s v="Convenience stores"/>
    <x v="3"/>
    <s v="San Pellegrino"/>
    <s v="|21/00/55|"/>
    <n v="108"/>
    <n v="1.06"/>
    <n v="1.25"/>
  </r>
  <r>
    <x v="1"/>
    <s v="Convenience stores"/>
    <x v="3"/>
    <s v="San Pellegrino"/>
    <s v="|21/00/60|"/>
    <n v="120"/>
    <n v="1.2"/>
    <n v="1.37"/>
  </r>
  <r>
    <x v="1"/>
    <s v="Convenience stores"/>
    <x v="3"/>
    <s v="San Pellegrino"/>
    <s v="|21/00/61|"/>
    <n v="120"/>
    <n v="1.05"/>
    <n v="1.3"/>
  </r>
  <r>
    <x v="1"/>
    <s v="Convenience stores"/>
    <x v="3"/>
    <s v="San Pellegrino"/>
    <s v="|21/00/62|"/>
    <n v="108"/>
    <n v="1.08"/>
    <n v="1.33"/>
  </r>
  <r>
    <x v="1"/>
    <s v="Convenience stores"/>
    <x v="3"/>
    <s v="San Pellegrino"/>
    <s v="|21/00/63|"/>
    <n v="168"/>
    <n v="1.07"/>
    <n v="1.37"/>
  </r>
  <r>
    <x v="1"/>
    <s v="Convenience stores"/>
    <x v="3"/>
    <s v="San Pellegrino"/>
    <s v="|21/00/64|"/>
    <n v="156"/>
    <n v="1.1000000000000001"/>
    <n v="1.36"/>
  </r>
  <r>
    <x v="1"/>
    <s v="Convenience stores"/>
    <x v="3"/>
    <s v="San Pellegrino"/>
    <s v="|21/00/65|"/>
    <n v="108"/>
    <n v="1.18"/>
    <n v="1.24"/>
  </r>
  <r>
    <x v="1"/>
    <s v="Convenience stores"/>
    <x v="3"/>
    <s v="San Pellegrino"/>
    <s v="|21/00/71|"/>
    <n v="192"/>
    <n v="1.2"/>
    <n v="1.4"/>
  </r>
  <r>
    <x v="1"/>
    <s v="Convenience stores"/>
    <x v="3"/>
    <s v="San Pellegrino"/>
    <s v="|21/00/72|"/>
    <n v="108"/>
    <n v="1.07"/>
    <n v="1.36"/>
  </r>
  <r>
    <x v="1"/>
    <s v="Convenience stores"/>
    <x v="3"/>
    <s v="San Pellegrino"/>
    <s v="|21/00/73|"/>
    <n v="132"/>
    <n v="1.03"/>
    <n v="1.28"/>
  </r>
  <r>
    <x v="1"/>
    <s v="Convenience stores"/>
    <x v="3"/>
    <s v="San Pellegrino"/>
    <s v="|21/00/74|"/>
    <n v="192"/>
    <n v="1"/>
    <n v="1.32"/>
  </r>
  <r>
    <x v="1"/>
    <s v="Convenience stores"/>
    <x v="3"/>
    <s v="San Pellegrino"/>
    <s v="|21/00/81|"/>
    <n v="120"/>
    <n v="1.07"/>
    <n v="1.39"/>
  </r>
  <r>
    <x v="1"/>
    <s v="Convenience stores"/>
    <x v="3"/>
    <s v="San Pellegrino"/>
    <s v="|21/00/82|"/>
    <n v="60"/>
    <n v="1.1100000000000001"/>
    <n v="1.27"/>
  </r>
  <r>
    <x v="1"/>
    <s v="Convenience stores"/>
    <x v="3"/>
    <s v="San Pellegrino"/>
    <s v="|21/00/83|"/>
    <n v="132"/>
    <n v="1.02"/>
    <n v="1.2"/>
  </r>
  <r>
    <x v="1"/>
    <s v="Convenience stores"/>
    <x v="3"/>
    <s v="San Pellegrino"/>
    <s v="|21/00/84|"/>
    <n v="180"/>
    <n v="1.1200000000000001"/>
    <n v="1.37"/>
  </r>
  <r>
    <x v="1"/>
    <s v="Convenience stores"/>
    <x v="3"/>
    <s v="San Pellegrino"/>
    <s v="|21/00/85|"/>
    <n v="96"/>
    <n v="1.06"/>
    <n v="1.27"/>
  </r>
  <r>
    <x v="1"/>
    <s v="Convenience stores"/>
    <x v="3"/>
    <s v="San Pellegrino"/>
    <s v="|21/00/86|"/>
    <n v="72"/>
    <n v="1.17"/>
    <n v="1.39"/>
  </r>
  <r>
    <x v="1"/>
    <s v="Convenience stores"/>
    <x v="3"/>
    <s v="San Pellegrino"/>
    <s v="|21/00/87|"/>
    <n v="132"/>
    <n v="1.1399999999999999"/>
    <n v="1.4"/>
  </r>
  <r>
    <x v="1"/>
    <s v="Convenience stores"/>
    <x v="3"/>
    <s v="San Pellegrino"/>
    <s v="|21/00/88|"/>
    <n v="132"/>
    <n v="1.05"/>
    <n v="1.36"/>
  </r>
  <r>
    <x v="1"/>
    <s v="Convenience stores"/>
    <x v="3"/>
    <s v="San Pellegrino"/>
    <s v="|21/00/89|"/>
    <n v="204"/>
    <n v="1.1399999999999999"/>
    <n v="1.36"/>
  </r>
  <r>
    <x v="1"/>
    <s v="Convenience stores"/>
    <x v="3"/>
    <s v="San Pellegrino"/>
    <s v="|21/00/90|"/>
    <n v="72"/>
    <n v="1.0900000000000001"/>
    <n v="1.21"/>
  </r>
  <r>
    <x v="1"/>
    <s v="Convenience stores"/>
    <x v="3"/>
    <s v="San Pellegrino"/>
    <s v="|21/00/91|"/>
    <n v="216"/>
    <n v="1.1000000000000001"/>
    <n v="1.28"/>
  </r>
  <r>
    <x v="1"/>
    <s v="Convenience stores"/>
    <x v="3"/>
    <s v="San Pellegrino"/>
    <s v="|21/00/92|"/>
    <n v="60"/>
    <n v="1.1499999999999999"/>
    <n v="1.35"/>
  </r>
  <r>
    <x v="1"/>
    <s v="Convenience stores"/>
    <x v="3"/>
    <s v="San Pellegrino"/>
    <s v="|21/00/93|"/>
    <n v="72"/>
    <n v="1.17"/>
    <n v="1.23"/>
  </r>
  <r>
    <x v="1"/>
    <s v="Convenience stores"/>
    <x v="3"/>
    <s v="San Pellegrino"/>
    <s v="|21/00/94|"/>
    <n v="204"/>
    <n v="1.18"/>
    <n v="1.29"/>
  </r>
  <r>
    <x v="1"/>
    <s v="Convenience stores"/>
    <x v="3"/>
    <s v="San Pellegrino"/>
    <s v="|21/00/95|"/>
    <n v="216"/>
    <n v="1.03"/>
    <n v="1.25"/>
  </r>
  <r>
    <x v="1"/>
    <s v="Convenience stores"/>
    <x v="3"/>
    <s v="San Pellegrino"/>
    <s v="|21/00/96|"/>
    <n v="72"/>
    <n v="1.1200000000000001"/>
    <n v="1.3"/>
  </r>
  <r>
    <x v="1"/>
    <s v="Convenience stores"/>
    <x v="3"/>
    <s v="San Pellegrino"/>
    <s v="|21/01/01|"/>
    <n v="168"/>
    <n v="1.19"/>
    <n v="1.29"/>
  </r>
  <r>
    <x v="1"/>
    <s v="Convenience stores"/>
    <x v="3"/>
    <s v="San Pellegrino"/>
    <s v="|21/01/02|"/>
    <n v="144"/>
    <n v="1.1299999999999999"/>
    <n v="1.4"/>
  </r>
  <r>
    <x v="1"/>
    <s v="Convenience stores"/>
    <x v="3"/>
    <s v="San Pellegrino"/>
    <s v="|21/01/03|"/>
    <n v="108"/>
    <n v="1.06"/>
    <n v="1.29"/>
  </r>
  <r>
    <x v="1"/>
    <s v="Convenience stores"/>
    <x v="3"/>
    <s v="San Pellegrino"/>
    <s v="|21/01/04|"/>
    <n v="96"/>
    <n v="1.1200000000000001"/>
    <n v="1.34"/>
  </r>
  <r>
    <x v="1"/>
    <s v="Convenience stores"/>
    <x v="3"/>
    <s v="San Pellegrino"/>
    <s v="|21/01/05|"/>
    <n v="156"/>
    <n v="1.1399999999999999"/>
    <n v="1.26"/>
  </r>
  <r>
    <x v="1"/>
    <s v="Convenience stores"/>
    <x v="3"/>
    <s v="San Pellegrino"/>
    <s v="|21/01/06|"/>
    <n v="180"/>
    <n v="1.03"/>
    <n v="1.35"/>
  </r>
  <r>
    <x v="1"/>
    <s v="Convenience stores"/>
    <x v="3"/>
    <s v="San Pellegrino"/>
    <s v="|21/01/07|"/>
    <n v="72"/>
    <n v="1.04"/>
    <n v="1.26"/>
  </r>
  <r>
    <x v="1"/>
    <s v="Convenience stores"/>
    <x v="3"/>
    <s v="San Pellegrino"/>
    <s v="|21/01/08|"/>
    <n v="84"/>
    <n v="1.06"/>
    <n v="1.22"/>
  </r>
  <r>
    <x v="1"/>
    <s v="Convenience stores"/>
    <x v="3"/>
    <s v="San Pellegrino"/>
    <s v="|21/01/09|"/>
    <n v="120"/>
    <n v="1.1499999999999999"/>
    <n v="1.31"/>
  </r>
  <r>
    <x v="1"/>
    <s v="Convenience stores"/>
    <x v="3"/>
    <s v="San Pellegrino"/>
    <s v="|21/01/10|"/>
    <n v="96"/>
    <n v="1.17"/>
    <n v="1.28"/>
  </r>
  <r>
    <x v="1"/>
    <s v="Convenience stores"/>
    <x v="3"/>
    <s v="San Pellegrino"/>
    <s v="|21/01/11|"/>
    <n v="132"/>
    <n v="1.18"/>
    <n v="1.31"/>
  </r>
  <r>
    <x v="1"/>
    <s v="Convenience stores"/>
    <x v="3"/>
    <s v="San Pellegrino"/>
    <s v="|21/01/12|"/>
    <n v="120"/>
    <n v="1.1299999999999999"/>
    <n v="1.39"/>
  </r>
  <r>
    <x v="1"/>
    <s v="Convenience stores"/>
    <x v="3"/>
    <s v="San Pellegrino"/>
    <s v="|21/01/13|"/>
    <n v="84"/>
    <n v="1.1000000000000001"/>
    <n v="1.26"/>
  </r>
  <r>
    <x v="1"/>
    <s v="Convenience stores"/>
    <x v="3"/>
    <s v="San Pellegrino"/>
    <s v="|21/01/14|"/>
    <n v="144"/>
    <n v="1.1200000000000001"/>
    <n v="1.36"/>
  </r>
  <r>
    <x v="1"/>
    <s v="Convenience stores"/>
    <x v="3"/>
    <s v="San Pellegrino"/>
    <s v="|21/01/15|"/>
    <n v="108"/>
    <n v="1.05"/>
    <n v="1.24"/>
  </r>
  <r>
    <x v="1"/>
    <s v="Convenience stores"/>
    <x v="3"/>
    <s v="San Pellegrino"/>
    <s v="|21/01/16|"/>
    <n v="144"/>
    <n v="1.05"/>
    <n v="1.28"/>
  </r>
  <r>
    <x v="1"/>
    <s v="Convenience stores"/>
    <x v="3"/>
    <s v="San Pellegrino"/>
    <s v="|21/01/17|"/>
    <n v="156"/>
    <n v="1.17"/>
    <n v="1.38"/>
  </r>
  <r>
    <x v="1"/>
    <s v="Convenience stores"/>
    <x v="3"/>
    <s v="San Pellegrino"/>
    <s v="|21/01/18|"/>
    <n v="84"/>
    <n v="1.08"/>
    <n v="1.22"/>
  </r>
  <r>
    <x v="1"/>
    <s v="Convenience stores"/>
    <x v="3"/>
    <s v="San Pellegrino"/>
    <s v="|21/01/19|"/>
    <n v="144"/>
    <n v="1.05"/>
    <n v="1.31"/>
  </r>
  <r>
    <x v="1"/>
    <s v="Convenience stores"/>
    <x v="3"/>
    <s v="San Pellegrino"/>
    <s v="|21/01/20|"/>
    <n v="108"/>
    <n v="1.0900000000000001"/>
    <n v="1.3"/>
  </r>
  <r>
    <x v="1"/>
    <s v="Convenience stores"/>
    <x v="3"/>
    <s v="San Pellegrino"/>
    <s v="|21/01/21|"/>
    <n v="156"/>
    <n v="1.1200000000000001"/>
    <n v="1.3"/>
  </r>
  <r>
    <x v="1"/>
    <s v="Convenience stores"/>
    <x v="3"/>
    <s v="San Pellegrino"/>
    <s v="|21/01/22|"/>
    <n v="60"/>
    <n v="1.1200000000000001"/>
    <n v="1.35"/>
  </r>
  <r>
    <x v="1"/>
    <s v="Convenience stores"/>
    <x v="3"/>
    <s v="San Pellegrino"/>
    <s v="|21/01/23|"/>
    <n v="96"/>
    <n v="1.05"/>
    <n v="1.28"/>
  </r>
  <r>
    <x v="1"/>
    <s v="Convenience stores"/>
    <x v="3"/>
    <s v="San Pellegrino"/>
    <s v="|21/01/24|"/>
    <n v="192"/>
    <n v="1.0900000000000001"/>
    <n v="1.4"/>
  </r>
  <r>
    <x v="1"/>
    <s v="Convenience stores"/>
    <x v="3"/>
    <s v="San Pellegrino"/>
    <s v="|21/01/25|"/>
    <n v="216"/>
    <n v="1.18"/>
    <n v="1.33"/>
  </r>
  <r>
    <x v="1"/>
    <s v="Convenience stores"/>
    <x v="3"/>
    <s v="San Pellegrino"/>
    <s v="|21/01/26|"/>
    <n v="144"/>
    <n v="1.02"/>
    <n v="1.32"/>
  </r>
  <r>
    <x v="1"/>
    <s v="Convenience stores"/>
    <x v="3"/>
    <s v="San Pellegrino"/>
    <s v="|21/01/27|"/>
    <n v="204"/>
    <n v="1.1000000000000001"/>
    <n v="1.2"/>
  </r>
  <r>
    <x v="1"/>
    <s v="Convenience stores"/>
    <x v="3"/>
    <s v="San Pellegrino"/>
    <s v="|21/01/28|"/>
    <n v="168"/>
    <n v="1.04"/>
    <n v="1.36"/>
  </r>
  <r>
    <x v="1"/>
    <s v="Convenience stores"/>
    <x v="3"/>
    <s v="San Pellegrino"/>
    <s v="|21/01/29|"/>
    <n v="84"/>
    <n v="1.1599999999999999"/>
    <n v="1.4"/>
  </r>
  <r>
    <x v="1"/>
    <s v="Convenience stores"/>
    <x v="3"/>
    <s v="San Pellegrino"/>
    <s v="|21/01/30|"/>
    <n v="192"/>
    <n v="1.17"/>
    <n v="1.27"/>
  </r>
  <r>
    <x v="1"/>
    <s v="Convenience stores"/>
    <x v="3"/>
    <s v="San Pellegrino"/>
    <s v="|21/01/31|"/>
    <n v="216"/>
    <n v="1.1200000000000001"/>
    <n v="1.39"/>
  </r>
  <r>
    <x v="1"/>
    <s v="Convenience stores"/>
    <x v="3"/>
    <s v="San Pellegrino"/>
    <s v="|21/01/32|"/>
    <n v="192"/>
    <n v="1.05"/>
    <n v="1.27"/>
  </r>
  <r>
    <x v="1"/>
    <s v="Convenience stores"/>
    <x v="3"/>
    <s v="San Pellegrino"/>
    <s v="|21/01/33|"/>
    <n v="108"/>
    <n v="1.01"/>
    <n v="1.34"/>
  </r>
  <r>
    <x v="1"/>
    <s v="Convenience stores"/>
    <x v="3"/>
    <s v="San Pellegrino"/>
    <s v="|21/01/34|"/>
    <n v="60"/>
    <n v="1.02"/>
    <n v="1.24"/>
  </r>
  <r>
    <x v="1"/>
    <s v="Convenience stores"/>
    <x v="3"/>
    <s v="San Pellegrino"/>
    <s v="|21/01/35|"/>
    <n v="84"/>
    <n v="1.1399999999999999"/>
    <n v="1.31"/>
  </r>
  <r>
    <x v="1"/>
    <s v="Convenience stores"/>
    <x v="3"/>
    <s v="San Pellegrino"/>
    <s v="|21/01/36|"/>
    <n v="108"/>
    <n v="1.2"/>
    <n v="1.28"/>
  </r>
  <r>
    <x v="1"/>
    <s v="Convenience stores"/>
    <x v="3"/>
    <s v="San Pellegrino"/>
    <s v="|21/01/37|"/>
    <n v="72"/>
    <n v="1.18"/>
    <n v="1.39"/>
  </r>
  <r>
    <x v="1"/>
    <s v="Convenience stores"/>
    <x v="3"/>
    <s v="San Pellegrino"/>
    <s v="|21/01/38|"/>
    <n v="120"/>
    <n v="1.03"/>
    <n v="1.35"/>
  </r>
  <r>
    <x v="1"/>
    <s v="Convenience stores"/>
    <x v="3"/>
    <s v="San Pellegrino"/>
    <s v="|21/01/39|"/>
    <n v="72"/>
    <n v="1.1399999999999999"/>
    <n v="1.36"/>
  </r>
  <r>
    <x v="1"/>
    <s v="Convenience stores"/>
    <x v="3"/>
    <s v="San Pellegrino"/>
    <s v="|21/01/40|"/>
    <n v="60"/>
    <n v="1"/>
    <n v="1.29"/>
  </r>
  <r>
    <x v="1"/>
    <s v="Convenience stores"/>
    <x v="3"/>
    <s v="San Pellegrino"/>
    <s v="|21/01/41|"/>
    <n v="120"/>
    <n v="1.1399999999999999"/>
    <n v="1.38"/>
  </r>
  <r>
    <x v="1"/>
    <s v="Convenience stores"/>
    <x v="3"/>
    <s v="San Pellegrino"/>
    <s v="|21/01/42|"/>
    <n v="96"/>
    <n v="1.02"/>
    <n v="1.29"/>
  </r>
  <r>
    <x v="1"/>
    <s v="Convenience stores"/>
    <x v="3"/>
    <s v="San Pellegrino"/>
    <s v="|21/01/43|"/>
    <n v="96"/>
    <n v="1.1499999999999999"/>
    <n v="1.29"/>
  </r>
  <r>
    <x v="1"/>
    <s v="Convenience stores"/>
    <x v="3"/>
    <s v="San Pellegrino"/>
    <s v="|21/01/44|"/>
    <n v="72"/>
    <n v="1.1599999999999999"/>
    <n v="1.25"/>
  </r>
  <r>
    <x v="1"/>
    <s v="Convenience stores"/>
    <x v="3"/>
    <s v="San Pellegrino"/>
    <s v="|21/01/45|"/>
    <n v="156"/>
    <n v="1.02"/>
    <n v="1.36"/>
  </r>
  <r>
    <x v="1"/>
    <s v="Convenience stores"/>
    <x v="3"/>
    <s v="San Pellegrino"/>
    <s v="|21/01/46|"/>
    <n v="192"/>
    <n v="1.07"/>
    <n v="1.4"/>
  </r>
  <r>
    <x v="1"/>
    <s v="Convenience stores"/>
    <x v="3"/>
    <s v="San Pellegrino"/>
    <s v="|21/01/47|"/>
    <n v="216"/>
    <n v="1.1399999999999999"/>
    <n v="1.28"/>
  </r>
  <r>
    <x v="1"/>
    <s v="Convenience stores"/>
    <x v="3"/>
    <s v="San Pellegrino"/>
    <s v="|21/01/48|"/>
    <n v="180"/>
    <n v="1.06"/>
    <n v="1.25"/>
  </r>
  <r>
    <x v="1"/>
    <s v="Convenience stores"/>
    <x v="3"/>
    <s v="San Pellegrino"/>
    <s v="|21/01/49|"/>
    <n v="108"/>
    <n v="1.1299999999999999"/>
    <n v="1.2"/>
  </r>
  <r>
    <x v="1"/>
    <s v="Convenience stores"/>
    <x v="3"/>
    <s v="San Pellegrino"/>
    <s v="|21/01/50|"/>
    <n v="72"/>
    <n v="1.03"/>
    <n v="1.4"/>
  </r>
  <r>
    <x v="1"/>
    <s v="Convenience stores"/>
    <x v="3"/>
    <s v="San Pellegrino"/>
    <s v="|21/01/51|"/>
    <n v="96"/>
    <n v="1.1299999999999999"/>
    <n v="1.24"/>
  </r>
  <r>
    <x v="1"/>
    <s v="Convenience stores"/>
    <x v="3"/>
    <s v="San Pellegrino"/>
    <s v="|21/01/52|"/>
    <n v="120"/>
    <n v="1.18"/>
    <n v="1.37"/>
  </r>
  <r>
    <x v="1"/>
    <s v="Convenience stores"/>
    <x v="3"/>
    <s v="San Pellegrino"/>
    <s v="|21/01/53|"/>
    <n v="60"/>
    <n v="1.17"/>
    <n v="1.38"/>
  </r>
  <r>
    <x v="1"/>
    <s v="Convenience stores"/>
    <x v="3"/>
    <s v="San Pellegrino"/>
    <s v="|21/01/54|"/>
    <n v="168"/>
    <n v="1.02"/>
    <n v="1.23"/>
  </r>
  <r>
    <x v="1"/>
    <s v="Convenience stores"/>
    <x v="3"/>
    <s v="San Pellegrino"/>
    <s v="|21/01/55|"/>
    <n v="132"/>
    <n v="1.18"/>
    <n v="1.34"/>
  </r>
  <r>
    <x v="1"/>
    <s v="Convenience stores"/>
    <x v="3"/>
    <s v="San Pellegrino"/>
    <s v="|21/01/56|"/>
    <n v="156"/>
    <n v="1.06"/>
    <n v="1.36"/>
  </r>
  <r>
    <x v="1"/>
    <s v="Convenience stores"/>
    <x v="3"/>
    <s v="San Pellegrino"/>
    <s v="|21/01/57|"/>
    <n v="144"/>
    <n v="1.02"/>
    <n v="1.31"/>
  </r>
  <r>
    <x v="1"/>
    <s v="Convenience stores"/>
    <x v="3"/>
    <s v="San Pellegrino"/>
    <s v="|21/01/58|"/>
    <n v="204"/>
    <n v="1.04"/>
    <n v="1.35"/>
  </r>
  <r>
    <x v="1"/>
    <s v="Convenience stores"/>
    <x v="3"/>
    <s v="San Pellegrino"/>
    <s v="|21/01/59|"/>
    <n v="204"/>
    <n v="1.1100000000000001"/>
    <n v="1.21"/>
  </r>
  <r>
    <x v="1"/>
    <s v="Convenience stores"/>
    <x v="3"/>
    <s v="San Pellegrino"/>
    <s v="|21/01/60|"/>
    <n v="192"/>
    <n v="1.1299999999999999"/>
    <n v="1.29"/>
  </r>
  <r>
    <x v="1"/>
    <s v="Convenience stores"/>
    <x v="3"/>
    <s v="San Pellegrino"/>
    <s v="|21/01/61|"/>
    <n v="132"/>
    <n v="1.05"/>
    <n v="1.28"/>
  </r>
  <r>
    <x v="1"/>
    <s v="Convenience stores"/>
    <x v="3"/>
    <s v="San Pellegrino"/>
    <s v="|21/01/62|"/>
    <n v="168"/>
    <n v="1.1200000000000001"/>
    <n v="1.21"/>
  </r>
  <r>
    <x v="1"/>
    <s v="Convenience stores"/>
    <x v="3"/>
    <s v="San Pellegrino"/>
    <s v="|21/01/63|"/>
    <n v="156"/>
    <n v="1.2"/>
    <n v="1.38"/>
  </r>
  <r>
    <x v="1"/>
    <s v="Convenience stores"/>
    <x v="3"/>
    <s v="San Pellegrino"/>
    <s v="|21/01/64|"/>
    <n v="204"/>
    <n v="1"/>
    <n v="1.32"/>
  </r>
  <r>
    <x v="1"/>
    <s v="Convenience stores"/>
    <x v="3"/>
    <s v="San Pellegrino"/>
    <s v="|21/01/65|"/>
    <n v="204"/>
    <n v="1.18"/>
    <n v="1.21"/>
  </r>
  <r>
    <x v="1"/>
    <s v="Convenience stores"/>
    <x v="3"/>
    <s v="San Pellegrino"/>
    <s v="|21/01/66|"/>
    <n v="132"/>
    <n v="1"/>
    <n v="1.29"/>
  </r>
  <r>
    <x v="1"/>
    <s v="Convenience stores"/>
    <x v="3"/>
    <s v="San Pellegrino"/>
    <s v="|21/01/67|"/>
    <n v="180"/>
    <n v="1.05"/>
    <n v="1.21"/>
  </r>
  <r>
    <x v="1"/>
    <s v="Convenience stores"/>
    <x v="3"/>
    <s v="San Pellegrino"/>
    <s v="|21/01/68|"/>
    <n v="72"/>
    <n v="1"/>
    <n v="1.3"/>
  </r>
  <r>
    <x v="1"/>
    <s v="Convenience stores"/>
    <x v="3"/>
    <s v="San Pellegrino"/>
    <s v="|21/01/69|"/>
    <n v="72"/>
    <n v="1.0900000000000001"/>
    <n v="1.39"/>
  </r>
  <r>
    <x v="1"/>
    <s v="Convenience stores"/>
    <x v="3"/>
    <s v="San Pellegrino"/>
    <s v="|21/01/70|"/>
    <n v="96"/>
    <n v="1.1200000000000001"/>
    <n v="1.24"/>
  </r>
  <r>
    <x v="1"/>
    <s v="Convenience stores"/>
    <x v="3"/>
    <s v="San Pellegrino"/>
    <s v="|21/01/71|"/>
    <n v="180"/>
    <n v="1.1399999999999999"/>
    <n v="1.39"/>
  </r>
  <r>
    <x v="1"/>
    <s v="Convenience stores"/>
    <x v="3"/>
    <s v="San Pellegrino"/>
    <s v="|21/01/72|"/>
    <n v="132"/>
    <n v="1.1399999999999999"/>
    <n v="1.29"/>
  </r>
  <r>
    <x v="1"/>
    <s v="Convenience stores"/>
    <x v="3"/>
    <s v="San Pellegrino"/>
    <s v="|21/01/73|"/>
    <n v="96"/>
    <n v="1.1200000000000001"/>
    <n v="1.25"/>
  </r>
  <r>
    <x v="1"/>
    <s v="Convenience stores"/>
    <x v="3"/>
    <s v="San Pellegrino"/>
    <s v="|21/01/74|"/>
    <n v="60"/>
    <n v="1.1399999999999999"/>
    <n v="1.21"/>
  </r>
  <r>
    <x v="1"/>
    <s v="Convenience stores"/>
    <x v="3"/>
    <s v="San Pellegrino"/>
    <s v="|21/01/75|"/>
    <n v="144"/>
    <n v="1.04"/>
    <n v="1.33"/>
  </r>
  <r>
    <x v="1"/>
    <s v="Convenience stores"/>
    <x v="3"/>
    <s v="San Pellegrino"/>
    <s v="|21/01/76|"/>
    <n v="96"/>
    <n v="1.19"/>
    <n v="1.21"/>
  </r>
  <r>
    <x v="1"/>
    <s v="Convenience stores"/>
    <x v="3"/>
    <s v="San Pellegrino"/>
    <s v="|21/01/77|"/>
    <n v="180"/>
    <n v="1.17"/>
    <n v="1.31"/>
  </r>
  <r>
    <x v="1"/>
    <s v="Convenience stores"/>
    <x v="3"/>
    <s v="San Pellegrino"/>
    <s v="|21/01/78|"/>
    <n v="168"/>
    <n v="1.1200000000000001"/>
    <n v="1.22"/>
  </r>
  <r>
    <x v="1"/>
    <s v="Convenience stores"/>
    <x v="3"/>
    <s v="San Pellegrino"/>
    <s v="|21/01/79|"/>
    <n v="96"/>
    <n v="1.06"/>
    <n v="1.26"/>
  </r>
  <r>
    <x v="1"/>
    <s v="Convenience stores"/>
    <x v="3"/>
    <s v="San Pellegrino"/>
    <s v="|21/01/80|"/>
    <n v="216"/>
    <n v="1.0900000000000001"/>
    <n v="1.31"/>
  </r>
  <r>
    <x v="1"/>
    <s v="Convenience stores"/>
    <x v="3"/>
    <s v="San Pellegrino"/>
    <s v="|21/01/81|"/>
    <n v="132"/>
    <n v="1.05"/>
    <n v="1.33"/>
  </r>
  <r>
    <x v="1"/>
    <s v="Convenience stores"/>
    <x v="3"/>
    <s v="San Pellegrino"/>
    <s v="|21/01/82|"/>
    <n v="156"/>
    <n v="1.19"/>
    <n v="1.29"/>
  </r>
  <r>
    <x v="1"/>
    <s v="Convenience stores"/>
    <x v="3"/>
    <s v="San Pellegrino"/>
    <s v="|21/01/83|"/>
    <n v="60"/>
    <n v="1.1399999999999999"/>
    <n v="1.39"/>
  </r>
  <r>
    <x v="1"/>
    <s v="Convenience stores"/>
    <x v="3"/>
    <s v="San Pellegrino"/>
    <s v="|21/01/84|"/>
    <n v="132"/>
    <n v="1.04"/>
    <n v="1.22"/>
  </r>
  <r>
    <x v="1"/>
    <s v="Convenience stores"/>
    <x v="3"/>
    <s v="San Pellegrino"/>
    <s v="|21/01/85|"/>
    <n v="204"/>
    <n v="1.1200000000000001"/>
    <n v="1.31"/>
  </r>
  <r>
    <x v="1"/>
    <s v="Convenience stores"/>
    <x v="3"/>
    <s v="San Pellegrino"/>
    <s v="|21/01/86|"/>
    <n v="204"/>
    <n v="1.07"/>
    <n v="1.22"/>
  </r>
  <r>
    <x v="1"/>
    <s v="Convenience stores"/>
    <x v="3"/>
    <s v="San Pellegrino"/>
    <s v="|21/01/87|"/>
    <n v="120"/>
    <n v="1.1399999999999999"/>
    <n v="1.39"/>
  </r>
  <r>
    <x v="1"/>
    <s v="Convenience stores"/>
    <x v="3"/>
    <s v="San Pellegrino"/>
    <s v="|21/01/90|"/>
    <n v="180"/>
    <n v="1.19"/>
    <n v="1.37"/>
  </r>
  <r>
    <x v="1"/>
    <s v="Convenience stores"/>
    <x v="3"/>
    <s v="San Pellegrino"/>
    <s v="|21/01/91|"/>
    <n v="60"/>
    <n v="1.1399999999999999"/>
    <n v="1.34"/>
  </r>
  <r>
    <x v="1"/>
    <s v="Convenience stores"/>
    <x v="3"/>
    <s v="San Pellegrino"/>
    <s v="|21/10/01|"/>
    <n v="144"/>
    <n v="1.1299999999999999"/>
    <n v="1.38"/>
  </r>
  <r>
    <x v="1"/>
    <s v="Convenience stores"/>
    <x v="3"/>
    <s v="San Pellegrino"/>
    <s v="|21/10/10|"/>
    <n v="216"/>
    <n v="1.01"/>
    <n v="1.4"/>
  </r>
  <r>
    <x v="1"/>
    <s v="Convenience stores"/>
    <x v="3"/>
    <s v="San Pellegrino"/>
    <s v="|21/10/11|"/>
    <n v="144"/>
    <n v="1"/>
    <n v="1.27"/>
  </r>
  <r>
    <x v="1"/>
    <s v="Convenience stores"/>
    <x v="3"/>
    <s v="San Pellegrino"/>
    <s v="|21/10/12|"/>
    <n v="60"/>
    <n v="1.1599999999999999"/>
    <n v="1.31"/>
  </r>
  <r>
    <x v="1"/>
    <s v="Convenience stores"/>
    <x v="3"/>
    <s v="San Pellegrino"/>
    <s v="|21/10/13|"/>
    <n v="108"/>
    <n v="1.06"/>
    <n v="1.27"/>
  </r>
  <r>
    <x v="1"/>
    <s v="Convenience stores"/>
    <x v="3"/>
    <s v="San Pellegrino"/>
    <s v="|21/10/14|"/>
    <n v="216"/>
    <n v="1.05"/>
    <n v="1.4"/>
  </r>
  <r>
    <x v="1"/>
    <s v="Convenience stores"/>
    <x v="3"/>
    <s v="San Pellegrino"/>
    <s v="|21/10/15|"/>
    <n v="132"/>
    <n v="1.1000000000000001"/>
    <n v="1.26"/>
  </r>
  <r>
    <x v="1"/>
    <s v="Convenience stores"/>
    <x v="3"/>
    <s v="San Pellegrino"/>
    <s v="|21/10/16|"/>
    <n v="60"/>
    <n v="1.17"/>
    <n v="1.29"/>
  </r>
  <r>
    <x v="1"/>
    <s v="Convenience stores"/>
    <x v="3"/>
    <s v="San Pellegrino"/>
    <s v="|21/10/17|"/>
    <n v="132"/>
    <n v="1.07"/>
    <n v="1.38"/>
  </r>
  <r>
    <x v="1"/>
    <s v="Convenience stores"/>
    <x v="3"/>
    <s v="San Pellegrino"/>
    <s v="|21/10/18|"/>
    <n v="216"/>
    <n v="1.08"/>
    <n v="1.34"/>
  </r>
  <r>
    <x v="1"/>
    <s v="Convenience stores"/>
    <x v="3"/>
    <s v="San Pellegrino"/>
    <s v="|21/10/19|"/>
    <n v="84"/>
    <n v="1.04"/>
    <n v="1.24"/>
  </r>
  <r>
    <x v="1"/>
    <s v="Convenience stores"/>
    <x v="3"/>
    <s v="San Pellegrino"/>
    <s v="|21/10/20|"/>
    <n v="156"/>
    <n v="1.04"/>
    <n v="1.25"/>
  </r>
  <r>
    <x v="1"/>
    <s v="Convenience stores"/>
    <x v="3"/>
    <s v="San Pellegrino"/>
    <s v="|21/10/21|"/>
    <n v="204"/>
    <n v="1.18"/>
    <n v="1.23"/>
  </r>
  <r>
    <x v="1"/>
    <s v="Convenience stores"/>
    <x v="3"/>
    <s v="San Pellegrino"/>
    <s v="|21/10/22|"/>
    <n v="144"/>
    <n v="1.1200000000000001"/>
    <n v="1.29"/>
  </r>
  <r>
    <x v="1"/>
    <s v="Convenience stores"/>
    <x v="3"/>
    <s v="San Pellegrino"/>
    <s v="|21/11/01|"/>
    <n v="168"/>
    <n v="1.19"/>
    <n v="1.23"/>
  </r>
  <r>
    <x v="1"/>
    <s v="Convenience stores"/>
    <x v="3"/>
    <s v="San Pellegrino"/>
    <s v="|21/11/02|"/>
    <n v="132"/>
    <n v="1.01"/>
    <n v="1.24"/>
  </r>
  <r>
    <x v="1"/>
    <s v="Convenience stores"/>
    <x v="3"/>
    <s v="San Pellegrino"/>
    <s v="|21/11/03|"/>
    <n v="108"/>
    <n v="1.1000000000000001"/>
    <n v="1.29"/>
  </r>
  <r>
    <x v="1"/>
    <s v="Convenience stores"/>
    <x v="3"/>
    <s v="San Pellegrino"/>
    <s v="|21/11/04|"/>
    <n v="108"/>
    <n v="1.0900000000000001"/>
    <n v="1.26"/>
  </r>
  <r>
    <x v="1"/>
    <s v="Convenience stores"/>
    <x v="3"/>
    <s v="San Pellegrino"/>
    <s v="|21/11/05|"/>
    <n v="60"/>
    <n v="1.0900000000000001"/>
    <n v="1.32"/>
  </r>
  <r>
    <x v="1"/>
    <s v="Convenience stores"/>
    <x v="3"/>
    <s v="San Pellegrino"/>
    <s v="|21/11/06|"/>
    <n v="132"/>
    <n v="1.03"/>
    <n v="1.29"/>
  </r>
  <r>
    <x v="1"/>
    <s v="Convenience stores"/>
    <x v="3"/>
    <s v="San Pellegrino"/>
    <s v="|21/11/07|"/>
    <n v="216"/>
    <n v="1.01"/>
    <n v="1.39"/>
  </r>
  <r>
    <x v="1"/>
    <s v="Convenience stores"/>
    <x v="3"/>
    <s v="San Pellegrino"/>
    <s v="|21/11/08|"/>
    <n v="132"/>
    <n v="1.07"/>
    <n v="1.37"/>
  </r>
  <r>
    <x v="1"/>
    <s v="Convenience stores"/>
    <x v="3"/>
    <s v="San Pellegrino"/>
    <s v="|21/11/09|"/>
    <n v="192"/>
    <n v="1.1200000000000001"/>
    <n v="1.29"/>
  </r>
  <r>
    <x v="1"/>
    <s v="Convenience stores"/>
    <x v="3"/>
    <s v="San Pellegrino"/>
    <s v="|21/11/10|"/>
    <n v="192"/>
    <n v="1.17"/>
    <n v="1.39"/>
  </r>
  <r>
    <x v="1"/>
    <s v="Convenience stores"/>
    <x v="3"/>
    <s v="San Pellegrino"/>
    <s v="|21/11/11|"/>
    <n v="60"/>
    <n v="1.1100000000000001"/>
    <n v="1.26"/>
  </r>
  <r>
    <x v="1"/>
    <s v="Convenience stores"/>
    <x v="3"/>
    <s v="San Pellegrino"/>
    <s v="|21/11/12|"/>
    <n v="192"/>
    <n v="1.04"/>
    <n v="1.36"/>
  </r>
  <r>
    <x v="1"/>
    <s v="Convenience stores"/>
    <x v="3"/>
    <s v="San Pellegrino"/>
    <s v="|21/11/13|"/>
    <n v="204"/>
    <n v="1.1599999999999999"/>
    <n v="1.39"/>
  </r>
  <r>
    <x v="1"/>
    <s v="Convenience stores"/>
    <x v="3"/>
    <s v="San Pellegrino"/>
    <s v="|21/11/14|"/>
    <n v="156"/>
    <n v="1.1599999999999999"/>
    <n v="1.34"/>
  </r>
  <r>
    <x v="1"/>
    <s v="Convenience stores"/>
    <x v="3"/>
    <s v="San Pellegrino"/>
    <s v="|21/11/15|"/>
    <n v="72"/>
    <n v="1.17"/>
    <n v="1.25"/>
  </r>
  <r>
    <x v="1"/>
    <s v="Convenience stores"/>
    <x v="3"/>
    <s v="San Pellegrino"/>
    <s v="|21/11/16|"/>
    <n v="120"/>
    <n v="1.1499999999999999"/>
    <n v="1.23"/>
  </r>
  <r>
    <x v="1"/>
    <s v="Convenience stores"/>
    <x v="7"/>
    <s v="Greener salads"/>
    <s v="|131/01/01|"/>
    <n v="1068"/>
    <n v="2.87"/>
    <n v="3.26"/>
  </r>
  <r>
    <x v="1"/>
    <s v="Convenience stores"/>
    <x v="7"/>
    <s v="Greener salads"/>
    <s v="|131/01/07|"/>
    <n v="972"/>
    <n v="2.66"/>
    <n v="3.54"/>
  </r>
  <r>
    <x v="1"/>
    <s v="Convenience stores"/>
    <x v="7"/>
    <s v="Greener salads"/>
    <s v="|131/01/14|"/>
    <n v="888"/>
    <n v="2.85"/>
    <n v="3.79"/>
  </r>
  <r>
    <x v="1"/>
    <s v="Convenience stores"/>
    <x v="7"/>
    <s v="Greener salads"/>
    <s v="|131/01/15|"/>
    <n v="744"/>
    <n v="2.25"/>
    <n v="3.59"/>
  </r>
  <r>
    <x v="1"/>
    <s v="Convenience stores"/>
    <x v="7"/>
    <s v="Greener salads"/>
    <s v="|131/01/16|"/>
    <n v="1008"/>
    <n v="2.14"/>
    <n v="3.83"/>
  </r>
  <r>
    <x v="1"/>
    <s v="Convenience stores"/>
    <x v="7"/>
    <s v="Greener salads"/>
    <s v="|131/01/17|"/>
    <n v="972"/>
    <n v="2.44"/>
    <n v="3.75"/>
  </r>
  <r>
    <x v="1"/>
    <s v="Convenience stores"/>
    <x v="7"/>
    <s v="Greener salads"/>
    <s v="|131/01/20|"/>
    <n v="876"/>
    <n v="2.64"/>
    <n v="4"/>
  </r>
  <r>
    <x v="1"/>
    <s v="Convenience stores"/>
    <x v="7"/>
    <s v="Greener salads"/>
    <s v="|131/01/21|"/>
    <n v="852"/>
    <n v="2.2000000000000002"/>
    <n v="3.89"/>
  </r>
  <r>
    <x v="1"/>
    <s v="Convenience stores"/>
    <x v="7"/>
    <s v="Greener salads"/>
    <s v="|131/01/24|"/>
    <n v="708"/>
    <n v="2.02"/>
    <n v="3.53"/>
  </r>
  <r>
    <x v="1"/>
    <s v="Convenience stores"/>
    <x v="7"/>
    <s v="Greener salads"/>
    <s v="|131/01/27|"/>
    <n v="972"/>
    <n v="2.2200000000000002"/>
    <n v="3.4"/>
  </r>
  <r>
    <x v="1"/>
    <s v="Convenience stores"/>
    <x v="7"/>
    <s v="Greener salads"/>
    <s v="|131/01/28|"/>
    <n v="1104"/>
    <n v="2.2000000000000002"/>
    <n v="3.92"/>
  </r>
  <r>
    <x v="1"/>
    <s v="Convenience stores"/>
    <x v="7"/>
    <s v="Greener salads"/>
    <s v="|131/01/29|"/>
    <n v="1176"/>
    <n v="2.2400000000000002"/>
    <n v="3.28"/>
  </r>
  <r>
    <x v="1"/>
    <s v="Convenience stores"/>
    <x v="7"/>
    <s v="Greener salads"/>
    <s v="|131/01/30|"/>
    <n v="1032"/>
    <n v="2.0299999999999998"/>
    <n v="3.94"/>
  </r>
  <r>
    <x v="1"/>
    <s v="Convenience stores"/>
    <x v="7"/>
    <s v="Greener salads"/>
    <s v="|131/01/31|"/>
    <n v="876"/>
    <n v="2.0099999999999998"/>
    <n v="3.85"/>
  </r>
  <r>
    <x v="1"/>
    <s v="Convenience stores"/>
    <x v="7"/>
    <s v="Greener salads"/>
    <s v="|131/01/34|"/>
    <n v="732"/>
    <n v="2.2200000000000002"/>
    <n v="3.65"/>
  </r>
  <r>
    <x v="1"/>
    <s v="Convenience stores"/>
    <x v="7"/>
    <s v="Greener salads"/>
    <s v="|131/01/35|"/>
    <n v="660"/>
    <n v="2.5"/>
    <n v="3.82"/>
  </r>
  <r>
    <x v="1"/>
    <s v="Convenience stores"/>
    <x v="7"/>
    <s v="Greener salads"/>
    <s v="|131/01/36|"/>
    <n v="1092"/>
    <n v="2.93"/>
    <n v="3.79"/>
  </r>
  <r>
    <x v="1"/>
    <s v="Convenience stores"/>
    <x v="7"/>
    <s v="Greener salads"/>
    <s v="|131/01/37|"/>
    <n v="948"/>
    <n v="2.29"/>
    <n v="3.6"/>
  </r>
  <r>
    <x v="1"/>
    <s v="Convenience stores"/>
    <x v="7"/>
    <s v="Greener salads"/>
    <s v="|131/01/54|"/>
    <n v="1116"/>
    <n v="2.62"/>
    <n v="3.54"/>
  </r>
  <r>
    <x v="1"/>
    <s v="Convenience stores"/>
    <x v="7"/>
    <s v="Greener salads"/>
    <s v="|131/01/55|"/>
    <n v="936"/>
    <n v="2.35"/>
    <n v="3.94"/>
  </r>
  <r>
    <x v="1"/>
    <s v="Convenience stores"/>
    <x v="7"/>
    <s v="Greener salads"/>
    <s v="|131/01/57|"/>
    <n v="612"/>
    <n v="2.75"/>
    <n v="3.92"/>
  </r>
  <r>
    <x v="1"/>
    <s v="Convenience stores"/>
    <x v="7"/>
    <s v="Greener salads"/>
    <s v="|131/01/58|"/>
    <n v="1128"/>
    <n v="2.08"/>
    <n v="3.77"/>
  </r>
  <r>
    <x v="1"/>
    <s v="Convenience stores"/>
    <x v="7"/>
    <s v="Greener salads"/>
    <s v="|131/01/60|"/>
    <n v="1056"/>
    <n v="2.5299999999999998"/>
    <n v="3.65"/>
  </r>
  <r>
    <x v="1"/>
    <s v="Convenience stores"/>
    <x v="7"/>
    <s v="Greener salads"/>
    <s v="|131/01/64|"/>
    <n v="1032"/>
    <n v="2.2599999999999998"/>
    <n v="3.72"/>
  </r>
  <r>
    <x v="1"/>
    <s v="Convenience stores"/>
    <x v="7"/>
    <s v="Greener salads"/>
    <s v="|131/01/62|"/>
    <n v="1188"/>
    <n v="2.97"/>
    <n v="3.62"/>
  </r>
  <r>
    <x v="1"/>
    <s v="Convenience stores"/>
    <x v="7"/>
    <s v="Greener salads"/>
    <s v="|131/01/63|"/>
    <n v="972"/>
    <n v="2.46"/>
    <n v="3.3"/>
  </r>
  <r>
    <x v="1"/>
    <s v="Convenience stores"/>
    <x v="7"/>
    <s v="Greener salads"/>
    <s v="|131/01/69|"/>
    <n v="1092"/>
    <n v="2.97"/>
    <n v="3.66"/>
  </r>
  <r>
    <x v="1"/>
    <s v="Convenience stores"/>
    <x v="7"/>
    <s v="Greener salads"/>
    <s v="|131/01/70|"/>
    <n v="1200"/>
    <n v="2.9"/>
    <n v="3.72"/>
  </r>
  <r>
    <x v="1"/>
    <s v="Convenience stores"/>
    <x v="7"/>
    <s v="Greener salads"/>
    <s v="|131/01/72|"/>
    <n v="708"/>
    <n v="2.44"/>
    <n v="3.7"/>
  </r>
  <r>
    <x v="1"/>
    <s v="Convenience stores"/>
    <x v="7"/>
    <s v="Greener salads"/>
    <s v="|131/01/73|"/>
    <n v="924"/>
    <n v="2.1800000000000002"/>
    <n v="3.67"/>
  </r>
  <r>
    <x v="1"/>
    <s v="Convenience stores"/>
    <x v="7"/>
    <s v="Greener salads"/>
    <s v="|131/01/76|"/>
    <n v="696"/>
    <n v="2.82"/>
    <n v="3.48"/>
  </r>
  <r>
    <x v="1"/>
    <s v="Convenience stores"/>
    <x v="7"/>
    <s v="Greener salads"/>
    <s v="|131/01/80|"/>
    <n v="1092"/>
    <n v="2.06"/>
    <n v="3.3"/>
  </r>
  <r>
    <x v="1"/>
    <s v="Convenience stores"/>
    <x v="7"/>
    <s v="Greener salads"/>
    <s v="|131/01/93|"/>
    <n v="636"/>
    <n v="2.37"/>
    <n v="3.74"/>
  </r>
  <r>
    <x v="1"/>
    <s v="Convenience stores"/>
    <x v="7"/>
    <s v="Greener salads"/>
    <s v="|131/01/103|"/>
    <n v="924"/>
    <n v="2.73"/>
    <n v="3.48"/>
  </r>
  <r>
    <x v="1"/>
    <s v="Convenience stores"/>
    <x v="7"/>
    <s v="Greener salads"/>
    <s v="|131/01/111|"/>
    <n v="828"/>
    <n v="2.68"/>
    <n v="3.89"/>
  </r>
  <r>
    <x v="1"/>
    <s v="Convenience stores"/>
    <x v="7"/>
    <s v="Greener salads"/>
    <s v="|131/01/105|"/>
    <n v="636"/>
    <n v="2.38"/>
    <n v="3.76"/>
  </r>
  <r>
    <x v="1"/>
    <s v="Convenience stores"/>
    <x v="7"/>
    <s v="Greener salads"/>
    <s v="|131/01/135|"/>
    <n v="672"/>
    <n v="2.78"/>
    <n v="3.46"/>
  </r>
  <r>
    <x v="1"/>
    <s v="Convenience stores"/>
    <x v="7"/>
    <s v="Greener salads"/>
    <s v="|128/01/130|"/>
    <n v="1044"/>
    <n v="2.4700000000000002"/>
    <n v="3.4"/>
  </r>
  <r>
    <x v="1"/>
    <s v="Convenience stores"/>
    <x v="7"/>
    <s v="Greener salads"/>
    <s v="|128/01/131|"/>
    <n v="672"/>
    <n v="2.99"/>
    <n v="3.76"/>
  </r>
  <r>
    <x v="1"/>
    <s v="Convenience stores"/>
    <x v="7"/>
    <s v="Greener salads"/>
    <s v="|131/02/06|"/>
    <n v="960"/>
    <n v="2.93"/>
    <n v="3.59"/>
  </r>
  <r>
    <x v="1"/>
    <s v="Convenience stores"/>
    <x v="7"/>
    <s v="Greener salads"/>
    <s v="|131/02/09|"/>
    <n v="840"/>
    <n v="2.75"/>
    <n v="3.57"/>
  </r>
  <r>
    <x v="1"/>
    <s v="Convenience stores"/>
    <x v="7"/>
    <s v="Greener salads"/>
    <s v="|131/02/17|"/>
    <n v="972"/>
    <n v="2.13"/>
    <n v="3.54"/>
  </r>
  <r>
    <x v="1"/>
    <s v="Convenience stores"/>
    <x v="7"/>
    <s v="Greener salads"/>
    <s v="|131/02/28|"/>
    <n v="1056"/>
    <n v="2.12"/>
    <n v="3.32"/>
  </r>
  <r>
    <x v="1"/>
    <s v="Convenience stores"/>
    <x v="7"/>
    <s v="Greener salads"/>
    <s v="|131/02/41|"/>
    <n v="756"/>
    <n v="2.85"/>
    <n v="3.87"/>
  </r>
  <r>
    <x v="1"/>
    <s v="Convenience stores"/>
    <x v="7"/>
    <s v="Greener salads"/>
    <s v="|131/02/36|"/>
    <n v="1032"/>
    <n v="2.72"/>
    <n v="3.6"/>
  </r>
  <r>
    <x v="1"/>
    <s v="Convenience stores"/>
    <x v="7"/>
    <s v="Greener salads"/>
    <s v="|131/02/39|"/>
    <n v="672"/>
    <n v="2.83"/>
    <n v="3.8"/>
  </r>
  <r>
    <x v="1"/>
    <s v="Convenience stores"/>
    <x v="7"/>
    <s v="Greener salads"/>
    <s v="|131/02/40|"/>
    <n v="1164"/>
    <n v="2.31"/>
    <n v="3.85"/>
  </r>
  <r>
    <x v="1"/>
    <s v="Convenience stores"/>
    <x v="3"/>
    <s v="Pepsi"/>
    <s v="|49/01/01|"/>
    <n v="120"/>
    <n v="1.17"/>
    <n v="1.26"/>
  </r>
  <r>
    <x v="1"/>
    <s v="Convenience stores"/>
    <x v="3"/>
    <s v="San Benedetto"/>
    <s v="|49/01/02|"/>
    <n v="168"/>
    <n v="1.1399999999999999"/>
    <n v="1.4"/>
  </r>
  <r>
    <x v="1"/>
    <s v="Convenience stores"/>
    <x v="3"/>
    <s v="San Benedetto"/>
    <s v="|49/01/03|"/>
    <n v="84"/>
    <n v="1.18"/>
    <n v="1.39"/>
  </r>
  <r>
    <x v="1"/>
    <s v="Convenience stores"/>
    <x v="3"/>
    <s v="San Benedetto"/>
    <s v="|49/01/04|"/>
    <n v="84"/>
    <n v="1.18"/>
    <n v="1.32"/>
  </r>
  <r>
    <x v="1"/>
    <s v="Convenience stores"/>
    <x v="3"/>
    <s v="San Benedetto"/>
    <s v="|49/01/05|"/>
    <n v="84"/>
    <n v="1.05"/>
    <n v="1.39"/>
  </r>
  <r>
    <x v="1"/>
    <s v="Convenience stores"/>
    <x v="3"/>
    <s v="San Benedetto"/>
    <s v="|49/01/06|"/>
    <n v="168"/>
    <n v="1.08"/>
    <n v="1.3"/>
  </r>
  <r>
    <x v="1"/>
    <s v="Convenience stores"/>
    <x v="3"/>
    <s v="San Benedetto"/>
    <s v="|49/01/07|"/>
    <n v="60"/>
    <n v="1.17"/>
    <n v="1.4"/>
  </r>
  <r>
    <x v="1"/>
    <s v="Convenience stores"/>
    <x v="3"/>
    <s v="San Benedetto"/>
    <s v="|49/01/08|"/>
    <n v="132"/>
    <n v="1.1200000000000001"/>
    <n v="1.4"/>
  </r>
  <r>
    <x v="1"/>
    <s v="Convenience stores"/>
    <x v="3"/>
    <s v="San Benedetto"/>
    <s v="|49/01/09|"/>
    <n v="132"/>
    <n v="1.1399999999999999"/>
    <n v="1.24"/>
  </r>
  <r>
    <x v="1"/>
    <s v="Convenience stores"/>
    <x v="3"/>
    <s v="Pepsi"/>
    <s v="|49/01/10|"/>
    <n v="108"/>
    <n v="1.02"/>
    <n v="1.32"/>
  </r>
  <r>
    <x v="1"/>
    <s v="Convenience stores"/>
    <x v="3"/>
    <s v="San Benedetto"/>
    <s v="|49/01/11|"/>
    <n v="216"/>
    <n v="1.1499999999999999"/>
    <n v="1.21"/>
  </r>
  <r>
    <x v="1"/>
    <s v="Convenience stores"/>
    <x v="3"/>
    <s v="San Benedetto"/>
    <s v="|49/01/12|"/>
    <n v="180"/>
    <n v="1.05"/>
    <n v="1.35"/>
  </r>
  <r>
    <x v="1"/>
    <s v="Convenience stores"/>
    <x v="3"/>
    <s v="San Benedetto"/>
    <s v="|49/01/13|"/>
    <n v="72"/>
    <n v="1.1399999999999999"/>
    <n v="1.31"/>
  </r>
  <r>
    <x v="1"/>
    <s v="Convenience stores"/>
    <x v="3"/>
    <s v="Campari"/>
    <s v="|118/01/01|"/>
    <n v="84"/>
    <n v="1.0900000000000001"/>
    <n v="1.38"/>
  </r>
  <r>
    <x v="1"/>
    <s v="Convenience stores"/>
    <x v="3"/>
    <s v="Campari"/>
    <s v="|118/01/02|"/>
    <n v="204"/>
    <n v="1.1200000000000001"/>
    <n v="1.23"/>
  </r>
  <r>
    <x v="1"/>
    <s v="Convenience stores"/>
    <x v="3"/>
    <s v="Campari"/>
    <s v="|118/01/03|"/>
    <n v="108"/>
    <n v="1.0900000000000001"/>
    <n v="1.33"/>
  </r>
  <r>
    <x v="1"/>
    <s v="Convenience stores"/>
    <x v="2"/>
    <s v="Lavazza"/>
    <s v="|34/01/01|"/>
    <n v="6588"/>
    <n v="1.08"/>
    <n v="0.96"/>
  </r>
  <r>
    <x v="1"/>
    <s v="Convenience stores"/>
    <x v="2"/>
    <s v="Lavazza"/>
    <s v="|34/01/02|"/>
    <n v="7884"/>
    <n v="0.45"/>
    <n v="1.04"/>
  </r>
  <r>
    <x v="1"/>
    <s v="Convenience stores"/>
    <x v="2"/>
    <s v="Lavazza"/>
    <s v="|34/01/03|"/>
    <n v="5196"/>
    <n v="0.51"/>
    <n v="1.1399999999999999"/>
  </r>
  <r>
    <x v="1"/>
    <s v="Convenience stores"/>
    <x v="2"/>
    <s v="Lavazza"/>
    <s v="|34/01/10|"/>
    <n v="4800"/>
    <n v="0.49"/>
    <n v="1.19"/>
  </r>
  <r>
    <x v="1"/>
    <s v="Convenience stores"/>
    <x v="2"/>
    <s v="Lavazza"/>
    <s v="|34/01/11|"/>
    <n v="5952"/>
    <n v="0.72"/>
    <n v="1.1200000000000001"/>
  </r>
  <r>
    <x v="1"/>
    <s v="Convenience stores"/>
    <x v="2"/>
    <s v="Lavazza"/>
    <s v="|34/01/12|"/>
    <n v="8664"/>
    <n v="1.01"/>
    <n v="1.03"/>
  </r>
  <r>
    <x v="1"/>
    <s v="Convenience stores"/>
    <x v="9"/>
    <s v="Garofalo"/>
    <s v="|110/00/20|"/>
    <n v="708"/>
    <n v="1.82"/>
    <n v="2.85"/>
  </r>
  <r>
    <x v="1"/>
    <s v="Convenience stores"/>
    <x v="9"/>
    <s v="Garofalo"/>
    <s v="|110/00/21|"/>
    <n v="912"/>
    <n v="1.39"/>
    <n v="3.01"/>
  </r>
  <r>
    <x v="1"/>
    <s v="Convenience stores"/>
    <x v="9"/>
    <s v="J&amp;J"/>
    <s v="|23/23/00|"/>
    <n v="996"/>
    <n v="2.08"/>
    <n v="3.38"/>
  </r>
  <r>
    <x v="1"/>
    <s v="Convenience stores"/>
    <x v="9"/>
    <s v="J&amp;J"/>
    <s v="|23/23/01|"/>
    <n v="480"/>
    <n v="1.65"/>
    <n v="2.88"/>
  </r>
  <r>
    <x v="1"/>
    <s v="Convenience stores"/>
    <x v="9"/>
    <s v="J&amp;J"/>
    <s v="|23/23/02|"/>
    <n v="828"/>
    <n v="1.23"/>
    <n v="3.21"/>
  </r>
  <r>
    <x v="1"/>
    <s v="Convenience stores"/>
    <x v="9"/>
    <s v="J&amp;J"/>
    <s v="|23/23/03|"/>
    <n v="1080"/>
    <n v="1.78"/>
    <n v="2.02"/>
  </r>
  <r>
    <x v="1"/>
    <s v="Convenience stores"/>
    <x v="9"/>
    <s v="J&amp;J"/>
    <s v="|23/23/04|"/>
    <n v="1152"/>
    <n v="2.48"/>
    <n v="3.1"/>
  </r>
  <r>
    <x v="1"/>
    <s v="Convenience stores"/>
    <x v="9"/>
    <s v="J&amp;J"/>
    <s v="|23/23/05|"/>
    <n v="744"/>
    <n v="1.91"/>
    <n v="2.84"/>
  </r>
  <r>
    <x v="1"/>
    <s v="Convenience stores"/>
    <x v="9"/>
    <s v="J&amp;J"/>
    <s v="|23/23/06|"/>
    <n v="756"/>
    <n v="1.41"/>
    <n v="2.84"/>
  </r>
  <r>
    <x v="1"/>
    <s v="Convenience stores"/>
    <x v="9"/>
    <s v="J&amp;J"/>
    <s v="|23/23/07|"/>
    <n v="384"/>
    <n v="2.5"/>
    <n v="3.41"/>
  </r>
  <r>
    <x v="1"/>
    <s v="Convenience stores"/>
    <x v="9"/>
    <s v="J&amp;J"/>
    <s v="|23/23/08|"/>
    <n v="876"/>
    <n v="2.09"/>
    <n v="2.25"/>
  </r>
  <r>
    <x v="1"/>
    <s v="Convenience stores"/>
    <x v="9"/>
    <s v="J&amp;J"/>
    <s v="|23/23/09|"/>
    <n v="900"/>
    <n v="1.26"/>
    <n v="3"/>
  </r>
  <r>
    <x v="1"/>
    <s v="Convenience stores"/>
    <x v="9"/>
    <s v="J&amp;J"/>
    <s v="|23/23/10|"/>
    <n v="384"/>
    <n v="1.54"/>
    <n v="2.69"/>
  </r>
  <r>
    <x v="1"/>
    <s v="Convenience stores"/>
    <x v="9"/>
    <s v="J&amp;J"/>
    <s v="|23/23/100|"/>
    <n v="1068"/>
    <n v="1.35"/>
    <n v="2.4900000000000002"/>
  </r>
  <r>
    <x v="1"/>
    <s v="Convenience stores"/>
    <x v="9"/>
    <s v="J&amp;J"/>
    <s v="|23/23/101|"/>
    <n v="936"/>
    <n v="2.0699999999999998"/>
    <n v="3.23"/>
  </r>
  <r>
    <x v="1"/>
    <s v="Convenience stores"/>
    <x v="9"/>
    <s v="J&amp;J"/>
    <s v="|23/23/103|"/>
    <n v="576"/>
    <n v="1.72"/>
    <n v="3.32"/>
  </r>
  <r>
    <x v="1"/>
    <s v="Convenience stores"/>
    <x v="9"/>
    <s v="J&amp;J"/>
    <s v="|23/23/11|"/>
    <n v="1092"/>
    <n v="1.5"/>
    <n v="3.3"/>
  </r>
  <r>
    <x v="1"/>
    <s v="Convenience stores"/>
    <x v="9"/>
    <s v="J&amp;J"/>
    <s v="|23/23/12|"/>
    <n v="1164"/>
    <n v="2.4500000000000002"/>
    <n v="2.89"/>
  </r>
  <r>
    <x v="1"/>
    <s v="Convenience stores"/>
    <x v="9"/>
    <s v="J&amp;J"/>
    <s v="|23/23/13|"/>
    <n v="840"/>
    <n v="1.81"/>
    <n v="3.11"/>
  </r>
  <r>
    <x v="1"/>
    <s v="Convenience stores"/>
    <x v="9"/>
    <s v="J&amp;J"/>
    <s v="|23/23/14|"/>
    <n v="1128"/>
    <n v="1.87"/>
    <n v="2.5499999999999998"/>
  </r>
  <r>
    <x v="1"/>
    <s v="Convenience stores"/>
    <x v="9"/>
    <s v="J&amp;J"/>
    <s v="|23/23/15|"/>
    <n v="720"/>
    <n v="1.45"/>
    <n v="3.3"/>
  </r>
  <r>
    <x v="1"/>
    <s v="Convenience stores"/>
    <x v="9"/>
    <s v="J&amp;J"/>
    <s v="|23/23/16|"/>
    <n v="936"/>
    <n v="2.21"/>
    <n v="2.19"/>
  </r>
  <r>
    <x v="1"/>
    <s v="Convenience stores"/>
    <x v="9"/>
    <s v="J&amp;J"/>
    <s v="|23/23/17|"/>
    <n v="1164"/>
    <n v="1.74"/>
    <n v="2.56"/>
  </r>
  <r>
    <x v="1"/>
    <s v="Convenience stores"/>
    <x v="9"/>
    <s v="J&amp;J"/>
    <s v="|23/23/18|"/>
    <n v="792"/>
    <n v="1.99"/>
    <n v="2.21"/>
  </r>
  <r>
    <x v="1"/>
    <s v="Convenience stores"/>
    <x v="9"/>
    <s v="J&amp;J"/>
    <s v="|23/23/19|"/>
    <n v="816"/>
    <n v="1.4"/>
    <n v="2.23"/>
  </r>
  <r>
    <x v="1"/>
    <s v="Convenience stores"/>
    <x v="9"/>
    <s v="J&amp;J"/>
    <s v="|23/23/20|"/>
    <n v="720"/>
    <n v="2.3199999999999998"/>
    <n v="2.62"/>
  </r>
  <r>
    <x v="1"/>
    <s v="Convenience stores"/>
    <x v="9"/>
    <s v="J&amp;J"/>
    <s v="|23/23/21|"/>
    <n v="444"/>
    <n v="2.1800000000000002"/>
    <n v="3.09"/>
  </r>
  <r>
    <x v="1"/>
    <s v="Convenience stores"/>
    <x v="9"/>
    <s v="J&amp;J"/>
    <s v="|23/23/22|"/>
    <n v="396"/>
    <n v="1.45"/>
    <n v="3.44"/>
  </r>
  <r>
    <x v="1"/>
    <s v="Convenience stores"/>
    <x v="9"/>
    <s v="J&amp;J"/>
    <s v="|23/23/23|"/>
    <n v="408"/>
    <n v="1.93"/>
    <n v="2.6"/>
  </r>
  <r>
    <x v="1"/>
    <s v="Convenience stores"/>
    <x v="9"/>
    <s v="J&amp;J"/>
    <s v="|23/23/24|"/>
    <n v="480"/>
    <n v="2.4"/>
    <n v="3.44"/>
  </r>
  <r>
    <x v="1"/>
    <s v="Convenience stores"/>
    <x v="9"/>
    <s v="J&amp;J"/>
    <s v="|23/23/25|"/>
    <n v="696"/>
    <n v="1.27"/>
    <n v="3.28"/>
  </r>
  <r>
    <x v="1"/>
    <s v="Convenience stores"/>
    <x v="9"/>
    <s v="J&amp;J"/>
    <s v="|23/23/26|"/>
    <n v="960"/>
    <n v="1.37"/>
    <n v="3.2"/>
  </r>
  <r>
    <x v="1"/>
    <s v="Convenience stores"/>
    <x v="9"/>
    <s v="J&amp;J"/>
    <s v="|23/23/27|"/>
    <n v="1176"/>
    <n v="1.34"/>
    <n v="3.02"/>
  </r>
  <r>
    <x v="1"/>
    <s v="Convenience stores"/>
    <x v="9"/>
    <s v="J&amp;J"/>
    <s v="|23/23/28|"/>
    <n v="1128"/>
    <n v="1.95"/>
    <n v="2.89"/>
  </r>
  <r>
    <x v="1"/>
    <s v="Convenience stores"/>
    <x v="9"/>
    <s v="J&amp;J"/>
    <s v="|23/23/29|"/>
    <n v="396"/>
    <n v="2.19"/>
    <n v="3.43"/>
  </r>
  <r>
    <x v="1"/>
    <s v="Convenience stores"/>
    <x v="9"/>
    <s v="J&amp;J"/>
    <s v="|23/23/30|"/>
    <n v="420"/>
    <n v="2.0699999999999998"/>
    <n v="2.27"/>
  </r>
  <r>
    <x v="1"/>
    <s v="Convenience stores"/>
    <x v="9"/>
    <s v="J&amp;J"/>
    <s v="|23/23/31|"/>
    <n v="636"/>
    <n v="2.33"/>
    <n v="3.1"/>
  </r>
  <r>
    <x v="1"/>
    <s v="Convenience stores"/>
    <x v="9"/>
    <s v="J&amp;J"/>
    <s v="|23/23/32|"/>
    <n v="900"/>
    <n v="2.17"/>
    <n v="2.23"/>
  </r>
  <r>
    <x v="1"/>
    <s v="Convenience stores"/>
    <x v="9"/>
    <s v="J&amp;J"/>
    <s v="|23/23/33|"/>
    <n v="936"/>
    <n v="1.64"/>
    <n v="3.27"/>
  </r>
  <r>
    <x v="1"/>
    <s v="Convenience stores"/>
    <x v="9"/>
    <s v="J&amp;J"/>
    <s v="|23/23/34|"/>
    <n v="756"/>
    <n v="1.49"/>
    <n v="2.59"/>
  </r>
  <r>
    <x v="1"/>
    <s v="Convenience stores"/>
    <x v="9"/>
    <s v="J&amp;J"/>
    <s v="|23/23/35|"/>
    <n v="708"/>
    <n v="1.74"/>
    <n v="3.35"/>
  </r>
  <r>
    <x v="1"/>
    <s v="Convenience stores"/>
    <x v="9"/>
    <s v="J&amp;J"/>
    <s v="|23/23/36|"/>
    <n v="1176"/>
    <n v="2.17"/>
    <n v="2.58"/>
  </r>
  <r>
    <x v="1"/>
    <s v="Convenience stores"/>
    <x v="9"/>
    <s v="J&amp;J"/>
    <s v="|23/23/37|"/>
    <n v="1080"/>
    <n v="1.93"/>
    <n v="3.21"/>
  </r>
  <r>
    <x v="1"/>
    <s v="Convenience stores"/>
    <x v="9"/>
    <s v="J&amp;J"/>
    <s v="|23/23/38|"/>
    <n v="1164"/>
    <n v="1.84"/>
    <n v="2.82"/>
  </r>
  <r>
    <x v="1"/>
    <s v="Convenience stores"/>
    <x v="9"/>
    <s v="J&amp;J"/>
    <s v="|23/23/39|"/>
    <n v="768"/>
    <n v="1.79"/>
    <n v="3.47"/>
  </r>
  <r>
    <x v="1"/>
    <s v="Convenience stores"/>
    <x v="9"/>
    <s v="J&amp;J"/>
    <s v="|23/23/40|"/>
    <n v="708"/>
    <n v="2.25"/>
    <n v="3.04"/>
  </r>
  <r>
    <x v="1"/>
    <s v="Convenience stores"/>
    <x v="9"/>
    <s v="J&amp;J"/>
    <s v="|23/23/41|"/>
    <n v="564"/>
    <n v="1.41"/>
    <n v="2.19"/>
  </r>
  <r>
    <x v="1"/>
    <s v="Convenience stores"/>
    <x v="9"/>
    <s v="J&amp;J"/>
    <s v="|23/23/42|"/>
    <n v="840"/>
    <n v="1.69"/>
    <n v="2.25"/>
  </r>
  <r>
    <x v="1"/>
    <s v="Convenience stores"/>
    <x v="9"/>
    <s v="J&amp;J"/>
    <s v="|23/23/43|"/>
    <n v="948"/>
    <n v="2.16"/>
    <n v="3.31"/>
  </r>
  <r>
    <x v="1"/>
    <s v="Convenience stores"/>
    <x v="9"/>
    <s v="J&amp;J"/>
    <s v="|23/23/44|"/>
    <n v="816"/>
    <n v="1.25"/>
    <n v="2.4300000000000002"/>
  </r>
  <r>
    <x v="1"/>
    <s v="Convenience stores"/>
    <x v="9"/>
    <s v="J&amp;J"/>
    <s v="|23/23/45|"/>
    <n v="444"/>
    <n v="1.58"/>
    <n v="2.29"/>
  </r>
  <r>
    <x v="1"/>
    <s v="Convenience stores"/>
    <x v="9"/>
    <s v="J&amp;J"/>
    <s v="|23/23/46|"/>
    <n v="684"/>
    <n v="1.35"/>
    <n v="3.27"/>
  </r>
  <r>
    <x v="1"/>
    <s v="Convenience stores"/>
    <x v="9"/>
    <s v="J&amp;J"/>
    <s v="|23/23/47|"/>
    <n v="1056"/>
    <n v="2.44"/>
    <n v="2.89"/>
  </r>
  <r>
    <x v="1"/>
    <s v="Convenience stores"/>
    <x v="9"/>
    <s v="J&amp;J"/>
    <s v="|23/23/48|"/>
    <n v="1128"/>
    <n v="1.49"/>
    <n v="2.48"/>
  </r>
  <r>
    <x v="1"/>
    <s v="Convenience stores"/>
    <x v="9"/>
    <s v="J&amp;J"/>
    <s v="|23/23/49|"/>
    <n v="1188"/>
    <n v="2.2799999999999998"/>
    <n v="2.33"/>
  </r>
  <r>
    <x v="1"/>
    <s v="Convenience stores"/>
    <x v="9"/>
    <s v="J&amp;J"/>
    <s v="|23/23/50|"/>
    <n v="552"/>
    <n v="1.59"/>
    <n v="2.46"/>
  </r>
  <r>
    <x v="1"/>
    <s v="Convenience stores"/>
    <x v="9"/>
    <s v="J&amp;J"/>
    <s v="|23/23/51|"/>
    <n v="1140"/>
    <n v="1.91"/>
    <n v="2.69"/>
  </r>
  <r>
    <x v="1"/>
    <s v="Convenience stores"/>
    <x v="9"/>
    <s v="J&amp;J"/>
    <s v="|23/23/53|"/>
    <n v="732"/>
    <n v="2.39"/>
    <n v="2.35"/>
  </r>
  <r>
    <x v="1"/>
    <s v="Convenience stores"/>
    <x v="9"/>
    <s v="J&amp;J"/>
    <s v="|23/23/56|"/>
    <n v="1044"/>
    <n v="1.89"/>
    <n v="2.78"/>
  </r>
  <r>
    <x v="1"/>
    <s v="Convenience stores"/>
    <x v="9"/>
    <s v="J&amp;J"/>
    <s v="|23/23/62|"/>
    <n v="1080"/>
    <n v="1.33"/>
    <n v="2.86"/>
  </r>
  <r>
    <x v="1"/>
    <s v="Convenience stores"/>
    <x v="9"/>
    <s v="J&amp;J"/>
    <s v="|23/23/63|"/>
    <n v="564"/>
    <n v="1.34"/>
    <n v="3.45"/>
  </r>
  <r>
    <x v="1"/>
    <s v="Convenience stores"/>
    <x v="9"/>
    <s v="J&amp;J"/>
    <s v="|23/23/64|"/>
    <n v="1176"/>
    <n v="1.66"/>
    <n v="3.44"/>
  </r>
  <r>
    <x v="1"/>
    <s v="Convenience stores"/>
    <x v="9"/>
    <s v="J&amp;J"/>
    <s v="|23/23/65|"/>
    <n v="1032"/>
    <n v="1.44"/>
    <n v="2.37"/>
  </r>
  <r>
    <x v="1"/>
    <s v="Convenience stores"/>
    <x v="9"/>
    <s v="J&amp;J"/>
    <s v="|23/23/68|"/>
    <n v="936"/>
    <n v="1.74"/>
    <n v="2.2400000000000002"/>
  </r>
  <r>
    <x v="1"/>
    <s v="Convenience stores"/>
    <x v="9"/>
    <s v="J&amp;J"/>
    <s v="|23/23/69|"/>
    <n v="936"/>
    <n v="2.13"/>
    <n v="2.61"/>
  </r>
  <r>
    <x v="1"/>
    <s v="Convenience stores"/>
    <x v="9"/>
    <s v="J&amp;J"/>
    <s v="|23/23/71|"/>
    <n v="588"/>
    <n v="1.67"/>
    <n v="2.7"/>
  </r>
  <r>
    <x v="1"/>
    <s v="Convenience stores"/>
    <x v="9"/>
    <s v="J&amp;J"/>
    <s v="|23/23/72|"/>
    <n v="516"/>
    <n v="1.82"/>
    <n v="3.46"/>
  </r>
  <r>
    <x v="1"/>
    <s v="Convenience stores"/>
    <x v="9"/>
    <s v="J&amp;J"/>
    <s v="|23/23/76|"/>
    <n v="1128"/>
    <n v="1.51"/>
    <n v="2.78"/>
  </r>
  <r>
    <x v="1"/>
    <s v="Convenience stores"/>
    <x v="9"/>
    <s v="J&amp;J"/>
    <s v="|23/23/77|"/>
    <n v="564"/>
    <n v="1.63"/>
    <n v="2.66"/>
  </r>
  <r>
    <x v="1"/>
    <s v="Convenience stores"/>
    <x v="9"/>
    <s v="J&amp;J"/>
    <s v="|23/23/78|"/>
    <n v="1044"/>
    <n v="2.0299999999999998"/>
    <n v="2.57"/>
  </r>
  <r>
    <x v="1"/>
    <s v="Convenience stores"/>
    <x v="9"/>
    <s v="J&amp;J"/>
    <s v="|23/23/79|"/>
    <n v="624"/>
    <n v="2.41"/>
    <n v="2.4700000000000002"/>
  </r>
  <r>
    <x v="1"/>
    <s v="Convenience stores"/>
    <x v="9"/>
    <s v="J&amp;J"/>
    <s v="|23/23/80|"/>
    <n v="1092"/>
    <n v="1.73"/>
    <n v="2.98"/>
  </r>
  <r>
    <x v="1"/>
    <s v="Convenience stores"/>
    <x v="9"/>
    <s v="J&amp;J"/>
    <s v="|23/23/81|"/>
    <n v="1068"/>
    <n v="1.65"/>
    <n v="2.64"/>
  </r>
  <r>
    <x v="1"/>
    <s v="Convenience stores"/>
    <x v="9"/>
    <s v="J&amp;J"/>
    <s v="|23/23/82|"/>
    <n v="660"/>
    <n v="2.34"/>
    <n v="3.01"/>
  </r>
  <r>
    <x v="1"/>
    <s v="Convenience stores"/>
    <x v="9"/>
    <s v="J&amp;J"/>
    <s v="|23/23/83|"/>
    <n v="636"/>
    <n v="1.53"/>
    <n v="2.2400000000000002"/>
  </r>
  <r>
    <x v="1"/>
    <s v="Convenience stores"/>
    <x v="9"/>
    <s v="J&amp;J"/>
    <s v="|23/23/84|"/>
    <n v="996"/>
    <n v="2.1800000000000002"/>
    <n v="2.42"/>
  </r>
  <r>
    <x v="1"/>
    <s v="Convenience stores"/>
    <x v="9"/>
    <s v="J&amp;J"/>
    <s v="|23/23/85|"/>
    <n v="1128"/>
    <n v="2.27"/>
    <n v="3.39"/>
  </r>
  <r>
    <x v="1"/>
    <s v="Convenience stores"/>
    <x v="9"/>
    <s v="J&amp;J"/>
    <s v="|23/23/98|"/>
    <n v="504"/>
    <n v="2.5"/>
    <n v="2.6"/>
  </r>
  <r>
    <x v="1"/>
    <s v="Convenience stores"/>
    <x v="9"/>
    <s v="J&amp;J"/>
    <s v="|23/23/99|"/>
    <n v="756"/>
    <n v="1.94"/>
    <n v="3.14"/>
  </r>
  <r>
    <x v="1"/>
    <s v="Convenience stores"/>
    <x v="2"/>
    <s v="H&amp;I"/>
    <s v="|13/01/11|"/>
    <n v="7008"/>
    <n v="0.42"/>
    <n v="1.08"/>
  </r>
  <r>
    <x v="1"/>
    <s v="Convenience stores"/>
    <x v="2"/>
    <s v="H&amp;I"/>
    <s v="|13/01/12|"/>
    <n v="6996"/>
    <n v="0.56000000000000005"/>
    <n v="1"/>
  </r>
  <r>
    <x v="1"/>
    <s v="Convenience stores"/>
    <x v="2"/>
    <s v="H&amp;I"/>
    <s v="|13/01/13|"/>
    <n v="8016"/>
    <n v="0.42"/>
    <n v="0.96"/>
  </r>
  <r>
    <x v="1"/>
    <s v="Convenience stores"/>
    <x v="2"/>
    <s v="H&amp;I"/>
    <s v="|13/01/14|"/>
    <n v="7668"/>
    <n v="1.2"/>
    <n v="0.96"/>
  </r>
  <r>
    <x v="1"/>
    <s v="Convenience stores"/>
    <x v="2"/>
    <s v="H&amp;I"/>
    <s v="|13/01/20|"/>
    <n v="7548"/>
    <n v="0.94"/>
    <n v="1.1399999999999999"/>
  </r>
  <r>
    <x v="1"/>
    <s v="Convenience stores"/>
    <x v="2"/>
    <s v="H&amp;I"/>
    <s v="|13/02/01|"/>
    <n v="5604"/>
    <n v="0.82"/>
    <n v="1.04"/>
  </r>
  <r>
    <x v="1"/>
    <s v="Convenience stores"/>
    <x v="2"/>
    <s v="H&amp;I"/>
    <s v="|13/02/02|"/>
    <n v="8928"/>
    <n v="1.07"/>
    <n v="1.18"/>
  </r>
  <r>
    <x v="1"/>
    <s v="Convenience stores"/>
    <x v="2"/>
    <s v="H&amp;I"/>
    <s v="|13/02/03|"/>
    <n v="6456"/>
    <n v="0.73"/>
    <n v="1.0900000000000001"/>
  </r>
  <r>
    <x v="1"/>
    <s v="Convenience stores"/>
    <x v="2"/>
    <s v="H&amp;I"/>
    <s v="|13/02/04|"/>
    <n v="4992"/>
    <n v="1.17"/>
    <n v="1.1100000000000001"/>
  </r>
  <r>
    <x v="1"/>
    <s v="Convenience stores"/>
    <x v="2"/>
    <s v="H&amp;I"/>
    <s v="|13/02/10|"/>
    <n v="5364"/>
    <n v="1.05"/>
    <n v="1.0900000000000001"/>
  </r>
  <r>
    <x v="1"/>
    <s v="Convenience stores"/>
    <x v="2"/>
    <s v="H&amp;I"/>
    <s v="|13/99/50|"/>
    <n v="8280"/>
    <n v="1.1299999999999999"/>
    <n v="1.01"/>
  </r>
  <r>
    <x v="1"/>
    <s v="Convenience stores"/>
    <x v="2"/>
    <s v="H&amp;I"/>
    <s v="|13/99/52|"/>
    <n v="8316"/>
    <n v="0.88"/>
    <n v="1.03"/>
  </r>
  <r>
    <x v="1"/>
    <s v="Convenience stores"/>
    <x v="5"/>
    <s v="H&amp;I"/>
    <s v="|13/01/21|"/>
    <n v="900"/>
    <n v="1.24"/>
    <n v="1.67"/>
  </r>
  <r>
    <x v="1"/>
    <s v="Convenience stores"/>
    <x v="5"/>
    <s v="H&amp;I"/>
    <s v="|13/01/22|"/>
    <n v="816"/>
    <n v="1.5"/>
    <n v="1.76"/>
  </r>
  <r>
    <x v="1"/>
    <s v="Convenience stores"/>
    <x v="5"/>
    <s v="H&amp;I"/>
    <s v="|13/01/23|"/>
    <n v="672"/>
    <n v="1.2"/>
    <n v="1.66"/>
  </r>
  <r>
    <x v="1"/>
    <s v="Convenience stores"/>
    <x v="5"/>
    <s v="H&amp;I"/>
    <s v="|13/01/24|"/>
    <n v="612"/>
    <n v="1.29"/>
    <n v="1.75"/>
  </r>
  <r>
    <x v="1"/>
    <s v="Convenience stores"/>
    <x v="5"/>
    <s v="H&amp;I"/>
    <s v="|13/01/25|"/>
    <n v="948"/>
    <n v="1.4"/>
    <n v="1.73"/>
  </r>
  <r>
    <x v="1"/>
    <s v="Convenience stores"/>
    <x v="5"/>
    <s v="H&amp;I"/>
    <s v="|13/01/26|"/>
    <n v="1044"/>
    <n v="1.18"/>
    <n v="1.74"/>
  </r>
  <r>
    <x v="1"/>
    <s v="Convenience stores"/>
    <x v="5"/>
    <s v="H&amp;I"/>
    <s v="|13/01/27|"/>
    <n v="1032"/>
    <n v="1.46"/>
    <n v="1.72"/>
  </r>
  <r>
    <x v="1"/>
    <s v="Convenience stores"/>
    <x v="5"/>
    <s v="H&amp;I"/>
    <s v="|13/01/28|"/>
    <n v="1200"/>
    <n v="1.29"/>
    <n v="1.79"/>
  </r>
  <r>
    <x v="1"/>
    <s v="Convenience stores"/>
    <x v="5"/>
    <s v="H&amp;I"/>
    <s v="|13/01/80|"/>
    <n v="660"/>
    <n v="1.3"/>
    <n v="1.75"/>
  </r>
  <r>
    <x v="1"/>
    <s v="Convenience stores"/>
    <x v="5"/>
    <s v="H&amp;I"/>
    <s v="|13/01/81|"/>
    <n v="1092"/>
    <n v="1.2"/>
    <n v="1.61"/>
  </r>
  <r>
    <x v="1"/>
    <s v="Convenience stores"/>
    <x v="5"/>
    <s v="H&amp;I"/>
    <s v="|13/01/82|"/>
    <n v="624"/>
    <n v="1.43"/>
    <n v="1.89"/>
  </r>
  <r>
    <x v="1"/>
    <s v="Convenience stores"/>
    <x v="5"/>
    <s v="H&amp;I"/>
    <s v="|13/01/83|"/>
    <n v="1104"/>
    <n v="1.42"/>
    <n v="1.66"/>
  </r>
  <r>
    <x v="1"/>
    <s v="Convenience stores"/>
    <x v="5"/>
    <s v="H&amp;I"/>
    <s v="|13/01/84|"/>
    <n v="936"/>
    <n v="1.24"/>
    <n v="1.71"/>
  </r>
  <r>
    <x v="1"/>
    <s v="Convenience stores"/>
    <x v="5"/>
    <s v="H&amp;I"/>
    <s v="|13/01/85|"/>
    <n v="1248"/>
    <n v="1.4"/>
    <n v="1.65"/>
  </r>
  <r>
    <x v="1"/>
    <s v="Convenience stores"/>
    <x v="5"/>
    <s v="H&amp;I"/>
    <s v="|13/02/05|"/>
    <n v="852"/>
    <n v="1.32"/>
    <n v="1.65"/>
  </r>
  <r>
    <x v="1"/>
    <s v="Convenience stores"/>
    <x v="5"/>
    <s v="H&amp;I"/>
    <s v="|13/02/06|"/>
    <n v="636"/>
    <n v="1.47"/>
    <n v="1.78"/>
  </r>
  <r>
    <x v="1"/>
    <s v="Convenience stores"/>
    <x v="5"/>
    <s v="H&amp;I"/>
    <s v="|13/02/07|"/>
    <n v="804"/>
    <n v="1.31"/>
    <n v="1.83"/>
  </r>
  <r>
    <x v="1"/>
    <s v="Convenience stores"/>
    <x v="5"/>
    <s v="H&amp;I"/>
    <s v="|13/02/08|"/>
    <n v="636"/>
    <n v="1.1599999999999999"/>
    <n v="1.63"/>
  </r>
  <r>
    <x v="1"/>
    <s v="Convenience stores"/>
    <x v="5"/>
    <s v="H&amp;I"/>
    <s v="|13/02/09|"/>
    <n v="1032"/>
    <n v="1.36"/>
    <n v="1.82"/>
  </r>
  <r>
    <x v="1"/>
    <s v="Convenience stores"/>
    <x v="5"/>
    <s v="H&amp;I"/>
    <s v="|13/99/53|"/>
    <n v="828"/>
    <n v="1.48"/>
    <n v="1.67"/>
  </r>
  <r>
    <x v="1"/>
    <s v="Convenience stores"/>
    <x v="7"/>
    <s v="MM"/>
    <s v="|05/01/17|"/>
    <n v="912"/>
    <n v="2.72"/>
    <n v="3.81"/>
  </r>
  <r>
    <x v="1"/>
    <s v="Convenience stores"/>
    <x v="9"/>
    <s v="Unilever"/>
    <s v="|77/01/01|"/>
    <n v="744"/>
    <n v="1.96"/>
    <n v="2.19"/>
  </r>
  <r>
    <x v="1"/>
    <s v="Convenience stores"/>
    <x v="9"/>
    <s v="Unilever"/>
    <s v="|77/01/02|"/>
    <n v="732"/>
    <n v="1.78"/>
    <n v="2.67"/>
  </r>
  <r>
    <x v="1"/>
    <s v="Convenience stores"/>
    <x v="9"/>
    <s v="Unilever"/>
    <s v="|77/01/03|"/>
    <n v="1020"/>
    <n v="1.81"/>
    <n v="2.84"/>
  </r>
  <r>
    <x v="1"/>
    <s v="Convenience stores"/>
    <x v="9"/>
    <s v="Unilever"/>
    <s v="|77/01/04|"/>
    <n v="600"/>
    <n v="1.23"/>
    <n v="2.39"/>
  </r>
  <r>
    <x v="1"/>
    <s v="Convenience stores"/>
    <x v="9"/>
    <s v="Unilever"/>
    <s v="|77/01/05|"/>
    <n v="948"/>
    <n v="2.0499999999999998"/>
    <n v="2.11"/>
  </r>
  <r>
    <x v="1"/>
    <s v="Convenience stores"/>
    <x v="9"/>
    <s v="Unilever"/>
    <s v="|77/01/06|"/>
    <n v="720"/>
    <n v="1.23"/>
    <n v="2.38"/>
  </r>
  <r>
    <x v="1"/>
    <s v="Convenience stores"/>
    <x v="9"/>
    <s v="Unilever"/>
    <s v="|77/01/07|"/>
    <n v="1092"/>
    <n v="1.76"/>
    <n v="2.61"/>
  </r>
  <r>
    <x v="1"/>
    <s v="Convenience stores"/>
    <x v="9"/>
    <s v="Unilever"/>
    <s v="|77/01/08|"/>
    <n v="360"/>
    <n v="1.62"/>
    <n v="2.79"/>
  </r>
  <r>
    <x v="1"/>
    <s v="Convenience stores"/>
    <x v="1"/>
    <s v="M&amp;M"/>
    <s v="|84/02/02|"/>
    <n v="432"/>
    <n v="6.62"/>
    <n v="7.5466666666666669"/>
  </r>
  <r>
    <x v="1"/>
    <s v="Convenience stores"/>
    <x v="1"/>
    <s v="M&amp;M"/>
    <s v="|84/02/03|"/>
    <n v="492"/>
    <n v="6.4733333333333336"/>
    <n v="7.6466666666666665"/>
  </r>
  <r>
    <x v="1"/>
    <s v="Convenience stores"/>
    <x v="6"/>
    <s v="M&amp;M"/>
    <s v="|84/01/01|"/>
    <n v="1356"/>
    <n v="2.63"/>
    <n v="3.4"/>
  </r>
  <r>
    <x v="1"/>
    <s v="Convenience stores"/>
    <x v="6"/>
    <s v="M&amp;M"/>
    <s v="|84/01/02|"/>
    <n v="2160"/>
    <n v="2.31"/>
    <n v="3.57"/>
  </r>
  <r>
    <x v="1"/>
    <s v="Convenience stores"/>
    <x v="6"/>
    <s v="M&amp;M"/>
    <s v="|84/01/03|"/>
    <n v="2292"/>
    <n v="2.34"/>
    <n v="3.8"/>
  </r>
  <r>
    <x v="1"/>
    <s v="Convenience stores"/>
    <x v="6"/>
    <s v="M&amp;M"/>
    <s v="|84/01/04|"/>
    <n v="1512"/>
    <n v="2.37"/>
    <n v="3.94"/>
  </r>
  <r>
    <x v="1"/>
    <s v="Convenience stores"/>
    <x v="6"/>
    <s v="M&amp;M"/>
    <s v="|84/01/05|"/>
    <n v="2340"/>
    <n v="2.59"/>
    <n v="3.86"/>
  </r>
  <r>
    <x v="1"/>
    <s v="Convenience stores"/>
    <x v="6"/>
    <s v="M&amp;M"/>
    <s v="|84/01/06|"/>
    <n v="1452"/>
    <n v="2.9"/>
    <n v="3.95"/>
  </r>
  <r>
    <x v="1"/>
    <s v="Convenience stores"/>
    <x v="6"/>
    <s v="M&amp;M"/>
    <s v="|84/02/01|"/>
    <n v="1752"/>
    <n v="2.68"/>
    <n v="3.63"/>
  </r>
  <r>
    <x v="1"/>
    <s v="Convenience stores"/>
    <x v="1"/>
    <s v="Gelati italiani"/>
    <s v="|63/00/00|"/>
    <n v="516"/>
    <n v="6.6466666666666665"/>
    <n v="8.18"/>
  </r>
  <r>
    <x v="1"/>
    <s v="Convenience stores"/>
    <x v="1"/>
    <s v="Gelati italiani"/>
    <s v="|63/01/30|"/>
    <n v="468"/>
    <n v="5.4333333333333336"/>
    <n v="8.08"/>
  </r>
  <r>
    <x v="1"/>
    <s v="Convenience stores"/>
    <x v="6"/>
    <s v="Gelati italiani"/>
    <s v="|63/01/01**|"/>
    <n v="2688"/>
    <n v="2.37"/>
    <n v="3.9"/>
  </r>
  <r>
    <x v="1"/>
    <s v="Convenience stores"/>
    <x v="6"/>
    <s v="Gelati italiani"/>
    <s v="|63/01/02|"/>
    <n v="1368"/>
    <n v="2.36"/>
    <n v="3.97"/>
  </r>
  <r>
    <x v="1"/>
    <s v="Convenience stores"/>
    <x v="6"/>
    <s v="Gelati italiani"/>
    <s v="|63/01/03|"/>
    <n v="2040"/>
    <n v="2.89"/>
    <n v="3.67"/>
  </r>
  <r>
    <x v="1"/>
    <s v="Convenience stores"/>
    <x v="6"/>
    <s v="Gelati italiani"/>
    <s v="|63/01/04|"/>
    <n v="1920"/>
    <n v="2.5499999999999998"/>
    <n v="3.92"/>
  </r>
  <r>
    <x v="1"/>
    <s v="Convenience stores"/>
    <x v="6"/>
    <s v="Gelati italiani"/>
    <s v="|63/01/05|"/>
    <n v="1260"/>
    <n v="2.75"/>
    <n v="3.35"/>
  </r>
  <r>
    <x v="1"/>
    <s v="Convenience stores"/>
    <x v="6"/>
    <s v="Gelati italiani"/>
    <s v="|63/01/06|"/>
    <n v="2640"/>
    <n v="2.41"/>
    <n v="3.32"/>
  </r>
  <r>
    <x v="1"/>
    <s v="Convenience stores"/>
    <x v="6"/>
    <s v="Gelati italiani"/>
    <s v="|63/01/07|"/>
    <n v="2112"/>
    <n v="2.72"/>
    <n v="3.49"/>
  </r>
  <r>
    <x v="1"/>
    <s v="Convenience stores"/>
    <x v="6"/>
    <s v="Gelati italiani"/>
    <s v="|63/01/08|"/>
    <n v="1224"/>
    <n v="2.59"/>
    <n v="3.88"/>
  </r>
  <r>
    <x v="1"/>
    <s v="Convenience stores"/>
    <x v="6"/>
    <s v="Gelati italiani"/>
    <s v="|63/01/09|"/>
    <n v="1764"/>
    <n v="2.4500000000000002"/>
    <n v="3.83"/>
  </r>
  <r>
    <x v="1"/>
    <s v="Convenience stores"/>
    <x v="6"/>
    <s v="Gelati italiani"/>
    <s v="|63/01/10|"/>
    <n v="1560"/>
    <n v="2.4900000000000002"/>
    <n v="3.85"/>
  </r>
  <r>
    <x v="1"/>
    <s v="Convenience stores"/>
    <x v="6"/>
    <s v="Gelati italiani"/>
    <s v="|63/01/11|"/>
    <n v="2628"/>
    <n v="2.89"/>
    <n v="3.62"/>
  </r>
  <r>
    <x v="1"/>
    <s v="Convenience stores"/>
    <x v="6"/>
    <s v="Gelati italiani"/>
    <s v="|63/01/12|"/>
    <n v="1596"/>
    <n v="2.87"/>
    <n v="3.55"/>
  </r>
  <r>
    <x v="1"/>
    <s v="Convenience stores"/>
    <x v="6"/>
    <s v="Gelati italiani"/>
    <s v="|63/01/13|"/>
    <n v="1608"/>
    <n v="2.82"/>
    <n v="3.77"/>
  </r>
  <r>
    <x v="1"/>
    <s v="Convenience stores"/>
    <x v="6"/>
    <s v="Gelati italiani"/>
    <s v="|63/01/14|"/>
    <n v="1212"/>
    <n v="2.58"/>
    <n v="3.47"/>
  </r>
  <r>
    <x v="1"/>
    <s v="Convenience stores"/>
    <x v="6"/>
    <s v="Gelati italiani"/>
    <s v="|63/01/15|"/>
    <n v="1632"/>
    <n v="2.3199999999999998"/>
    <n v="3.82"/>
  </r>
  <r>
    <x v="1"/>
    <s v="Convenience stores"/>
    <x v="6"/>
    <s v="Gelati italiani"/>
    <s v="|63/01/16|"/>
    <n v="2424"/>
    <n v="2.4300000000000002"/>
    <n v="3.96"/>
  </r>
  <r>
    <x v="1"/>
    <s v="Convenience stores"/>
    <x v="6"/>
    <s v="Gelati italiani"/>
    <s v="|63/01/17|"/>
    <n v="1836"/>
    <n v="2.92"/>
    <n v="3.57"/>
  </r>
  <r>
    <x v="1"/>
    <s v="Convenience stores"/>
    <x v="6"/>
    <s v="Gelati italiani"/>
    <s v="|63/01/18|"/>
    <n v="2364"/>
    <n v="2.5499999999999998"/>
    <n v="3.55"/>
  </r>
  <r>
    <x v="1"/>
    <s v="Convenience stores"/>
    <x v="6"/>
    <s v="Gelati italiani"/>
    <s v="|63/01/19|"/>
    <n v="2220"/>
    <n v="2.93"/>
    <n v="3.65"/>
  </r>
  <r>
    <x v="1"/>
    <s v="Convenience stores"/>
    <x v="6"/>
    <s v="Gelati italiani"/>
    <s v="|63/01/20|"/>
    <n v="2400"/>
    <n v="2.58"/>
    <n v="3.74"/>
  </r>
  <r>
    <x v="1"/>
    <s v="Convenience stores"/>
    <x v="6"/>
    <s v="Gelati italiani"/>
    <s v="|63/01/20a|"/>
    <n v="1224"/>
    <n v="2.87"/>
    <n v="3.97"/>
  </r>
  <r>
    <x v="1"/>
    <s v="Convenience stores"/>
    <x v="6"/>
    <s v="Gelati italiani"/>
    <s v="|63/01/31|"/>
    <n v="1236"/>
    <n v="2.94"/>
    <n v="3.81"/>
  </r>
  <r>
    <x v="1"/>
    <s v="Convenience stores"/>
    <x v="6"/>
    <s v="Gelati italiani"/>
    <s v="|63/05/12|"/>
    <n v="2688"/>
    <n v="2.98"/>
    <n v="3.77"/>
  </r>
  <r>
    <x v="1"/>
    <s v="Convenience stores"/>
    <x v="6"/>
    <s v="Gelati italiani"/>
    <s v="|63/05/15|"/>
    <n v="1740"/>
    <n v="2.87"/>
    <n v="3.48"/>
  </r>
  <r>
    <x v="1"/>
    <s v="Convenience stores"/>
    <x v="6"/>
    <s v="Gelati italiani"/>
    <s v="|63/07/01|"/>
    <n v="1788"/>
    <n v="2.63"/>
    <n v="3.49"/>
  </r>
  <r>
    <x v="1"/>
    <s v="Convenience stores"/>
    <x v="6"/>
    <s v="Gelati italiani"/>
    <s v="|63/07/02|"/>
    <n v="2184"/>
    <n v="2.4500000000000002"/>
    <n v="3.38"/>
  </r>
  <r>
    <x v="1"/>
    <s v="Convenience stores"/>
    <x v="6"/>
    <s v="Gelati italiani"/>
    <s v="|63/07/03|"/>
    <n v="1668"/>
    <n v="2.69"/>
    <n v="3.95"/>
  </r>
  <r>
    <x v="1"/>
    <s v="Convenience stores"/>
    <x v="6"/>
    <s v="Gelati italiani"/>
    <s v="|63/02/05|"/>
    <n v="1680"/>
    <n v="2.87"/>
    <n v="3.33"/>
  </r>
  <r>
    <x v="1"/>
    <s v="Convenience stores"/>
    <x v="6"/>
    <s v="Gelati italiani"/>
    <s v="|63/02/06|"/>
    <n v="1764"/>
    <n v="2.5"/>
    <n v="3.61"/>
  </r>
  <r>
    <x v="1"/>
    <s v="Convenience stores"/>
    <x v="6"/>
    <s v="Gelati italiani"/>
    <s v="|63/02/07|"/>
    <n v="2472"/>
    <n v="2.58"/>
    <n v="3.51"/>
  </r>
  <r>
    <x v="1"/>
    <s v="Convenience stores"/>
    <x v="6"/>
    <s v="Gelati italiani"/>
    <s v="|63/02/08|"/>
    <n v="1332"/>
    <n v="2.4500000000000002"/>
    <n v="3.3"/>
  </r>
  <r>
    <x v="1"/>
    <s v="Convenience stores"/>
    <x v="6"/>
    <s v="Gelati italiani"/>
    <s v="|63/04/10|"/>
    <n v="2568"/>
    <n v="2.97"/>
    <n v="3.98"/>
  </r>
  <r>
    <x v="1"/>
    <s v="Convenience stores"/>
    <x v="6"/>
    <s v="Gelati italiani"/>
    <s v="|63/04/11|"/>
    <n v="2100"/>
    <n v="2.97"/>
    <n v="3.99"/>
  </r>
  <r>
    <x v="1"/>
    <s v="Convenience stores"/>
    <x v="6"/>
    <s v="Gelati italiani"/>
    <s v="|63/04/12|"/>
    <n v="2388"/>
    <n v="2.54"/>
    <n v="3.46"/>
  </r>
  <r>
    <x v="1"/>
    <s v="Convenience stores"/>
    <x v="6"/>
    <s v="Gelati italiani"/>
    <s v="|63/04/13|"/>
    <n v="2532"/>
    <n v="2.41"/>
    <n v="3.81"/>
  </r>
  <r>
    <x v="1"/>
    <s v="Convenience stores"/>
    <x v="6"/>
    <s v="Gelati italiani"/>
    <s v="|63/04/14|"/>
    <n v="1524"/>
    <n v="2.9"/>
    <n v="3.61"/>
  </r>
  <r>
    <x v="1"/>
    <s v="Convenience stores"/>
    <x v="6"/>
    <s v="Gelati italiani"/>
    <s v="|63/05/13|"/>
    <n v="2412"/>
    <n v="2.88"/>
    <n v="3.88"/>
  </r>
  <r>
    <x v="1"/>
    <s v="Convenience stores"/>
    <x v="6"/>
    <s v="Gelati italiani"/>
    <s v="|63/05/14|"/>
    <n v="2292"/>
    <n v="2.87"/>
    <n v="3.67"/>
  </r>
  <r>
    <x v="1"/>
    <s v="Convenience stores"/>
    <x v="6"/>
    <s v="Gelati italiani"/>
    <s v="|63/05/16|"/>
    <n v="1560"/>
    <n v="2.6"/>
    <n v="3.53"/>
  </r>
  <r>
    <x v="1"/>
    <s v="Convenience stores"/>
    <x v="6"/>
    <s v="Gelati italiani"/>
    <s v="|63/06/01|"/>
    <n v="2652"/>
    <n v="2.37"/>
    <n v="3.37"/>
  </r>
  <r>
    <x v="1"/>
    <s v="Convenience stores"/>
    <x v="6"/>
    <s v="Gelati italiani"/>
    <s v="|63/06/02|"/>
    <n v="2400"/>
    <n v="2.82"/>
    <n v="3.87"/>
  </r>
  <r>
    <x v="1"/>
    <s v="Convenience stores"/>
    <x v="6"/>
    <s v="Gelati italiani"/>
    <s v="|63/06/03|"/>
    <n v="2628"/>
    <n v="2.66"/>
    <n v="3.88"/>
  </r>
  <r>
    <x v="1"/>
    <s v="Convenience stores"/>
    <x v="6"/>
    <s v="Gelati italiani"/>
    <s v="|63/06/04|"/>
    <n v="1260"/>
    <n v="2.68"/>
    <n v="3.8"/>
  </r>
  <r>
    <x v="1"/>
    <s v="Convenience stores"/>
    <x v="6"/>
    <s v="Gelati italiani"/>
    <s v="|63/08/01|"/>
    <n v="2412"/>
    <n v="2.92"/>
    <n v="3.31"/>
  </r>
  <r>
    <x v="1"/>
    <s v="Convenience stores"/>
    <x v="6"/>
    <s v="Gelati italiani"/>
    <s v="|63/08/02|"/>
    <n v="1824"/>
    <n v="2.41"/>
    <n v="3.36"/>
  </r>
  <r>
    <x v="1"/>
    <s v="Convenience stores"/>
    <x v="6"/>
    <s v="Gelati italiani"/>
    <s v="|63/09/01|"/>
    <n v="2064"/>
    <n v="2.5499999999999998"/>
    <n v="3.95"/>
  </r>
  <r>
    <x v="1"/>
    <s v="Convenience stores"/>
    <x v="6"/>
    <s v="Gelati italiani"/>
    <s v="|63/09/02|"/>
    <n v="1308"/>
    <n v="2.78"/>
    <n v="3.5"/>
  </r>
  <r>
    <x v="1"/>
    <s v="Convenience stores"/>
    <x v="6"/>
    <s v="Gelati italiani"/>
    <s v="|63/09/03|"/>
    <n v="1896"/>
    <n v="2.34"/>
    <n v="3.97"/>
  </r>
  <r>
    <x v="1"/>
    <s v="Convenience stores"/>
    <x v="6"/>
    <s v="Gelati italiani"/>
    <s v="|63/09/04|"/>
    <n v="1848"/>
    <n v="2.83"/>
    <n v="3.67"/>
  </r>
  <r>
    <x v="1"/>
    <s v="Convenience stores"/>
    <x v="6"/>
    <s v="Gelati italiani"/>
    <s v="|63/10/01|"/>
    <n v="1920"/>
    <n v="2.33"/>
    <n v="3.58"/>
  </r>
  <r>
    <x v="1"/>
    <s v="Convenience stores"/>
    <x v="4"/>
    <s v="Maybelline"/>
    <s v="|31/01/01|"/>
    <n v="312"/>
    <n v="4.38"/>
    <n v="5.33"/>
  </r>
  <r>
    <x v="1"/>
    <s v="Convenience stores"/>
    <x v="4"/>
    <s v="Maybelline"/>
    <s v="|31/01/02|"/>
    <n v="612"/>
    <n v="5"/>
    <n v="5.33"/>
  </r>
  <r>
    <x v="1"/>
    <s v="Convenience stores"/>
    <x v="4"/>
    <s v="Maybelline"/>
    <s v="|31/01/03|"/>
    <n v="600"/>
    <n v="4.8"/>
    <n v="5"/>
  </r>
  <r>
    <x v="1"/>
    <s v="Convenience stores"/>
    <x v="4"/>
    <s v="Maybelline"/>
    <s v="|31/01/04|"/>
    <n v="504"/>
    <n v="4.8"/>
    <n v="5.08"/>
  </r>
  <r>
    <x v="1"/>
    <s v="Convenience stores"/>
    <x v="4"/>
    <s v="Maybelline"/>
    <s v="|31/01/05|"/>
    <n v="480"/>
    <n v="4.43"/>
    <n v="5"/>
  </r>
  <r>
    <x v="1"/>
    <s v="Convenience stores"/>
    <x v="4"/>
    <s v="Maybelline"/>
    <s v="|31/01/06|"/>
    <n v="396"/>
    <n v="4.7"/>
    <n v="5.34"/>
  </r>
  <r>
    <x v="1"/>
    <s v="Convenience stores"/>
    <x v="4"/>
    <s v="Maybelline"/>
    <s v="|31/01/07|"/>
    <n v="240"/>
    <n v="4.3"/>
    <n v="5.13"/>
  </r>
  <r>
    <x v="1"/>
    <s v="Convenience stores"/>
    <x v="4"/>
    <s v="Maybelline"/>
    <s v="|31/01/08|"/>
    <n v="420"/>
    <n v="4.28"/>
    <n v="5.3"/>
  </r>
  <r>
    <x v="1"/>
    <s v="Convenience stores"/>
    <x v="4"/>
    <s v="Maybelline"/>
    <s v="|31/01/09|"/>
    <n v="276"/>
    <n v="4.74"/>
    <n v="5.28"/>
  </r>
  <r>
    <x v="1"/>
    <s v="Convenience stores"/>
    <x v="4"/>
    <s v="Maybelline"/>
    <s v="|31/01/10|"/>
    <n v="684"/>
    <n v="4.22"/>
    <n v="5.4"/>
  </r>
  <r>
    <x v="1"/>
    <s v="Convenience stores"/>
    <x v="4"/>
    <s v="Maybelline"/>
    <s v="|31/01/11|"/>
    <n v="252"/>
    <n v="4.1900000000000004"/>
    <n v="5.24"/>
  </r>
  <r>
    <x v="1"/>
    <s v="Convenience stores"/>
    <x v="4"/>
    <s v="Maybelline"/>
    <s v="|31/01/12|"/>
    <n v="672"/>
    <n v="4.71"/>
    <n v="5.32"/>
  </r>
  <r>
    <x v="1"/>
    <s v="Convenience stores"/>
    <x v="4"/>
    <s v="Maybelline"/>
    <s v="|31/01/13|"/>
    <n v="384"/>
    <n v="4.92"/>
    <n v="5.3"/>
  </r>
  <r>
    <x v="1"/>
    <s v="Convenience stores"/>
    <x v="4"/>
    <s v="Maybelline"/>
    <s v="|31/01/14|"/>
    <n v="312"/>
    <n v="4.01"/>
    <n v="5.33"/>
  </r>
  <r>
    <x v="1"/>
    <s v="Convenience stores"/>
    <x v="4"/>
    <s v="Maybelline"/>
    <s v="|31/01/15|"/>
    <n v="648"/>
    <n v="4.6500000000000004"/>
    <n v="5.36"/>
  </r>
  <r>
    <x v="1"/>
    <s v="Convenience stores"/>
    <x v="4"/>
    <s v="Maybelline"/>
    <s v="|31/01/16|"/>
    <n v="240"/>
    <n v="4.9400000000000004"/>
    <n v="5.3"/>
  </r>
  <r>
    <x v="1"/>
    <s v="Convenience stores"/>
    <x v="4"/>
    <s v="Maybelline"/>
    <s v="|31/01/17|"/>
    <n v="492"/>
    <n v="4.5599999999999996"/>
    <n v="5.19"/>
  </r>
  <r>
    <x v="1"/>
    <s v="Convenience stores"/>
    <x v="4"/>
    <s v="Maybelline"/>
    <s v="|31/01/18|"/>
    <n v="264"/>
    <n v="4.74"/>
    <n v="5.35"/>
  </r>
  <r>
    <x v="1"/>
    <s v="Convenience stores"/>
    <x v="4"/>
    <s v="Maybelline"/>
    <s v="|31/01/20|"/>
    <n v="300"/>
    <n v="4.93"/>
    <n v="5.14"/>
  </r>
  <r>
    <x v="1"/>
    <s v="Convenience stores"/>
    <x v="4"/>
    <s v="Maybelline"/>
    <s v="|31/01/21|"/>
    <n v="264"/>
    <n v="4.51"/>
    <n v="5.21"/>
  </r>
  <r>
    <x v="1"/>
    <s v="Convenience stores"/>
    <x v="4"/>
    <s v="Maybelline"/>
    <s v="|31/01/22|"/>
    <n v="636"/>
    <n v="4.88"/>
    <n v="5.23"/>
  </r>
  <r>
    <x v="1"/>
    <s v="Convenience stores"/>
    <x v="4"/>
    <s v="Maybelline"/>
    <s v="|31/01/23|"/>
    <n v="480"/>
    <n v="4.2300000000000004"/>
    <n v="5.21"/>
  </r>
  <r>
    <x v="1"/>
    <s v="Convenience stores"/>
    <x v="4"/>
    <s v="Maybelline"/>
    <s v="|31/01/24|"/>
    <n v="588"/>
    <n v="4.43"/>
    <n v="5.38"/>
  </r>
  <r>
    <x v="1"/>
    <s v="Convenience stores"/>
    <x v="4"/>
    <s v="Maybelline"/>
    <s v="|31/01/30|"/>
    <n v="408"/>
    <n v="4.33"/>
    <n v="5.31"/>
  </r>
  <r>
    <x v="1"/>
    <s v="Convenience stores"/>
    <x v="4"/>
    <s v="Maybelline"/>
    <s v="|31/01/31|"/>
    <n v="708"/>
    <n v="4.1100000000000003"/>
    <n v="5.05"/>
  </r>
  <r>
    <x v="1"/>
    <s v="Convenience stores"/>
    <x v="4"/>
    <s v="Maybelline"/>
    <s v="|31/01/32|"/>
    <n v="408"/>
    <n v="4.7300000000000004"/>
    <n v="5.37"/>
  </r>
  <r>
    <x v="1"/>
    <s v="Convenience stores"/>
    <x v="4"/>
    <s v="Maybelline"/>
    <s v="|31/01/33|"/>
    <n v="324"/>
    <n v="4.01"/>
    <n v="5.1100000000000003"/>
  </r>
  <r>
    <x v="1"/>
    <s v="Convenience stores"/>
    <x v="4"/>
    <s v="Maybelline"/>
    <s v="|31/01/34|"/>
    <n v="516"/>
    <n v="4.4000000000000004"/>
    <n v="5.04"/>
  </r>
  <r>
    <x v="1"/>
    <s v="Convenience stores"/>
    <x v="4"/>
    <s v="Maybelline"/>
    <s v="|31/01/35|"/>
    <n v="540"/>
    <n v="4.24"/>
    <n v="5.35"/>
  </r>
  <r>
    <x v="1"/>
    <s v="Convenience stores"/>
    <x v="4"/>
    <s v="Maybelline"/>
    <s v="|31/01/36|"/>
    <n v="300"/>
    <n v="4.9400000000000004"/>
    <n v="5.2"/>
  </r>
  <r>
    <x v="1"/>
    <s v="Convenience stores"/>
    <x v="4"/>
    <s v="Maybelline"/>
    <s v="|31/01/37|"/>
    <n v="408"/>
    <n v="4.25"/>
    <n v="5"/>
  </r>
  <r>
    <x v="1"/>
    <s v="Convenience stores"/>
    <x v="4"/>
    <s v="Maybelline"/>
    <s v="|31/01/38|"/>
    <n v="300"/>
    <n v="4.0599999999999996"/>
    <n v="5.35"/>
  </r>
  <r>
    <x v="1"/>
    <s v="Convenience stores"/>
    <x v="4"/>
    <s v="Maybelline"/>
    <s v="|31/01/39|"/>
    <n v="336"/>
    <n v="4.8600000000000003"/>
    <n v="5.36"/>
  </r>
  <r>
    <x v="1"/>
    <s v="Convenience stores"/>
    <x v="4"/>
    <s v="Maybelline"/>
    <s v="|31/01/40|"/>
    <n v="360"/>
    <n v="4.4400000000000004"/>
    <n v="5.23"/>
  </r>
  <r>
    <x v="1"/>
    <s v="Convenience stores"/>
    <x v="4"/>
    <s v="Maybelline"/>
    <s v="|31/01/41|"/>
    <n v="516"/>
    <n v="4.72"/>
    <n v="5.2"/>
  </r>
  <r>
    <x v="1"/>
    <s v="Convenience stores"/>
    <x v="4"/>
    <s v="Maybelline"/>
    <s v="|31/01/42|"/>
    <n v="300"/>
    <n v="4.46"/>
    <n v="5.23"/>
  </r>
  <r>
    <x v="1"/>
    <s v="Convenience stores"/>
    <x v="4"/>
    <s v="Maybelline"/>
    <s v="|31/02/01|"/>
    <n v="684"/>
    <n v="4.6399999999999997"/>
    <n v="5.1100000000000003"/>
  </r>
  <r>
    <x v="1"/>
    <s v="Convenience stores"/>
    <x v="4"/>
    <s v="Maybelline"/>
    <s v="|31/02/02|"/>
    <n v="300"/>
    <n v="4.93"/>
    <n v="5.12"/>
  </r>
  <r>
    <x v="1"/>
    <s v="Convenience stores"/>
    <x v="4"/>
    <s v="Maybelline"/>
    <s v="|31/02/03|"/>
    <n v="480"/>
    <n v="4.9000000000000004"/>
    <n v="5.4"/>
  </r>
  <r>
    <x v="1"/>
    <s v="Convenience stores"/>
    <x v="4"/>
    <s v="Maybelline"/>
    <s v="|31/02/04|"/>
    <n v="720"/>
    <n v="4.84"/>
    <n v="5.25"/>
  </r>
  <r>
    <x v="1"/>
    <s v="Convenience stores"/>
    <x v="10"/>
    <s v="Bavarian specialties"/>
    <s v="|86/01/01|"/>
    <n v="516"/>
    <n v="3.64"/>
    <n v="6.76"/>
  </r>
  <r>
    <x v="1"/>
    <s v="Convenience stores"/>
    <x v="10"/>
    <s v="Bavarian specialties"/>
    <s v="|86/01/02|"/>
    <n v="468"/>
    <n v="4.75"/>
    <n v="5.93"/>
  </r>
  <r>
    <x v="1"/>
    <s v="Convenience stores"/>
    <x v="10"/>
    <s v="Bavarian specialties"/>
    <s v="|86/01/03|"/>
    <n v="384"/>
    <n v="4.13"/>
    <n v="5.46"/>
  </r>
  <r>
    <x v="1"/>
    <s v="Convenience stores"/>
    <x v="10"/>
    <s v="Bavarian specialties"/>
    <s v="|86/01/04|"/>
    <n v="504"/>
    <n v="3.68"/>
    <n v="6.82"/>
  </r>
  <r>
    <x v="1"/>
    <s v="Convenience stores"/>
    <x v="10"/>
    <s v="Bavarian specialties"/>
    <s v="|86/01/05|"/>
    <n v="432"/>
    <n v="4.2300000000000004"/>
    <n v="5.53"/>
  </r>
  <r>
    <x v="1"/>
    <s v="Convenience stores"/>
    <x v="10"/>
    <s v="Bavarian specialties"/>
    <s v="|86/01/06|"/>
    <n v="408"/>
    <n v="4.5999999999999996"/>
    <n v="5.15"/>
  </r>
  <r>
    <x v="1"/>
    <s v="Convenience stores"/>
    <x v="10"/>
    <s v="Bavarian specialties"/>
    <s v="|86/01/21|"/>
    <n v="396"/>
    <n v="3.08"/>
    <n v="6.51"/>
  </r>
  <r>
    <x v="1"/>
    <s v="Convenience stores"/>
    <x v="10"/>
    <s v="Bavarian specialties"/>
    <s v="|86/01/22|"/>
    <n v="396"/>
    <n v="4.57"/>
    <n v="6.53"/>
  </r>
  <r>
    <x v="1"/>
    <s v="Convenience stores"/>
    <x v="10"/>
    <s v="Bavarian specialties"/>
    <s v="|86/01/23|"/>
    <n v="408"/>
    <n v="3.85"/>
    <n v="6.09"/>
  </r>
  <r>
    <x v="1"/>
    <s v="Convenience stores"/>
    <x v="10"/>
    <s v="Bavarian specialties"/>
    <s v="|86/01/31|"/>
    <n v="396"/>
    <n v="3.51"/>
    <n v="6.85"/>
  </r>
  <r>
    <x v="1"/>
    <s v="Convenience stores"/>
    <x v="10"/>
    <s v="Bavarian specialties"/>
    <s v="|86/01/32|"/>
    <n v="372"/>
    <n v="3.19"/>
    <n v="6.13"/>
  </r>
  <r>
    <x v="1"/>
    <s v="Convenience stores"/>
    <x v="10"/>
    <s v="Bavarian specialties"/>
    <s v="|86/01/33|"/>
    <n v="384"/>
    <n v="3.68"/>
    <n v="5.05"/>
  </r>
  <r>
    <x v="1"/>
    <s v="Convenience stores"/>
    <x v="10"/>
    <s v="Bavarian specialties"/>
    <s v="|86/01/34|"/>
    <n v="492"/>
    <n v="3.85"/>
    <n v="5.17"/>
  </r>
  <r>
    <x v="1"/>
    <s v="Convenience stores"/>
    <x v="10"/>
    <s v="Bavarian specialties"/>
    <s v="|86/01/35|"/>
    <n v="384"/>
    <n v="4.05"/>
    <n v="5.0199999999999996"/>
  </r>
  <r>
    <x v="1"/>
    <s v="Convenience stores"/>
    <x v="10"/>
    <s v="Bavarian specialties"/>
    <s v="|86/01/41|"/>
    <n v="384"/>
    <n v="4.7699999999999996"/>
    <n v="6.91"/>
  </r>
  <r>
    <x v="1"/>
    <s v="Convenience stores"/>
    <x v="10"/>
    <s v="Bavarian specialties"/>
    <s v="|86/01/42|"/>
    <n v="384"/>
    <n v="4.4000000000000004"/>
    <n v="6.25"/>
  </r>
  <r>
    <x v="1"/>
    <s v="Convenience stores"/>
    <x v="10"/>
    <s v="Bavarian specialties"/>
    <s v="|86/01/43|"/>
    <n v="384"/>
    <n v="4.13"/>
    <n v="6.48"/>
  </r>
  <r>
    <x v="1"/>
    <s v="Convenience stores"/>
    <x v="10"/>
    <s v="Bavarian specialties"/>
    <s v="|86/01/44|"/>
    <n v="408"/>
    <n v="3.74"/>
    <n v="6.04"/>
  </r>
  <r>
    <x v="1"/>
    <s v="Convenience stores"/>
    <x v="10"/>
    <s v="Bavarian specialties"/>
    <s v="|86/01/45|"/>
    <n v="516"/>
    <n v="4.43"/>
    <n v="6.5"/>
  </r>
  <r>
    <x v="1"/>
    <s v="Convenience stores"/>
    <x v="10"/>
    <s v="Bavarian specialties"/>
    <s v="|86/01/51|"/>
    <n v="504"/>
    <n v="3.1"/>
    <n v="6.18"/>
  </r>
  <r>
    <x v="1"/>
    <s v="Convenience stores"/>
    <x v="10"/>
    <s v="Bavarian specialties"/>
    <s v="|86/01/52|"/>
    <n v="360"/>
    <n v="4.74"/>
    <n v="6.98"/>
  </r>
  <r>
    <x v="1"/>
    <s v="Convenience stores"/>
    <x v="10"/>
    <s v="Bavarian specialties"/>
    <s v="|86/01/53|"/>
    <n v="396"/>
    <n v="3.66"/>
    <n v="6.12"/>
  </r>
  <r>
    <x v="1"/>
    <s v="Convenience stores"/>
    <x v="10"/>
    <s v="Bavarian specialties"/>
    <s v="|86/01/54|"/>
    <n v="432"/>
    <n v="3.3"/>
    <n v="6.11"/>
  </r>
  <r>
    <x v="1"/>
    <s v="Convenience stores"/>
    <x v="10"/>
    <s v="Bavarian specialties"/>
    <s v="|86/01/55|"/>
    <n v="408"/>
    <n v="3.46"/>
    <n v="5.53"/>
  </r>
  <r>
    <x v="1"/>
    <s v="Convenience stores"/>
    <x v="10"/>
    <s v="Bavarian specialties"/>
    <s v="|86/01/56|"/>
    <n v="360"/>
    <n v="4.5"/>
    <n v="5.8"/>
  </r>
  <r>
    <x v="1"/>
    <s v="Convenience stores"/>
    <x v="10"/>
    <s v="Bavarian specialties"/>
    <s v="|86/01/57|"/>
    <n v="528"/>
    <n v="3.37"/>
    <n v="5.8"/>
  </r>
  <r>
    <x v="1"/>
    <s v="Convenience stores"/>
    <x v="10"/>
    <s v="Bavarian specialties"/>
    <s v="|86/01/58|"/>
    <n v="516"/>
    <n v="4.47"/>
    <n v="5.94"/>
  </r>
  <r>
    <x v="1"/>
    <s v="Convenience stores"/>
    <x v="10"/>
    <s v="Bavarian specialties"/>
    <s v="|86/01/59|"/>
    <n v="408"/>
    <n v="4.93"/>
    <n v="5.55"/>
  </r>
  <r>
    <x v="1"/>
    <s v="Convenience stores"/>
    <x v="10"/>
    <s v="Bavarian specialties"/>
    <s v="|86/01/60|"/>
    <n v="396"/>
    <n v="3.36"/>
    <n v="5.82"/>
  </r>
  <r>
    <x v="1"/>
    <s v="Convenience stores"/>
    <x v="10"/>
    <s v="Bavarian specialties"/>
    <s v="|86/01/70|"/>
    <n v="432"/>
    <n v="4.5999999999999996"/>
    <n v="6.69"/>
  </r>
  <r>
    <x v="1"/>
    <s v="Convenience stores"/>
    <x v="10"/>
    <s v="Bavarian specialties"/>
    <s v="|86/01/71|"/>
    <n v="528"/>
    <n v="4.55"/>
    <n v="5.0999999999999996"/>
  </r>
  <r>
    <x v="1"/>
    <s v="Convenience stores"/>
    <x v="10"/>
    <s v="Bavarian specialties"/>
    <s v="|86/01/80|"/>
    <n v="420"/>
    <n v="3.23"/>
    <n v="5.77"/>
  </r>
  <r>
    <x v="1"/>
    <s v="Convenience stores"/>
    <x v="10"/>
    <s v="Bavarian specialties"/>
    <s v="|86/01/81|"/>
    <n v="396"/>
    <n v="3"/>
    <n v="6.49"/>
  </r>
  <r>
    <x v="1"/>
    <s v="Convenience stores"/>
    <x v="10"/>
    <s v="Bavarian specialties"/>
    <s v="|86/01/82|"/>
    <n v="444"/>
    <n v="4.6100000000000003"/>
    <n v="5.28"/>
  </r>
  <r>
    <x v="1"/>
    <s v="Convenience stores"/>
    <x v="7"/>
    <s v="Freshco"/>
    <s v="|99/05/18|"/>
    <n v="696"/>
    <n v="2.79"/>
    <n v="3.51"/>
  </r>
  <r>
    <x v="1"/>
    <s v="Convenience stores"/>
    <x v="7"/>
    <s v="Freshco"/>
    <s v="|99/05/10|"/>
    <n v="1176"/>
    <n v="2.21"/>
    <n v="3.2"/>
  </r>
  <r>
    <x v="1"/>
    <s v="Convenience stores"/>
    <x v="7"/>
    <s v="Freshco"/>
    <s v="|99/05/21|"/>
    <n v="672"/>
    <n v="2.82"/>
    <n v="3.38"/>
  </r>
  <r>
    <x v="1"/>
    <s v="Convenience stores"/>
    <x v="7"/>
    <s v="Freshco"/>
    <s v="|99/05/22|"/>
    <n v="612"/>
    <n v="2.82"/>
    <n v="3.69"/>
  </r>
  <r>
    <x v="1"/>
    <s v="Convenience stores"/>
    <x v="7"/>
    <s v="Freshco"/>
    <s v="|99/05/23|"/>
    <n v="1080"/>
    <n v="2.76"/>
    <n v="3.22"/>
  </r>
  <r>
    <x v="1"/>
    <s v="Convenience stores"/>
    <x v="7"/>
    <s v="Freshco"/>
    <s v="|99/05/24|"/>
    <n v="960"/>
    <n v="2.4500000000000002"/>
    <n v="3.3"/>
  </r>
  <r>
    <x v="1"/>
    <s v="Convenience stores"/>
    <x v="7"/>
    <s v="Freshco"/>
    <s v="|99/05/26|"/>
    <n v="840"/>
    <n v="2.99"/>
    <n v="3.88"/>
  </r>
  <r>
    <x v="1"/>
    <s v="Convenience stores"/>
    <x v="7"/>
    <s v="Freshco"/>
    <s v="|99/05/28|"/>
    <n v="672"/>
    <n v="2.27"/>
    <n v="3.99"/>
  </r>
  <r>
    <x v="1"/>
    <s v="Convenience stores"/>
    <x v="7"/>
    <s v="Freshco"/>
    <s v="|99/05/43|"/>
    <n v="888"/>
    <n v="2.82"/>
    <n v="3.42"/>
  </r>
  <r>
    <x v="1"/>
    <s v="Convenience stores"/>
    <x v="7"/>
    <s v="Freshco"/>
    <s v="|99/05/135|"/>
    <n v="1008"/>
    <n v="2.65"/>
    <n v="3.56"/>
  </r>
  <r>
    <x v="1"/>
    <s v="Convenience stores"/>
    <x v="7"/>
    <s v="Freshco"/>
    <s v="|99/05/48|"/>
    <n v="768"/>
    <n v="2.1"/>
    <n v="3.91"/>
  </r>
  <r>
    <x v="1"/>
    <s v="Convenience stores"/>
    <x v="7"/>
    <s v="Freshco"/>
    <s v="|99/05/49|"/>
    <n v="672"/>
    <n v="2.09"/>
    <n v="3.93"/>
  </r>
  <r>
    <x v="1"/>
    <s v="Convenience stores"/>
    <x v="7"/>
    <s v="Freshco"/>
    <s v="|99/05/50|"/>
    <n v="1104"/>
    <n v="2.19"/>
    <n v="3.56"/>
  </r>
  <r>
    <x v="1"/>
    <s v="Convenience stores"/>
    <x v="7"/>
    <s v="Freshco"/>
    <s v="|99/05/52|"/>
    <n v="1008"/>
    <n v="2"/>
    <n v="3.66"/>
  </r>
  <r>
    <x v="1"/>
    <s v="Convenience stores"/>
    <x v="7"/>
    <s v="Freshco"/>
    <s v="|99/05/53|"/>
    <n v="732"/>
    <n v="2.68"/>
    <n v="3.98"/>
  </r>
  <r>
    <x v="1"/>
    <s v="Convenience stores"/>
    <x v="7"/>
    <s v="Freshco"/>
    <s v="|99/05/54|"/>
    <n v="1176"/>
    <n v="2.6"/>
    <n v="3.44"/>
  </r>
  <r>
    <x v="1"/>
    <s v="Convenience stores"/>
    <x v="7"/>
    <s v="Freshco"/>
    <s v="|99/05/57|"/>
    <n v="1116"/>
    <n v="2.91"/>
    <n v="3.52"/>
  </r>
  <r>
    <x v="1"/>
    <s v="Convenience stores"/>
    <x v="7"/>
    <s v="Freshco"/>
    <s v="|99/05/60|"/>
    <n v="648"/>
    <n v="2.36"/>
    <n v="3.5"/>
  </r>
  <r>
    <x v="1"/>
    <s v="Convenience stores"/>
    <x v="7"/>
    <s v="Freshco"/>
    <s v="|99/05/62|"/>
    <n v="948"/>
    <n v="2.98"/>
    <n v="3.87"/>
  </r>
  <r>
    <x v="1"/>
    <s v="Convenience stores"/>
    <x v="7"/>
    <s v="Freshco"/>
    <s v="|99/05/68|"/>
    <n v="612"/>
    <n v="2.69"/>
    <n v="3.43"/>
  </r>
  <r>
    <x v="1"/>
    <s v="Convenience stores"/>
    <x v="7"/>
    <s v="Freshco"/>
    <s v="|99/05/70|"/>
    <n v="840"/>
    <n v="2.88"/>
    <n v="3.63"/>
  </r>
  <r>
    <x v="1"/>
    <s v="Convenience stores"/>
    <x v="7"/>
    <s v="Freshco"/>
    <s v="|99/05/93|"/>
    <n v="1080"/>
    <n v="2.66"/>
    <n v="3.89"/>
  </r>
  <r>
    <x v="1"/>
    <s v="Convenience stores"/>
    <x v="7"/>
    <s v="Freshco"/>
    <s v="|99/05/94|"/>
    <n v="1080"/>
    <n v="2.68"/>
    <n v="3.7"/>
  </r>
  <r>
    <x v="1"/>
    <s v="Convenience stores"/>
    <x v="7"/>
    <s v="Freshco"/>
    <s v="|99/05/98|"/>
    <n v="1092"/>
    <n v="2.3199999999999998"/>
    <n v="3.38"/>
  </r>
  <r>
    <x v="1"/>
    <s v="Convenience stores"/>
    <x v="7"/>
    <s v="Freshco"/>
    <s v="|99/05/106|"/>
    <n v="1044"/>
    <n v="2.5"/>
    <n v="3.66"/>
  </r>
  <r>
    <x v="1"/>
    <s v="Convenience stores"/>
    <x v="7"/>
    <s v="Freshco"/>
    <s v="|99/05/107|"/>
    <n v="960"/>
    <n v="2.66"/>
    <n v="3.95"/>
  </r>
  <r>
    <x v="1"/>
    <s v="Convenience stores"/>
    <x v="7"/>
    <s v="Freshco"/>
    <s v="|99/05/124|"/>
    <n v="972"/>
    <n v="2.39"/>
    <n v="3.93"/>
  </r>
  <r>
    <x v="1"/>
    <s v="Convenience stores"/>
    <x v="7"/>
    <s v="Freshco"/>
    <s v="|99/05/133|"/>
    <n v="840"/>
    <n v="2.74"/>
    <n v="3.3"/>
  </r>
  <r>
    <x v="1"/>
    <s v="Convenience stores"/>
    <x v="7"/>
    <s v="Freshco"/>
    <s v="|99/05/136|"/>
    <n v="1008"/>
    <n v="2.35"/>
    <n v="3.87"/>
  </r>
  <r>
    <x v="1"/>
    <s v="Convenience stores"/>
    <x v="7"/>
    <s v="Freshco"/>
    <s v="|99/05/139|"/>
    <n v="672"/>
    <n v="2.4900000000000002"/>
    <n v="3.84"/>
  </r>
  <r>
    <x v="1"/>
    <s v="Convenience stores"/>
    <x v="7"/>
    <s v="Freshco"/>
    <s v="|99/05/140|"/>
    <n v="960"/>
    <n v="2.63"/>
    <n v="3.64"/>
  </r>
  <r>
    <x v="1"/>
    <s v="Convenience stores"/>
    <x v="7"/>
    <s v="Freshco"/>
    <s v="|99/05/141|"/>
    <n v="1152"/>
    <n v="2.77"/>
    <n v="3.77"/>
  </r>
  <r>
    <x v="1"/>
    <s v="Convenience stores"/>
    <x v="3"/>
    <s v="Ortalli"/>
    <s v="|92/02/02|"/>
    <n v="96"/>
    <n v="1"/>
    <n v="1.21"/>
  </r>
  <r>
    <x v="1"/>
    <s v="Convenience stores"/>
    <x v="3"/>
    <s v="Ortalli"/>
    <s v="|93/01/01|"/>
    <n v="72"/>
    <n v="1.1499999999999999"/>
    <n v="1.29"/>
  </r>
  <r>
    <x v="1"/>
    <s v="Convenience stores"/>
    <x v="3"/>
    <s v="Ortalli"/>
    <s v="|93/01/02|"/>
    <n v="144"/>
    <n v="1.03"/>
    <n v="1.34"/>
  </r>
  <r>
    <x v="1"/>
    <s v="Convenience stores"/>
    <x v="3"/>
    <s v="Ortalli"/>
    <s v="|93/01/03|"/>
    <n v="204"/>
    <n v="1.07"/>
    <n v="1.22"/>
  </r>
  <r>
    <x v="1"/>
    <s v="Convenience stores"/>
    <x v="3"/>
    <s v="Ortalli"/>
    <s v="|93/01/04|"/>
    <n v="192"/>
    <n v="1"/>
    <n v="1.2"/>
  </r>
  <r>
    <x v="1"/>
    <s v="Convenience stores"/>
    <x v="3"/>
    <s v="Ortalli"/>
    <s v="|93/01/05|"/>
    <n v="72"/>
    <n v="1.2"/>
    <n v="1.24"/>
  </r>
  <r>
    <x v="1"/>
    <s v="Convenience stores"/>
    <x v="3"/>
    <s v="Ortalli"/>
    <s v="|93/01/06|"/>
    <n v="96"/>
    <n v="1.1399999999999999"/>
    <n v="1.26"/>
  </r>
  <r>
    <x v="1"/>
    <s v="Convenience stores"/>
    <x v="3"/>
    <s v="Ortalli"/>
    <s v="|93/01/07|"/>
    <n v="180"/>
    <n v="1.07"/>
    <n v="1.34"/>
  </r>
  <r>
    <x v="1"/>
    <s v="Convenience stores"/>
    <x v="3"/>
    <s v="Ortalli"/>
    <s v="|93/01/08|"/>
    <n v="168"/>
    <n v="1.06"/>
    <n v="1.33"/>
  </r>
  <r>
    <x v="1"/>
    <s v="Convenience stores"/>
    <x v="3"/>
    <s v="Ortalli"/>
    <s v="|93/01/09|"/>
    <n v="84"/>
    <n v="1.1599999999999999"/>
    <n v="1.32"/>
  </r>
  <r>
    <x v="1"/>
    <s v="Convenience stores"/>
    <x v="3"/>
    <s v="Ortalli"/>
    <s v="|93/01/10|"/>
    <n v="180"/>
    <n v="1.1299999999999999"/>
    <n v="1.33"/>
  </r>
  <r>
    <x v="1"/>
    <s v="Convenience stores"/>
    <x v="3"/>
    <s v="Ortalli"/>
    <s v="|93/01/11|"/>
    <n v="72"/>
    <n v="1.1499999999999999"/>
    <n v="1.33"/>
  </r>
  <r>
    <x v="1"/>
    <s v="Convenience stores"/>
    <x v="3"/>
    <s v="Ortalli"/>
    <s v="|93/02/01|"/>
    <n v="96"/>
    <n v="1.05"/>
    <n v="1.25"/>
  </r>
  <r>
    <x v="1"/>
    <s v="Convenience stores"/>
    <x v="10"/>
    <s v="The food world"/>
    <s v="|90/00/01|"/>
    <n v="444"/>
    <n v="3.08"/>
    <n v="5.9"/>
  </r>
  <r>
    <x v="1"/>
    <s v="Convenience stores"/>
    <x v="10"/>
    <s v="The food world"/>
    <s v="|90/00/02|"/>
    <n v="360"/>
    <n v="3.96"/>
    <n v="5.13"/>
  </r>
  <r>
    <x v="1"/>
    <s v="Convenience stores"/>
    <x v="10"/>
    <s v="The food world"/>
    <s v="|90/00/03|"/>
    <n v="396"/>
    <n v="3.02"/>
    <n v="6.08"/>
  </r>
  <r>
    <x v="1"/>
    <s v="Convenience stores"/>
    <x v="10"/>
    <s v="The food world"/>
    <s v="|90/00/04|"/>
    <n v="516"/>
    <n v="3.81"/>
    <n v="5.95"/>
  </r>
  <r>
    <x v="1"/>
    <s v="Convenience stores"/>
    <x v="10"/>
    <s v="The food world"/>
    <s v="|90/00/05|"/>
    <n v="456"/>
    <n v="3.83"/>
    <n v="6.81"/>
  </r>
  <r>
    <x v="1"/>
    <s v="Convenience stores"/>
    <x v="10"/>
    <s v="The food world"/>
    <s v="|90/00/06|"/>
    <n v="468"/>
    <n v="3.29"/>
    <n v="5.05"/>
  </r>
  <r>
    <x v="1"/>
    <s v="Convenience stores"/>
    <x v="10"/>
    <s v="The food world"/>
    <s v="|90/00/07|"/>
    <n v="492"/>
    <n v="4.5999999999999996"/>
    <n v="5.45"/>
  </r>
  <r>
    <x v="1"/>
    <s v="Convenience stores"/>
    <x v="10"/>
    <s v="The food world"/>
    <s v="|90/00/08|"/>
    <n v="528"/>
    <n v="4"/>
    <n v="6.01"/>
  </r>
  <r>
    <x v="1"/>
    <s v="Convenience stores"/>
    <x v="10"/>
    <s v="The food world"/>
    <s v="|90/00/09|"/>
    <n v="492"/>
    <n v="4.03"/>
    <n v="5.79"/>
  </r>
  <r>
    <x v="1"/>
    <s v="Convenience stores"/>
    <x v="10"/>
    <s v="The food world"/>
    <s v="|90/00/10|"/>
    <n v="480"/>
    <n v="3.07"/>
    <n v="6.69"/>
  </r>
  <r>
    <x v="1"/>
    <s v="Convenience stores"/>
    <x v="10"/>
    <s v="The food world"/>
    <s v="|90/00/11|"/>
    <n v="480"/>
    <n v="4.66"/>
    <n v="6.67"/>
  </r>
  <r>
    <x v="1"/>
    <s v="Convenience stores"/>
    <x v="10"/>
    <s v="The food world"/>
    <s v="|90/00/12|"/>
    <n v="384"/>
    <n v="3.86"/>
    <n v="5.53"/>
  </r>
  <r>
    <x v="1"/>
    <s v="Convenience stores"/>
    <x v="10"/>
    <s v="The food world"/>
    <s v="|90/00/13|"/>
    <n v="444"/>
    <n v="4.6100000000000003"/>
    <n v="5.9"/>
  </r>
  <r>
    <x v="1"/>
    <s v="Convenience stores"/>
    <x v="10"/>
    <s v="The food world"/>
    <s v="|90/01/01|"/>
    <n v="492"/>
    <n v="3.03"/>
    <n v="6.66"/>
  </r>
  <r>
    <x v="1"/>
    <s v="Convenience stores"/>
    <x v="10"/>
    <s v="The food world"/>
    <s v="|90/01/02|"/>
    <n v="504"/>
    <n v="4.6399999999999997"/>
    <n v="6.21"/>
  </r>
  <r>
    <x v="1"/>
    <s v="Convenience stores"/>
    <x v="10"/>
    <s v="The food world"/>
    <s v="|90/01/03|"/>
    <n v="444"/>
    <n v="3.06"/>
    <n v="6.35"/>
  </r>
  <r>
    <x v="1"/>
    <s v="Convenience stores"/>
    <x v="10"/>
    <s v="The food world"/>
    <s v="|90/01/04|"/>
    <n v="420"/>
    <n v="3.68"/>
    <n v="5.1100000000000003"/>
  </r>
  <r>
    <x v="1"/>
    <s v="Convenience stores"/>
    <x v="10"/>
    <s v="The food world"/>
    <s v="|90/01/05|"/>
    <n v="468"/>
    <n v="3.31"/>
    <n v="5.46"/>
  </r>
  <r>
    <x v="1"/>
    <s v="Convenience stores"/>
    <x v="10"/>
    <s v="The food world"/>
    <s v="|90/01/06|"/>
    <n v="372"/>
    <n v="3.14"/>
    <n v="6.55"/>
  </r>
  <r>
    <x v="1"/>
    <s v="Convenience stores"/>
    <x v="10"/>
    <s v="The food world"/>
    <s v="|90/01/07|"/>
    <n v="528"/>
    <n v="3.38"/>
    <n v="5.79"/>
  </r>
  <r>
    <x v="1"/>
    <s v="Convenience stores"/>
    <x v="10"/>
    <s v="The food world"/>
    <s v="|90/01/08|"/>
    <n v="372"/>
    <n v="4.4000000000000004"/>
    <n v="6.85"/>
  </r>
  <r>
    <x v="1"/>
    <s v="Convenience stores"/>
    <x v="10"/>
    <s v="The food world"/>
    <s v="|90/01/09|"/>
    <n v="456"/>
    <n v="3.15"/>
    <n v="6.19"/>
  </r>
  <r>
    <x v="1"/>
    <s v="Convenience stores"/>
    <x v="10"/>
    <s v="The food world"/>
    <s v="|90/01/10|"/>
    <n v="444"/>
    <n v="3.84"/>
    <n v="5.32"/>
  </r>
  <r>
    <x v="1"/>
    <s v="Convenience stores"/>
    <x v="10"/>
    <s v="The food world"/>
    <s v="|90/01/11|"/>
    <n v="468"/>
    <n v="3.76"/>
    <n v="6.46"/>
  </r>
  <r>
    <x v="1"/>
    <s v="Convenience stores"/>
    <x v="10"/>
    <s v="The food world"/>
    <s v="|90/01/12|"/>
    <n v="480"/>
    <n v="3.38"/>
    <n v="6.25"/>
  </r>
  <r>
    <x v="1"/>
    <s v="Convenience stores"/>
    <x v="10"/>
    <s v="The food world"/>
    <s v="|90/01/13|"/>
    <n v="384"/>
    <n v="4.46"/>
    <n v="6.29"/>
  </r>
  <r>
    <x v="1"/>
    <s v="Convenience stores"/>
    <x v="10"/>
    <s v="The food world"/>
    <s v="|90/01/14|"/>
    <n v="432"/>
    <n v="4.87"/>
    <n v="5.26"/>
  </r>
  <r>
    <x v="1"/>
    <s v="Convenience stores"/>
    <x v="10"/>
    <s v="The food world"/>
    <s v="|90/01/15|"/>
    <n v="468"/>
    <n v="3.11"/>
    <n v="5.53"/>
  </r>
  <r>
    <x v="1"/>
    <s v="Convenience stores"/>
    <x v="10"/>
    <s v="The food world"/>
    <s v="|90/01/16|"/>
    <n v="372"/>
    <n v="3.99"/>
    <n v="5.29"/>
  </r>
  <r>
    <x v="1"/>
    <s v="Convenience stores"/>
    <x v="10"/>
    <s v="The food world"/>
    <s v="|90/01/17|"/>
    <n v="504"/>
    <n v="4.08"/>
    <n v="5.29"/>
  </r>
  <r>
    <x v="1"/>
    <s v="Convenience stores"/>
    <x v="10"/>
    <s v="The food world"/>
    <s v="|90/01/18|"/>
    <n v="468"/>
    <n v="3.72"/>
    <n v="6.31"/>
  </r>
  <r>
    <x v="1"/>
    <s v="Convenience stores"/>
    <x v="10"/>
    <s v="The food world"/>
    <s v="|90/02/01|"/>
    <n v="420"/>
    <n v="3.36"/>
    <n v="5.56"/>
  </r>
  <r>
    <x v="1"/>
    <s v="Convenience stores"/>
    <x v="10"/>
    <s v="The food world"/>
    <s v="|90/02/02|"/>
    <n v="360"/>
    <n v="3.49"/>
    <n v="5.1100000000000003"/>
  </r>
  <r>
    <x v="1"/>
    <s v="Convenience stores"/>
    <x v="10"/>
    <s v="The food world"/>
    <s v="|90/02/03|"/>
    <n v="492"/>
    <n v="3.53"/>
    <n v="5.93"/>
  </r>
  <r>
    <x v="1"/>
    <s v="Convenience stores"/>
    <x v="10"/>
    <s v="The food world"/>
    <s v="|90/02/04|"/>
    <n v="372"/>
    <n v="3.74"/>
    <n v="6.24"/>
  </r>
  <r>
    <x v="1"/>
    <s v="Convenience stores"/>
    <x v="10"/>
    <s v="The food world"/>
    <s v="|90/02/05|"/>
    <n v="516"/>
    <n v="3.32"/>
    <n v="5.66"/>
  </r>
  <r>
    <x v="1"/>
    <s v="Convenience stores"/>
    <x v="1"/>
    <s v="Delta"/>
    <s v="|04/00/01|"/>
    <n v="576"/>
    <n v="6.0266666666666664"/>
    <n v="8.4333333333333336"/>
  </r>
  <r>
    <x v="1"/>
    <s v="Convenience stores"/>
    <x v="1"/>
    <s v="Delta"/>
    <s v="|04/00/02|"/>
    <n v="600"/>
    <n v="6.1"/>
    <n v="8.4733333333333327"/>
  </r>
  <r>
    <x v="1"/>
    <s v="Convenience stores"/>
    <x v="1"/>
    <s v="Delta"/>
    <s v="|04/00/03|"/>
    <n v="588"/>
    <n v="6.5333333333333332"/>
    <n v="7.706666666666667"/>
  </r>
  <r>
    <x v="1"/>
    <s v="Convenience stores"/>
    <x v="1"/>
    <s v="Delta"/>
    <s v="|04/00/04|"/>
    <n v="612"/>
    <n v="5.6"/>
    <n v="7.9"/>
  </r>
  <r>
    <x v="1"/>
    <s v="Convenience stores"/>
    <x v="1"/>
    <s v="Delta"/>
    <s v="|04/00/05|"/>
    <n v="600"/>
    <n v="5.4666666666666668"/>
    <n v="7.5133333333333336"/>
  </r>
  <r>
    <x v="1"/>
    <s v="Convenience stores"/>
    <x v="6"/>
    <s v="Delta"/>
    <s v="|04/04/01|"/>
    <n v="1392"/>
    <n v="2.77"/>
    <n v="3.78"/>
  </r>
  <r>
    <x v="1"/>
    <s v="Convenience stores"/>
    <x v="6"/>
    <s v="Delta"/>
    <s v="|04/04/02|"/>
    <n v="1908"/>
    <n v="2.89"/>
    <n v="3.6"/>
  </r>
  <r>
    <x v="1"/>
    <s v="Convenience stores"/>
    <x v="6"/>
    <s v="Delta"/>
    <s v="|04/04/03|"/>
    <n v="1224"/>
    <n v="2.93"/>
    <n v="3.68"/>
  </r>
  <r>
    <x v="1"/>
    <s v="Convenience stores"/>
    <x v="6"/>
    <s v="Delta"/>
    <s v="|04/04/04|"/>
    <n v="2724"/>
    <n v="2.59"/>
    <n v="3.94"/>
  </r>
  <r>
    <x v="1"/>
    <s v="Convenience stores"/>
    <x v="6"/>
    <s v="Delta"/>
    <s v="|04/04/05|"/>
    <n v="1284"/>
    <n v="2.33"/>
    <n v="3.33"/>
  </r>
  <r>
    <x v="1"/>
    <s v="Convenience stores"/>
    <x v="6"/>
    <s v="Delta"/>
    <s v="|04/04/06|"/>
    <n v="1368"/>
    <n v="2.73"/>
    <n v="3.56"/>
  </r>
  <r>
    <x v="1"/>
    <s v="Convenience stores"/>
    <x v="6"/>
    <s v="Delta"/>
    <s v="|04/04/07|"/>
    <n v="1416"/>
    <n v="2.76"/>
    <n v="3.64"/>
  </r>
  <r>
    <x v="1"/>
    <s v="Convenience stores"/>
    <x v="6"/>
    <s v="Delta"/>
    <s v="|04/04/08|"/>
    <n v="1644"/>
    <n v="2.75"/>
    <n v="3.62"/>
  </r>
  <r>
    <x v="1"/>
    <s v="Convenience stores"/>
    <x v="6"/>
    <s v="Delta"/>
    <s v="|04/04/09|"/>
    <n v="2220"/>
    <n v="2.65"/>
    <n v="3.37"/>
  </r>
  <r>
    <x v="1"/>
    <s v="Convenience stores"/>
    <x v="6"/>
    <s v="Delta"/>
    <s v="|04/04/10|"/>
    <n v="1272"/>
    <n v="2.92"/>
    <n v="3.98"/>
  </r>
  <r>
    <x v="1"/>
    <s v="Convenience stores"/>
    <x v="6"/>
    <s v="Delta"/>
    <s v="|04/04/11|"/>
    <n v="2664"/>
    <n v="2.3199999999999998"/>
    <n v="3.79"/>
  </r>
  <r>
    <x v="1"/>
    <s v="Convenience stores"/>
    <x v="6"/>
    <s v="Delta"/>
    <s v="|04/04/12|"/>
    <n v="2172"/>
    <n v="2.88"/>
    <n v="3.82"/>
  </r>
  <r>
    <x v="1"/>
    <s v="Convenience stores"/>
    <x v="6"/>
    <s v="Delta"/>
    <s v="|04/04/13|"/>
    <n v="1956"/>
    <n v="2.73"/>
    <n v="3.6"/>
  </r>
  <r>
    <x v="1"/>
    <s v="Convenience stores"/>
    <x v="6"/>
    <s v="Delta"/>
    <s v="|04/04/14|"/>
    <n v="2316"/>
    <n v="2.63"/>
    <n v="3.3"/>
  </r>
  <r>
    <x v="1"/>
    <s v="Convenience stores"/>
    <x v="6"/>
    <s v="Delta"/>
    <s v="|04/04/15|"/>
    <n v="1716"/>
    <n v="2.56"/>
    <n v="3.97"/>
  </r>
  <r>
    <x v="1"/>
    <s v="Convenience stores"/>
    <x v="6"/>
    <s v="Delta"/>
    <s v="|04/04/16|"/>
    <n v="2748"/>
    <n v="2.59"/>
    <n v="3.38"/>
  </r>
  <r>
    <x v="1"/>
    <s v="Convenience stores"/>
    <x v="6"/>
    <s v="Delta"/>
    <s v="|04/04/17|"/>
    <n v="1956"/>
    <n v="2.4300000000000002"/>
    <n v="3.65"/>
  </r>
  <r>
    <x v="1"/>
    <s v="Convenience stores"/>
    <x v="6"/>
    <s v="Delta"/>
    <s v="|04/04/18|"/>
    <n v="2340"/>
    <n v="2.91"/>
    <n v="3.49"/>
  </r>
  <r>
    <x v="1"/>
    <s v="Convenience stores"/>
    <x v="6"/>
    <s v="Delta"/>
    <s v="|04/04/19|"/>
    <n v="2220"/>
    <n v="2.5"/>
    <n v="3.59"/>
  </r>
  <r>
    <x v="1"/>
    <s v="Convenience stores"/>
    <x v="6"/>
    <s v="Delta"/>
    <s v="|04/04/20|"/>
    <n v="1464"/>
    <n v="2.94"/>
    <n v="3.57"/>
  </r>
  <r>
    <x v="1"/>
    <s v="Convenience stores"/>
    <x v="6"/>
    <s v="Delta"/>
    <s v="|04/04/21|"/>
    <n v="1956"/>
    <n v="2.95"/>
    <n v="3.72"/>
  </r>
  <r>
    <x v="1"/>
    <s v="Convenience stores"/>
    <x v="6"/>
    <s v="Delta"/>
    <s v="|04/04/22|"/>
    <n v="1356"/>
    <n v="2.83"/>
    <n v="3.76"/>
  </r>
  <r>
    <x v="1"/>
    <s v="Convenience stores"/>
    <x v="6"/>
    <s v="Delta"/>
    <s v="|04/04/23|"/>
    <n v="2328"/>
    <n v="2.95"/>
    <n v="3.53"/>
  </r>
  <r>
    <x v="1"/>
    <s v="Convenience stores"/>
    <x v="6"/>
    <s v="Delta"/>
    <s v="|04/04/24|"/>
    <n v="2604"/>
    <n v="2.59"/>
    <n v="3.91"/>
  </r>
  <r>
    <x v="1"/>
    <s v="Convenience stores"/>
    <x v="6"/>
    <s v="Delta"/>
    <s v="|04/04/25|"/>
    <n v="1992"/>
    <n v="2.89"/>
    <n v="3.54"/>
  </r>
  <r>
    <x v="1"/>
    <s v="Convenience stores"/>
    <x v="6"/>
    <s v="Delta"/>
    <s v="|04/04/26|"/>
    <n v="1272"/>
    <n v="2.85"/>
    <n v="3.96"/>
  </r>
  <r>
    <x v="1"/>
    <s v="Convenience stores"/>
    <x v="6"/>
    <s v="Delta"/>
    <s v="|04/04/27|"/>
    <n v="1968"/>
    <n v="2.4500000000000002"/>
    <n v="3.31"/>
  </r>
  <r>
    <x v="1"/>
    <s v="Convenience stores"/>
    <x v="6"/>
    <s v="Delta"/>
    <s v="|04/04/28|"/>
    <n v="2700"/>
    <n v="2.76"/>
    <n v="3.56"/>
  </r>
  <r>
    <x v="1"/>
    <s v="Convenience stores"/>
    <x v="6"/>
    <s v="Delta"/>
    <s v="|04/04/29|"/>
    <n v="1500"/>
    <n v="2.33"/>
    <n v="3.89"/>
  </r>
  <r>
    <x v="1"/>
    <s v="Convenience stores"/>
    <x v="6"/>
    <s v="Delta"/>
    <s v="|04/04/30|"/>
    <n v="1248"/>
    <n v="2.9"/>
    <n v="3.83"/>
  </r>
  <r>
    <x v="1"/>
    <s v="Convenience stores"/>
    <x v="6"/>
    <s v="Delta"/>
    <s v="|04/04/31|"/>
    <n v="2232"/>
    <n v="2.95"/>
    <n v="3.91"/>
  </r>
  <r>
    <x v="1"/>
    <s v="Convenience stores"/>
    <x v="6"/>
    <s v="Delta"/>
    <s v="|04/04/32|"/>
    <n v="1368"/>
    <n v="2.73"/>
    <n v="3.75"/>
  </r>
  <r>
    <x v="1"/>
    <s v="Convenience stores"/>
    <x v="6"/>
    <s v="Delta"/>
    <s v="|04/04/33|"/>
    <n v="2028"/>
    <n v="2.5499999999999998"/>
    <n v="3.68"/>
  </r>
  <r>
    <x v="1"/>
    <s v="Convenience stores"/>
    <x v="6"/>
    <s v="Delta"/>
    <s v="|04/04/34|"/>
    <n v="2268"/>
    <n v="2.88"/>
    <n v="3.71"/>
  </r>
  <r>
    <x v="1"/>
    <s v="Convenience stores"/>
    <x v="6"/>
    <s v="Delta"/>
    <s v="|04/04/35|"/>
    <n v="1476"/>
    <n v="3"/>
    <n v="3.83"/>
  </r>
  <r>
    <x v="1"/>
    <s v="Convenience stores"/>
    <x v="6"/>
    <s v="Delta"/>
    <s v="|04/04/36|"/>
    <n v="1608"/>
    <n v="2.67"/>
    <n v="3.75"/>
  </r>
  <r>
    <x v="1"/>
    <s v="Convenience stores"/>
    <x v="6"/>
    <s v="Delta"/>
    <s v="|04/04/37|"/>
    <n v="1668"/>
    <n v="2.3199999999999998"/>
    <n v="3.42"/>
  </r>
  <r>
    <x v="1"/>
    <s v="Convenience stores"/>
    <x v="6"/>
    <s v="Delta"/>
    <s v="|04/04/38|"/>
    <n v="2640"/>
    <n v="2.85"/>
    <n v="3.57"/>
  </r>
  <r>
    <x v="1"/>
    <s v="Convenience stores"/>
    <x v="6"/>
    <s v="Delta"/>
    <s v="|04/04/39|"/>
    <n v="1356"/>
    <n v="2.4900000000000002"/>
    <n v="3.69"/>
  </r>
  <r>
    <x v="1"/>
    <s v="Convenience stores"/>
    <x v="6"/>
    <s v="Delta"/>
    <s v="|04/04/40|"/>
    <n v="2712"/>
    <n v="2.4300000000000002"/>
    <n v="3.59"/>
  </r>
  <r>
    <x v="1"/>
    <s v="Convenience stores"/>
    <x v="6"/>
    <s v="Delta"/>
    <s v="|04/04/41|"/>
    <n v="1212"/>
    <n v="2.99"/>
    <n v="3.82"/>
  </r>
  <r>
    <x v="1"/>
    <s v="Convenience stores"/>
    <x v="6"/>
    <s v="Delta"/>
    <s v="|04/04/42|"/>
    <n v="2700"/>
    <n v="2.64"/>
    <n v="3.93"/>
  </r>
  <r>
    <x v="1"/>
    <s v="Convenience stores"/>
    <x v="6"/>
    <s v="Delta"/>
    <s v="|04/04/43|"/>
    <n v="1740"/>
    <n v="2.54"/>
    <n v="3.78"/>
  </r>
  <r>
    <x v="1"/>
    <s v="Convenience stores"/>
    <x v="6"/>
    <s v="Delta"/>
    <s v="|04/04/44|"/>
    <n v="2124"/>
    <n v="2.76"/>
    <n v="3.89"/>
  </r>
  <r>
    <x v="1"/>
    <s v="Convenience stores"/>
    <x v="6"/>
    <s v="Delta"/>
    <s v="|04/04/45|"/>
    <n v="1260"/>
    <n v="2.64"/>
    <n v="3.75"/>
  </r>
  <r>
    <x v="1"/>
    <s v="Convenience stores"/>
    <x v="6"/>
    <s v="Delta"/>
    <s v="|04/04/46|"/>
    <n v="1680"/>
    <n v="2.78"/>
    <n v="3.98"/>
  </r>
  <r>
    <x v="1"/>
    <s v="Convenience stores"/>
    <x v="6"/>
    <s v="Delta"/>
    <s v="|04/04/47|"/>
    <n v="1224"/>
    <n v="2.9"/>
    <n v="3.53"/>
  </r>
  <r>
    <x v="1"/>
    <s v="Convenience stores"/>
    <x v="6"/>
    <s v="Delta"/>
    <s v="|04/04/48|"/>
    <n v="1248"/>
    <n v="2.94"/>
    <n v="3.42"/>
  </r>
  <r>
    <x v="1"/>
    <s v="Convenience stores"/>
    <x v="6"/>
    <s v="Delta"/>
    <s v="|04/04/49|"/>
    <n v="1728"/>
    <n v="2.5499999999999998"/>
    <n v="3.61"/>
  </r>
  <r>
    <x v="1"/>
    <s v="Convenience stores"/>
    <x v="6"/>
    <s v="Delta"/>
    <s v="|04/04/50|"/>
    <n v="1428"/>
    <n v="2.4700000000000002"/>
    <n v="3.9"/>
  </r>
  <r>
    <x v="1"/>
    <s v="Convenience stores"/>
    <x v="6"/>
    <s v="Delta"/>
    <s v="|04/04/51|"/>
    <n v="1728"/>
    <n v="2.72"/>
    <n v="3.36"/>
  </r>
  <r>
    <x v="1"/>
    <s v="Convenience stores"/>
    <x v="6"/>
    <s v="Delta"/>
    <s v="|04/04/52|"/>
    <n v="2508"/>
    <n v="2.95"/>
    <n v="3.4"/>
  </r>
  <r>
    <x v="1"/>
    <s v="Convenience stores"/>
    <x v="6"/>
    <s v="Delta"/>
    <s v="|04/04/53|"/>
    <n v="1788"/>
    <n v="2.68"/>
    <n v="3.73"/>
  </r>
  <r>
    <x v="1"/>
    <s v="Convenience stores"/>
    <x v="6"/>
    <s v="Delta"/>
    <s v="|04/04/54|"/>
    <n v="2112"/>
    <n v="2.85"/>
    <n v="3.62"/>
  </r>
  <r>
    <x v="1"/>
    <s v="Convenience stores"/>
    <x v="6"/>
    <s v="Delta"/>
    <s v="|04/04/55|"/>
    <n v="2244"/>
    <n v="2.36"/>
    <n v="4"/>
  </r>
  <r>
    <x v="1"/>
    <s v="Convenience stores"/>
    <x v="6"/>
    <s v="Delta"/>
    <s v="|04/04/56|"/>
    <n v="2016"/>
    <n v="2.56"/>
    <n v="3.51"/>
  </r>
  <r>
    <x v="1"/>
    <s v="Convenience stores"/>
    <x v="6"/>
    <s v="Delta"/>
    <s v="|04/04/57|"/>
    <n v="2736"/>
    <n v="2.86"/>
    <n v="3.49"/>
  </r>
  <r>
    <x v="1"/>
    <s v="Convenience stores"/>
    <x v="6"/>
    <s v="Delta"/>
    <s v="|04/04/58|"/>
    <n v="2304"/>
    <n v="2.94"/>
    <n v="3.78"/>
  </r>
  <r>
    <x v="1"/>
    <s v="Convenience stores"/>
    <x v="6"/>
    <s v="Delta"/>
    <s v="|04/04/59|"/>
    <n v="1944"/>
    <n v="2.85"/>
    <n v="3.7"/>
  </r>
  <r>
    <x v="1"/>
    <s v="Convenience stores"/>
    <x v="6"/>
    <s v="Delta"/>
    <s v="|04/04/60|"/>
    <n v="2292"/>
    <n v="2.35"/>
    <n v="3.37"/>
  </r>
  <r>
    <x v="1"/>
    <s v="Convenience stores"/>
    <x v="6"/>
    <s v="Delta"/>
    <s v="|04/04/61|"/>
    <n v="2112"/>
    <n v="2.88"/>
    <n v="3.42"/>
  </r>
  <r>
    <x v="1"/>
    <s v="Convenience stores"/>
    <x v="6"/>
    <s v="Delta"/>
    <s v="|04/04/62|"/>
    <n v="1344"/>
    <n v="2.59"/>
    <n v="3.59"/>
  </r>
  <r>
    <x v="1"/>
    <s v="Convenience stores"/>
    <x v="6"/>
    <s v="Delta"/>
    <s v="|04/04/63|"/>
    <n v="2052"/>
    <n v="2.65"/>
    <n v="3.44"/>
  </r>
  <r>
    <x v="1"/>
    <s v="Convenience stores"/>
    <x v="6"/>
    <s v="Delta"/>
    <s v="|04/04/64|"/>
    <n v="2016"/>
    <n v="2.77"/>
    <n v="3.77"/>
  </r>
  <r>
    <x v="1"/>
    <s v="Convenience stores"/>
    <x v="6"/>
    <s v="Delta"/>
    <s v="|04/04/65|"/>
    <n v="2424"/>
    <n v="2.42"/>
    <n v="3.4"/>
  </r>
  <r>
    <x v="1"/>
    <s v="Convenience stores"/>
    <x v="6"/>
    <s v="Delta"/>
    <s v="|04/04/66|"/>
    <n v="2028"/>
    <n v="2.41"/>
    <n v="3.42"/>
  </r>
  <r>
    <x v="1"/>
    <s v="Convenience stores"/>
    <x v="6"/>
    <s v="Delta"/>
    <s v="|04/04/67|"/>
    <n v="2700"/>
    <n v="2.98"/>
    <n v="3.9"/>
  </r>
  <r>
    <x v="1"/>
    <s v="Convenience stores"/>
    <x v="6"/>
    <s v="Delta"/>
    <s v="|04/04/68|"/>
    <n v="1272"/>
    <n v="2.5"/>
    <n v="3.92"/>
  </r>
  <r>
    <x v="1"/>
    <s v="Convenience stores"/>
    <x v="6"/>
    <s v="Delta"/>
    <s v="|04/04/69|"/>
    <n v="2556"/>
    <n v="2.98"/>
    <n v="3.94"/>
  </r>
  <r>
    <x v="1"/>
    <s v="Convenience stores"/>
    <x v="6"/>
    <s v="Delta"/>
    <s v="|04/04/70|"/>
    <n v="2376"/>
    <n v="2.84"/>
    <n v="3.92"/>
  </r>
  <r>
    <x v="1"/>
    <s v="Convenience stores"/>
    <x v="6"/>
    <s v="Delta"/>
    <s v="|04/04/71|"/>
    <n v="2280"/>
    <n v="2.2999999999999998"/>
    <n v="3.92"/>
  </r>
  <r>
    <x v="1"/>
    <s v="Convenience stores"/>
    <x v="6"/>
    <s v="Delta"/>
    <s v="|04/04/72|"/>
    <n v="1920"/>
    <n v="2.5099999999999998"/>
    <n v="3.95"/>
  </r>
  <r>
    <x v="1"/>
    <s v="Convenience stores"/>
    <x v="6"/>
    <s v="Delta"/>
    <s v="|04/04/73|"/>
    <n v="1572"/>
    <n v="2.4300000000000002"/>
    <n v="3.79"/>
  </r>
  <r>
    <x v="1"/>
    <s v="Convenience stores"/>
    <x v="6"/>
    <s v="Delta"/>
    <s v="|04/04/74|"/>
    <n v="2388"/>
    <n v="2.93"/>
    <n v="3.98"/>
  </r>
  <r>
    <x v="1"/>
    <s v="Convenience stores"/>
    <x v="6"/>
    <s v="Delta"/>
    <s v="|04/04/75|"/>
    <n v="1572"/>
    <n v="2.63"/>
    <n v="3.45"/>
  </r>
  <r>
    <x v="1"/>
    <s v="Convenience stores"/>
    <x v="6"/>
    <s v="Delta"/>
    <s v="|04/04/76|"/>
    <n v="2388"/>
    <n v="2.48"/>
    <n v="3.41"/>
  </r>
  <r>
    <x v="1"/>
    <s v="Convenience stores"/>
    <x v="6"/>
    <s v="Delta"/>
    <s v="|04/04/77|"/>
    <n v="2556"/>
    <n v="2.68"/>
    <n v="3.83"/>
  </r>
  <r>
    <x v="1"/>
    <s v="Convenience stores"/>
    <x v="6"/>
    <s v="Delta"/>
    <s v="|04/04/78|"/>
    <n v="1956"/>
    <n v="2.9"/>
    <n v="3.53"/>
  </r>
  <r>
    <x v="1"/>
    <s v="Convenience stores"/>
    <x v="6"/>
    <s v="Delta"/>
    <s v="|04/04/79|"/>
    <n v="1824"/>
    <n v="2.44"/>
    <n v="3.7"/>
  </r>
  <r>
    <x v="1"/>
    <s v="Convenience stores"/>
    <x v="6"/>
    <s v="Delta"/>
    <s v="|04/04/80|"/>
    <n v="1812"/>
    <n v="2.56"/>
    <n v="3.35"/>
  </r>
  <r>
    <x v="1"/>
    <s v="Convenience stores"/>
    <x v="6"/>
    <s v="Delta"/>
    <s v="|04/04/81|"/>
    <n v="2184"/>
    <n v="2.63"/>
    <n v="3.64"/>
  </r>
  <r>
    <x v="1"/>
    <s v="Convenience stores"/>
    <x v="6"/>
    <s v="Delta"/>
    <s v="|04/04/82|"/>
    <n v="1428"/>
    <n v="2.62"/>
    <n v="3.44"/>
  </r>
  <r>
    <x v="1"/>
    <s v="Convenience stores"/>
    <x v="6"/>
    <s v="Delta"/>
    <s v="|04/04/83|"/>
    <n v="2424"/>
    <n v="2.89"/>
    <n v="3.79"/>
  </r>
  <r>
    <x v="1"/>
    <s v="Convenience stores"/>
    <x v="6"/>
    <s v="Delta"/>
    <s v="|04/04/84|"/>
    <n v="2304"/>
    <n v="2.39"/>
    <n v="3.78"/>
  </r>
  <r>
    <x v="1"/>
    <s v="Convenience stores"/>
    <x v="6"/>
    <s v="Delta"/>
    <s v="|04/04/85|"/>
    <n v="1284"/>
    <n v="2.4"/>
    <n v="3.89"/>
  </r>
  <r>
    <x v="1"/>
    <s v="Convenience stores"/>
    <x v="6"/>
    <s v="Delta"/>
    <s v="|04/04/86|"/>
    <n v="1944"/>
    <n v="2.56"/>
    <n v="3.81"/>
  </r>
  <r>
    <x v="1"/>
    <s v="Convenience stores"/>
    <x v="6"/>
    <s v="Delta"/>
    <s v="|04/04/87|"/>
    <n v="2220"/>
    <n v="2.63"/>
    <n v="3.75"/>
  </r>
  <r>
    <x v="1"/>
    <s v="Convenience stores"/>
    <x v="6"/>
    <s v="Delta"/>
    <s v="|04/04/88|"/>
    <n v="2688"/>
    <n v="2.94"/>
    <n v="3.51"/>
  </r>
  <r>
    <x v="1"/>
    <s v="Convenience stores"/>
    <x v="6"/>
    <s v="Delta"/>
    <s v="|04/04/89|"/>
    <n v="1212"/>
    <n v="2.4700000000000002"/>
    <n v="3.84"/>
  </r>
  <r>
    <x v="1"/>
    <s v="Convenience stores"/>
    <x v="6"/>
    <s v="Delta"/>
    <s v="|04/04/90|"/>
    <n v="1848"/>
    <n v="2.5"/>
    <n v="3.3"/>
  </r>
  <r>
    <x v="1"/>
    <s v="Convenience stores"/>
    <x v="6"/>
    <s v="Delta"/>
    <s v="|04/04/91|"/>
    <n v="2652"/>
    <n v="2.5299999999999998"/>
    <n v="3.95"/>
  </r>
  <r>
    <x v="1"/>
    <s v="Convenience stores"/>
    <x v="6"/>
    <s v="Delta"/>
    <s v="|04/04/92|"/>
    <n v="1284"/>
    <n v="2.98"/>
    <n v="3.46"/>
  </r>
  <r>
    <x v="1"/>
    <s v="Convenience stores"/>
    <x v="6"/>
    <s v="Delta"/>
    <s v="|04/04/93|"/>
    <n v="1920"/>
    <n v="2.46"/>
    <n v="3.4"/>
  </r>
  <r>
    <x v="1"/>
    <s v="Convenience stores"/>
    <x v="6"/>
    <s v="Delta"/>
    <s v="|04/04/94|"/>
    <n v="2136"/>
    <n v="2.75"/>
    <n v="3.37"/>
  </r>
  <r>
    <x v="1"/>
    <s v="Convenience stores"/>
    <x v="6"/>
    <s v="Delta"/>
    <s v="|04/04/95|"/>
    <n v="2676"/>
    <n v="2.64"/>
    <n v="3.4"/>
  </r>
  <r>
    <x v="1"/>
    <s v="Convenience stores"/>
    <x v="6"/>
    <s v="Delta"/>
    <s v="|04/04/96|"/>
    <n v="1800"/>
    <n v="2.5299999999999998"/>
    <n v="3.8"/>
  </r>
  <r>
    <x v="1"/>
    <s v="Convenience stores"/>
    <x v="6"/>
    <s v="Delta"/>
    <s v="|04/04/97|"/>
    <n v="2196"/>
    <n v="2.97"/>
    <n v="3.44"/>
  </r>
  <r>
    <x v="1"/>
    <s v="Convenience stores"/>
    <x v="6"/>
    <s v="Delta"/>
    <s v="|04/04/98|"/>
    <n v="1908"/>
    <n v="2.34"/>
    <n v="3.96"/>
  </r>
  <r>
    <x v="1"/>
    <s v="Convenience stores"/>
    <x v="6"/>
    <s v="Delta"/>
    <s v="|04/04/99|"/>
    <n v="1692"/>
    <n v="2.54"/>
    <n v="3.97"/>
  </r>
  <r>
    <x v="1"/>
    <s v="Convenience stores"/>
    <x v="6"/>
    <s v="Delta"/>
    <s v="|04/05/01|"/>
    <n v="2748"/>
    <n v="2.63"/>
    <n v="3.71"/>
  </r>
  <r>
    <x v="1"/>
    <s v="Convenience stores"/>
    <x v="6"/>
    <s v="Delta"/>
    <s v="|04/05/02|"/>
    <n v="1464"/>
    <n v="2.58"/>
    <n v="3.36"/>
  </r>
  <r>
    <x v="1"/>
    <s v="Convenience stores"/>
    <x v="6"/>
    <s v="Delta"/>
    <s v="|04/05/03|"/>
    <n v="1260"/>
    <n v="2.76"/>
    <n v="3.69"/>
  </r>
  <r>
    <x v="1"/>
    <s v="Convenience stores"/>
    <x v="6"/>
    <s v="Delta"/>
    <s v="|04/05/04|"/>
    <n v="1680"/>
    <n v="2.86"/>
    <n v="3.93"/>
  </r>
  <r>
    <x v="1"/>
    <s v="Convenience stores"/>
    <x v="6"/>
    <s v="Delta"/>
    <s v="|04/05/05|"/>
    <n v="2172"/>
    <n v="2.97"/>
    <n v="3.47"/>
  </r>
  <r>
    <x v="1"/>
    <s v="Convenience stores"/>
    <x v="6"/>
    <s v="Delta"/>
    <s v="|04/05/06|"/>
    <n v="2436"/>
    <n v="2.87"/>
    <n v="3.74"/>
  </r>
  <r>
    <x v="1"/>
    <s v="Convenience stores"/>
    <x v="6"/>
    <s v="Delta"/>
    <s v="|04/05/07|"/>
    <n v="2628"/>
    <n v="2.5299999999999998"/>
    <n v="3.45"/>
  </r>
  <r>
    <x v="1"/>
    <s v="Convenience stores"/>
    <x v="6"/>
    <s v="Delta"/>
    <s v="|04/05/08|"/>
    <n v="2484"/>
    <n v="2.36"/>
    <n v="3.47"/>
  </r>
  <r>
    <x v="1"/>
    <s v="Convenience stores"/>
    <x v="6"/>
    <s v="Delta"/>
    <s v="|04/05/09|"/>
    <n v="2484"/>
    <n v="2.56"/>
    <n v="3.75"/>
  </r>
  <r>
    <x v="1"/>
    <s v="Convenience stores"/>
    <x v="6"/>
    <s v="Delta"/>
    <s v="|04/05/10|"/>
    <n v="2016"/>
    <n v="2.69"/>
    <n v="3.39"/>
  </r>
  <r>
    <x v="1"/>
    <s v="Convenience stores"/>
    <x v="6"/>
    <s v="Delta"/>
    <s v="|04/05/11|"/>
    <n v="1896"/>
    <n v="2.57"/>
    <n v="3.93"/>
  </r>
  <r>
    <x v="1"/>
    <s v="Convenience stores"/>
    <x v="6"/>
    <s v="Delta"/>
    <s v="|04/05/12|"/>
    <n v="2280"/>
    <n v="2.37"/>
    <n v="3.59"/>
  </r>
  <r>
    <x v="1"/>
    <s v="Convenience stores"/>
    <x v="6"/>
    <s v="Delta"/>
    <s v="|04/05/13|"/>
    <n v="1932"/>
    <n v="2.74"/>
    <n v="3.66"/>
  </r>
  <r>
    <x v="1"/>
    <s v="Convenience stores"/>
    <x v="6"/>
    <s v="Delta"/>
    <s v="|04/05/14|"/>
    <n v="1716"/>
    <n v="2.44"/>
    <n v="3.36"/>
  </r>
  <r>
    <x v="1"/>
    <s v="Convenience stores"/>
    <x v="6"/>
    <s v="Delta"/>
    <s v="|04/05/15|"/>
    <n v="2316"/>
    <n v="2.61"/>
    <n v="3.61"/>
  </r>
  <r>
    <x v="1"/>
    <s v="Convenience stores"/>
    <x v="6"/>
    <s v="Delta"/>
    <s v="|04/05/16|"/>
    <n v="1656"/>
    <n v="2.66"/>
    <n v="3.98"/>
  </r>
  <r>
    <x v="1"/>
    <s v="Convenience stores"/>
    <x v="6"/>
    <s v="Delta"/>
    <s v="|04/06/01|"/>
    <n v="1740"/>
    <n v="2.93"/>
    <n v="3.49"/>
  </r>
  <r>
    <x v="1"/>
    <s v="Convenience stores"/>
    <x v="6"/>
    <s v="Delta"/>
    <s v="|04/06/02|"/>
    <n v="2040"/>
    <n v="2.83"/>
    <n v="3.74"/>
  </r>
  <r>
    <x v="1"/>
    <s v="Convenience stores"/>
    <x v="6"/>
    <s v="Delta"/>
    <s v="|04/06/04|"/>
    <n v="1380"/>
    <n v="2.3199999999999998"/>
    <n v="3.44"/>
  </r>
  <r>
    <x v="1"/>
    <s v="Convenience stores"/>
    <x v="6"/>
    <s v="Delta"/>
    <s v="|08/04/03|"/>
    <n v="1884"/>
    <n v="2.72"/>
    <n v="3.91"/>
  </r>
  <r>
    <x v="1"/>
    <s v="Convenience stores"/>
    <x v="6"/>
    <s v="Delta"/>
    <s v="|08/04/05|"/>
    <n v="1932"/>
    <n v="2.84"/>
    <n v="3.73"/>
  </r>
  <r>
    <x v="1"/>
    <s v="Convenience stores"/>
    <x v="6"/>
    <s v="Delta"/>
    <s v="|08/04/06|"/>
    <n v="1788"/>
    <n v="2.85"/>
    <n v="3.71"/>
  </r>
  <r>
    <x v="1"/>
    <s v="Convenience stores"/>
    <x v="5"/>
    <s v="Suchard"/>
    <s v="|99/03/01|"/>
    <n v="1320"/>
    <n v="1.35"/>
    <n v="1.85"/>
  </r>
  <r>
    <x v="1"/>
    <s v="Convenience stores"/>
    <x v="5"/>
    <s v="Suchard"/>
    <s v="|99/03/02|"/>
    <n v="828"/>
    <n v="1.43"/>
    <n v="1.78"/>
  </r>
  <r>
    <x v="1"/>
    <s v="Convenience stores"/>
    <x v="5"/>
    <s v="Suchard"/>
    <s v="|99/03/03|"/>
    <n v="876"/>
    <n v="1.1000000000000001"/>
    <n v="1.85"/>
  </r>
  <r>
    <x v="1"/>
    <s v="Convenience stores"/>
    <x v="5"/>
    <s v="Suchard"/>
    <s v="|99/03/04|"/>
    <n v="828"/>
    <n v="1.45"/>
    <n v="1.61"/>
  </r>
  <r>
    <x v="1"/>
    <s v="Convenience stores"/>
    <x v="5"/>
    <s v="Suchard"/>
    <s v="|99/03/05|"/>
    <n v="1140"/>
    <n v="1.45"/>
    <n v="1.64"/>
  </r>
  <r>
    <x v="1"/>
    <s v="Convenience stores"/>
    <x v="5"/>
    <s v="Suchard"/>
    <s v="|99/03/06|"/>
    <n v="1116"/>
    <n v="1.1399999999999999"/>
    <n v="1.89"/>
  </r>
  <r>
    <x v="1"/>
    <s v="Convenience stores"/>
    <x v="5"/>
    <s v="Suchard"/>
    <s v="|99/03/07|"/>
    <n v="672"/>
    <n v="1.39"/>
    <n v="1.6"/>
  </r>
  <r>
    <x v="1"/>
    <s v="Convenience stores"/>
    <x v="5"/>
    <s v="Suchard"/>
    <s v="|99/03/08|"/>
    <n v="996"/>
    <n v="1.31"/>
    <n v="1.76"/>
  </r>
  <r>
    <x v="1"/>
    <s v="Convenience stores"/>
    <x v="5"/>
    <s v="Suchard"/>
    <s v="|99/03/09|"/>
    <n v="624"/>
    <n v="1.45"/>
    <n v="1.62"/>
  </r>
  <r>
    <x v="1"/>
    <s v="Convenience stores"/>
    <x v="5"/>
    <s v="Suchard"/>
    <s v="|128/02/01|"/>
    <n v="684"/>
    <n v="1.24"/>
    <n v="1.71"/>
  </r>
  <r>
    <x v="1"/>
    <s v="Convenience stores"/>
    <x v="5"/>
    <s v="Suchard"/>
    <s v="|128/02/02|"/>
    <n v="756"/>
    <n v="1.1100000000000001"/>
    <n v="1.84"/>
  </r>
  <r>
    <x v="1"/>
    <s v="Convenience stores"/>
    <x v="5"/>
    <s v="Suchard"/>
    <s v="|128/03/01|"/>
    <n v="1284"/>
    <n v="1.33"/>
    <n v="1.62"/>
  </r>
  <r>
    <x v="1"/>
    <s v="Convenience stores"/>
    <x v="5"/>
    <s v="Suchard"/>
    <s v="|128/03/02|"/>
    <n v="948"/>
    <n v="1.5"/>
    <n v="1.81"/>
  </r>
  <r>
    <x v="1"/>
    <s v="Convenience stores"/>
    <x v="5"/>
    <s v="Suchard"/>
    <s v="|128/03/03|"/>
    <n v="1248"/>
    <n v="1.22"/>
    <n v="1.74"/>
  </r>
  <r>
    <x v="1"/>
    <s v="Convenience stores"/>
    <x v="6"/>
    <s v="Creamy treat"/>
    <s v="|60/01/01|"/>
    <n v="2460"/>
    <n v="2.73"/>
    <n v="3.33"/>
  </r>
  <r>
    <x v="1"/>
    <s v="Convenience stores"/>
    <x v="6"/>
    <s v="Creamy treat"/>
    <s v="|60/01/02|"/>
    <n v="1992"/>
    <n v="2.63"/>
    <n v="3.81"/>
  </r>
  <r>
    <x v="1"/>
    <s v="Convenience stores"/>
    <x v="6"/>
    <s v="Creamy treat"/>
    <s v="|60/01/03|"/>
    <n v="1800"/>
    <n v="2.37"/>
    <n v="3.7"/>
  </r>
  <r>
    <x v="1"/>
    <s v="Convenience stores"/>
    <x v="6"/>
    <s v="Creamy treat"/>
    <s v="|60/01/04|"/>
    <n v="1752"/>
    <n v="2.99"/>
    <n v="3.55"/>
  </r>
  <r>
    <x v="1"/>
    <s v="Convenience stores"/>
    <x v="6"/>
    <s v="Creamy treat"/>
    <s v="|60/01/05|"/>
    <n v="1272"/>
    <n v="2.64"/>
    <n v="3.94"/>
  </r>
  <r>
    <x v="1"/>
    <s v="Convenience stores"/>
    <x v="6"/>
    <s v="Creamy treat"/>
    <s v="|60/01/06|"/>
    <n v="1368"/>
    <n v="2.4300000000000002"/>
    <n v="3.45"/>
  </r>
  <r>
    <x v="1"/>
    <s v="Convenience stores"/>
    <x v="2"/>
    <s v="Kimbo"/>
    <s v="|30/01/01|"/>
    <n v="6504"/>
    <n v="0.55000000000000004"/>
    <n v="1.1399999999999999"/>
  </r>
  <r>
    <x v="1"/>
    <s v="Convenience stores"/>
    <x v="2"/>
    <s v="Kimbo"/>
    <s v="|30/01/02|"/>
    <n v="6216"/>
    <n v="1.1499999999999999"/>
    <n v="1.1499999999999999"/>
  </r>
  <r>
    <x v="1"/>
    <s v="Convenience stores"/>
    <x v="2"/>
    <s v="Kimbo"/>
    <s v="|30/01/03|"/>
    <n v="8940"/>
    <n v="0.49"/>
    <n v="1.19"/>
  </r>
  <r>
    <x v="1"/>
    <s v="Convenience stores"/>
    <x v="2"/>
    <s v="Kimbo"/>
    <s v="|30/01/04|"/>
    <n v="6600"/>
    <n v="0.45"/>
    <n v="1.04"/>
  </r>
  <r>
    <x v="1"/>
    <s v="Convenience stores"/>
    <x v="2"/>
    <s v="Kimbo"/>
    <s v="|30/01/05|"/>
    <n v="5124"/>
    <n v="0.74"/>
    <n v="1.07"/>
  </r>
  <r>
    <x v="1"/>
    <s v="Convenience stores"/>
    <x v="2"/>
    <s v="Kimbo"/>
    <s v="|30/01/06|"/>
    <n v="7512"/>
    <n v="0.9"/>
    <n v="1.1000000000000001"/>
  </r>
  <r>
    <x v="1"/>
    <s v="Convenience stores"/>
    <x v="2"/>
    <s v="Kimbo"/>
    <s v="|30/01/07|"/>
    <n v="6960"/>
    <n v="0.61"/>
    <n v="0.97"/>
  </r>
  <r>
    <x v="1"/>
    <s v="Convenience stores"/>
    <x v="2"/>
    <s v="Kimbo"/>
    <s v="|30/01/08|"/>
    <n v="7392"/>
    <n v="0.6"/>
    <n v="1.1499999999999999"/>
  </r>
  <r>
    <x v="1"/>
    <s v="Convenience stores"/>
    <x v="2"/>
    <s v="Kimbo"/>
    <s v="|30/01/09|"/>
    <n v="8724"/>
    <n v="0.74"/>
    <n v="1.2"/>
  </r>
  <r>
    <x v="1"/>
    <s v="Convenience stores"/>
    <x v="2"/>
    <s v="Kimbo"/>
    <s v="|30/01/10|"/>
    <n v="7092"/>
    <n v="0.84"/>
    <n v="1.05"/>
  </r>
  <r>
    <x v="1"/>
    <s v="Convenience stores"/>
    <x v="2"/>
    <s v="Kimbo"/>
    <s v="|30/01/11|"/>
    <n v="7440"/>
    <n v="1.03"/>
    <n v="1.1200000000000001"/>
  </r>
  <r>
    <x v="1"/>
    <s v="Convenience stores"/>
    <x v="2"/>
    <s v="Kimbo"/>
    <s v="|30/01/12|"/>
    <n v="7224"/>
    <n v="0.76"/>
    <n v="0.92"/>
  </r>
  <r>
    <x v="1"/>
    <s v="Convenience stores"/>
    <x v="2"/>
    <s v="Kimbo"/>
    <s v="|30/01/13|"/>
    <n v="6168"/>
    <n v="1.1299999999999999"/>
    <n v="0.98"/>
  </r>
  <r>
    <x v="1"/>
    <s v="Convenience stores"/>
    <x v="2"/>
    <s v="Kimbo"/>
    <s v="|30/01/14|"/>
    <n v="5376"/>
    <n v="1.1000000000000001"/>
    <n v="1.0900000000000001"/>
  </r>
  <r>
    <x v="1"/>
    <s v="Convenience stores"/>
    <x v="2"/>
    <s v="Kimbo"/>
    <s v="|30/01/15|"/>
    <n v="9456"/>
    <n v="0.62"/>
    <n v="0.93"/>
  </r>
  <r>
    <x v="1"/>
    <s v="Convenience stores"/>
    <x v="2"/>
    <s v="Kimbo"/>
    <s v="|30/01/16|"/>
    <n v="7584"/>
    <n v="0.53"/>
    <n v="1.06"/>
  </r>
  <r>
    <x v="1"/>
    <s v="Convenience stores"/>
    <x v="2"/>
    <s v="Kimbo"/>
    <s v="|30/01/17|"/>
    <n v="5904"/>
    <n v="1.18"/>
    <n v="1.1599999999999999"/>
  </r>
  <r>
    <x v="1"/>
    <s v="Convenience stores"/>
    <x v="2"/>
    <s v="Kimbo"/>
    <s v="|30/01/18|"/>
    <n v="9552"/>
    <n v="1.05"/>
    <n v="1.1100000000000001"/>
  </r>
  <r>
    <x v="1"/>
    <s v="Convenience stores"/>
    <x v="2"/>
    <s v="Kimbo"/>
    <s v="|30/01/19|"/>
    <n v="8556"/>
    <n v="0.94"/>
    <n v="1.04"/>
  </r>
  <r>
    <x v="1"/>
    <s v="Convenience stores"/>
    <x v="11"/>
    <s v="Chocopops"/>
    <s v="|94/00/01|"/>
    <n v="276"/>
    <n v="1.52"/>
    <n v="1.88"/>
  </r>
  <r>
    <x v="1"/>
    <s v="Convenience stores"/>
    <x v="11"/>
    <s v="Chocopops"/>
    <s v="|94/00/02|"/>
    <n v="456"/>
    <n v="1.51"/>
    <n v="1.72"/>
  </r>
  <r>
    <x v="1"/>
    <s v="Convenience stores"/>
    <x v="11"/>
    <s v="Chocopops"/>
    <s v="|94/00/03|"/>
    <n v="648"/>
    <n v="1.4"/>
    <n v="1.78"/>
  </r>
  <r>
    <x v="1"/>
    <s v="Convenience stores"/>
    <x v="11"/>
    <s v="Chocopops"/>
    <s v="|94/00/04|"/>
    <n v="504"/>
    <n v="1.43"/>
    <n v="1.72"/>
  </r>
  <r>
    <x v="1"/>
    <s v="Convenience stores"/>
    <x v="11"/>
    <s v="Chocopops"/>
    <s v="|94/00/05|"/>
    <n v="372"/>
    <n v="1.48"/>
    <n v="1.77"/>
  </r>
  <r>
    <x v="1"/>
    <s v="Convenience stores"/>
    <x v="11"/>
    <s v="Chocopops"/>
    <s v="|94/00/06|"/>
    <n v="300"/>
    <n v="1.41"/>
    <n v="1.85"/>
  </r>
  <r>
    <x v="1"/>
    <s v="Convenience stores"/>
    <x v="11"/>
    <s v="Chocopops"/>
    <s v="|94/00/07|"/>
    <n v="276"/>
    <n v="1.6"/>
    <n v="1.81"/>
  </r>
  <r>
    <x v="1"/>
    <s v="Convenience stores"/>
    <x v="11"/>
    <s v="Chocopops"/>
    <s v="|94/00/08|"/>
    <n v="552"/>
    <n v="1.56"/>
    <n v="1.76"/>
  </r>
  <r>
    <x v="1"/>
    <s v="Convenience stores"/>
    <x v="11"/>
    <s v="Chocopops"/>
    <s v="|94/00/09|"/>
    <n v="348"/>
    <n v="1.49"/>
    <n v="1.71"/>
  </r>
  <r>
    <x v="1"/>
    <s v="Convenience stores"/>
    <x v="11"/>
    <s v="Chocopops"/>
    <s v="|94/00/10|"/>
    <n v="396"/>
    <n v="1.59"/>
    <n v="1.7"/>
  </r>
  <r>
    <x v="1"/>
    <s v="Convenience stores"/>
    <x v="11"/>
    <s v="Chocopops"/>
    <s v="|94/00/11|"/>
    <n v="480"/>
    <n v="1.42"/>
    <n v="1.81"/>
  </r>
  <r>
    <x v="1"/>
    <s v="Convenience stores"/>
    <x v="11"/>
    <s v="Chocopops"/>
    <s v="|94/00/12|"/>
    <n v="336"/>
    <n v="1.51"/>
    <n v="1.71"/>
  </r>
  <r>
    <x v="1"/>
    <s v="Convenience stores"/>
    <x v="11"/>
    <s v="Chocopops"/>
    <s v="|94/00/13|"/>
    <n v="276"/>
    <n v="1.46"/>
    <n v="1.7"/>
  </r>
  <r>
    <x v="1"/>
    <s v="Convenience stores"/>
    <x v="11"/>
    <s v="Chocopops"/>
    <s v="|94/00/14|"/>
    <n v="324"/>
    <n v="1.57"/>
    <n v="1.8"/>
  </r>
  <r>
    <x v="1"/>
    <s v="Convenience stores"/>
    <x v="11"/>
    <s v="Chocopops"/>
    <s v="|94/00/15|"/>
    <n v="624"/>
    <n v="1.58"/>
    <n v="1.84"/>
  </r>
  <r>
    <x v="1"/>
    <s v="Convenience stores"/>
    <x v="11"/>
    <s v="Chocopops"/>
    <s v="|94/00/16|"/>
    <n v="576"/>
    <n v="1.42"/>
    <n v="1.85"/>
  </r>
  <r>
    <x v="1"/>
    <s v="Convenience stores"/>
    <x v="11"/>
    <s v="Chocopops"/>
    <s v="|94/00/17|"/>
    <n v="540"/>
    <n v="1.53"/>
    <n v="1.77"/>
  </r>
  <r>
    <x v="1"/>
    <s v="Convenience stores"/>
    <x v="11"/>
    <s v="Chocopops"/>
    <s v="|94/00/18|"/>
    <n v="612"/>
    <n v="1.55"/>
    <n v="1.86"/>
  </r>
  <r>
    <x v="1"/>
    <s v="Convenience stores"/>
    <x v="11"/>
    <s v="Chocopops"/>
    <s v="|94/00/19|"/>
    <n v="492"/>
    <n v="1.52"/>
    <n v="1.72"/>
  </r>
  <r>
    <x v="1"/>
    <s v="Convenience stores"/>
    <x v="11"/>
    <s v="Chocopops"/>
    <s v="|94/00/20|"/>
    <n v="276"/>
    <n v="1.59"/>
    <n v="1.71"/>
  </r>
  <r>
    <x v="1"/>
    <s v="Convenience stores"/>
    <x v="11"/>
    <s v="Chocopops"/>
    <s v="|94/00/30|"/>
    <n v="672"/>
    <n v="1.53"/>
    <n v="1.76"/>
  </r>
  <r>
    <x v="1"/>
    <s v="Convenience stores"/>
    <x v="11"/>
    <s v="Chocopops"/>
    <s v="|94/00/31|"/>
    <n v="396"/>
    <n v="1.43"/>
    <n v="1.8"/>
  </r>
  <r>
    <x v="1"/>
    <s v="Convenience stores"/>
    <x v="11"/>
    <s v="Chocopops"/>
    <s v="|94/00/32|"/>
    <n v="600"/>
    <n v="1.47"/>
    <n v="1.76"/>
  </r>
  <r>
    <x v="1"/>
    <s v="Convenience stores"/>
    <x v="11"/>
    <s v="Chocopops"/>
    <s v="|94/00/50|"/>
    <n v="276"/>
    <n v="1.5"/>
    <n v="1.75"/>
  </r>
  <r>
    <x v="1"/>
    <s v="Convenience stores"/>
    <x v="11"/>
    <s v="Chocopops"/>
    <s v="|94/00/51|"/>
    <n v="480"/>
    <n v="1.59"/>
    <n v="1.79"/>
  </r>
  <r>
    <x v="1"/>
    <s v="Convenience stores"/>
    <x v="11"/>
    <s v="Chocopops"/>
    <s v="|94/00/52|"/>
    <n v="624"/>
    <n v="1.49"/>
    <n v="1.78"/>
  </r>
  <r>
    <x v="1"/>
    <s v="Convenience stores"/>
    <x v="11"/>
    <s v="Chocopops"/>
    <s v="|94/00/53|"/>
    <n v="300"/>
    <n v="1.49"/>
    <n v="1.78"/>
  </r>
  <r>
    <x v="1"/>
    <s v="Convenience stores"/>
    <x v="11"/>
    <s v="Chocopops"/>
    <s v="|94/01/00|"/>
    <n v="552"/>
    <n v="1.5"/>
    <n v="1.87"/>
  </r>
  <r>
    <x v="1"/>
    <s v="Convenience stores"/>
    <x v="11"/>
    <s v="Chocopops"/>
    <s v="|94/01/01|"/>
    <n v="444"/>
    <n v="1.51"/>
    <n v="1.74"/>
  </r>
  <r>
    <x v="1"/>
    <s v="Convenience stores"/>
    <x v="11"/>
    <s v="Chocopops"/>
    <s v="|94/01/02|"/>
    <n v="408"/>
    <n v="1.54"/>
    <n v="1.86"/>
  </r>
  <r>
    <x v="1"/>
    <s v="Convenience stores"/>
    <x v="11"/>
    <s v="Chocopops"/>
    <s v="|94/01/03|"/>
    <n v="720"/>
    <n v="1.46"/>
    <n v="1.9"/>
  </r>
  <r>
    <x v="1"/>
    <s v="Convenience stores"/>
    <x v="11"/>
    <s v="Chocopops"/>
    <s v="|94/01/04|"/>
    <n v="492"/>
    <n v="1.58"/>
    <n v="1.88"/>
  </r>
  <r>
    <x v="1"/>
    <s v="Convenience stores"/>
    <x v="11"/>
    <s v="Chocopops"/>
    <s v="|94/02/01|"/>
    <n v="600"/>
    <n v="1.53"/>
    <n v="1.88"/>
  </r>
  <r>
    <x v="1"/>
    <s v="Convenience stores"/>
    <x v="11"/>
    <s v="Chocopops"/>
    <s v="|94/02/02|"/>
    <n v="684"/>
    <n v="1.5"/>
    <n v="1.8"/>
  </r>
  <r>
    <x v="1"/>
    <s v="Convenience stores"/>
    <x v="11"/>
    <s v="Chocopops"/>
    <s v="|94/02/04|"/>
    <n v="384"/>
    <n v="1.41"/>
    <n v="1.71"/>
  </r>
  <r>
    <x v="1"/>
    <s v="Convenience stores"/>
    <x v="11"/>
    <s v="Chocopops"/>
    <s v="|94/02/07|"/>
    <n v="408"/>
    <n v="1.49"/>
    <n v="1.87"/>
  </r>
  <r>
    <x v="1"/>
    <s v="Convenience stores"/>
    <x v="11"/>
    <s v="Chocopops"/>
    <s v="|94/03/01|"/>
    <n v="600"/>
    <n v="1.52"/>
    <n v="1.74"/>
  </r>
  <r>
    <x v="1"/>
    <s v="Convenience stores"/>
    <x v="11"/>
    <s v="Chocopops"/>
    <s v="|94/03/02|"/>
    <n v="240"/>
    <n v="1.52"/>
    <n v="1.7"/>
  </r>
  <r>
    <x v="1"/>
    <s v="Convenience stores"/>
    <x v="11"/>
    <s v="Chocopops"/>
    <s v="|94/03/03|"/>
    <n v="432"/>
    <n v="1.45"/>
    <n v="1.87"/>
  </r>
  <r>
    <x v="1"/>
    <s v="Convenience stores"/>
    <x v="11"/>
    <s v="Chocopops"/>
    <s v="|94/03/04|"/>
    <n v="516"/>
    <n v="1.42"/>
    <n v="1.78"/>
  </r>
  <r>
    <x v="1"/>
    <s v="Convenience stores"/>
    <x v="11"/>
    <s v="Chocopops"/>
    <s v="|94/03/05|"/>
    <n v="420"/>
    <n v="1.52"/>
    <n v="1.89"/>
  </r>
  <r>
    <x v="1"/>
    <s v="Convenience stores"/>
    <x v="11"/>
    <s v="Chocopops"/>
    <s v="|94/03/06|"/>
    <n v="720"/>
    <n v="1.58"/>
    <n v="1.82"/>
  </r>
  <r>
    <x v="1"/>
    <s v="Convenience stores"/>
    <x v="11"/>
    <s v="Chocopops"/>
    <s v="|94/03/07|"/>
    <n v="360"/>
    <n v="1.59"/>
    <n v="1.79"/>
  </r>
  <r>
    <x v="1"/>
    <s v="Convenience stores"/>
    <x v="11"/>
    <s v="Chocopops"/>
    <s v="|94/03/08|"/>
    <n v="396"/>
    <n v="1.41"/>
    <n v="1.81"/>
  </r>
  <r>
    <x v="1"/>
    <s v="Convenience stores"/>
    <x v="11"/>
    <s v="Chocopops"/>
    <s v="|94/03/09|"/>
    <n v="684"/>
    <n v="1.48"/>
    <n v="1.82"/>
  </r>
  <r>
    <x v="1"/>
    <s v="Convenience stores"/>
    <x v="11"/>
    <s v="Chocopops"/>
    <s v="|94/03/10|"/>
    <n v="252"/>
    <n v="1.57"/>
    <n v="1.87"/>
  </r>
  <r>
    <x v="1"/>
    <s v="Convenience stores"/>
    <x v="11"/>
    <s v="Chocopops"/>
    <s v="|94/03/11|"/>
    <n v="240"/>
    <n v="1.59"/>
    <n v="1.77"/>
  </r>
  <r>
    <x v="1"/>
    <s v="Convenience stores"/>
    <x v="11"/>
    <s v="Chocopops"/>
    <s v="|94/03/12|"/>
    <n v="504"/>
    <n v="1.53"/>
    <n v="1.76"/>
  </r>
  <r>
    <x v="1"/>
    <s v="Convenience stores"/>
    <x v="11"/>
    <s v="Chocopops"/>
    <s v="|94/03/14|"/>
    <n v="576"/>
    <n v="1.53"/>
    <n v="1.86"/>
  </r>
  <r>
    <x v="1"/>
    <s v="Convenience stores"/>
    <x v="11"/>
    <s v="Chocopops"/>
    <s v="|94/03/15|"/>
    <n v="552"/>
    <n v="1.53"/>
    <n v="1.84"/>
  </r>
  <r>
    <x v="1"/>
    <s v="Convenience stores"/>
    <x v="11"/>
    <s v="Chocopops"/>
    <s v="|94/03/16|"/>
    <n v="384"/>
    <n v="1.48"/>
    <n v="1.87"/>
  </r>
  <r>
    <x v="1"/>
    <s v="Convenience stores"/>
    <x v="11"/>
    <s v="Chocopops"/>
    <s v="|94/03/17|"/>
    <n v="396"/>
    <n v="1.48"/>
    <n v="1.71"/>
  </r>
  <r>
    <x v="1"/>
    <s v="Convenience stores"/>
    <x v="11"/>
    <s v="Chocopops"/>
    <s v="|94/03/18|"/>
    <n v="276"/>
    <n v="1.41"/>
    <n v="1.86"/>
  </r>
  <r>
    <x v="1"/>
    <s v="Convenience stores"/>
    <x v="11"/>
    <s v="Chocopops"/>
    <s v="|94/04/01|"/>
    <n v="660"/>
    <n v="1.48"/>
    <n v="1.89"/>
  </r>
  <r>
    <x v="1"/>
    <s v="Convenience stores"/>
    <x v="11"/>
    <s v="Chocopops"/>
    <s v="|94/04/02|"/>
    <n v="336"/>
    <n v="1.51"/>
    <n v="1.79"/>
  </r>
  <r>
    <x v="1"/>
    <s v="Convenience stores"/>
    <x v="11"/>
    <s v="Chocopops"/>
    <s v="|94/04/03|"/>
    <n v="552"/>
    <n v="1.53"/>
    <n v="1.79"/>
  </r>
  <r>
    <x v="1"/>
    <s v="Convenience stores"/>
    <x v="11"/>
    <s v="Chocopops"/>
    <s v="|94/04/05|"/>
    <n v="432"/>
    <n v="1.48"/>
    <n v="1.81"/>
  </r>
  <r>
    <x v="1"/>
    <s v="Convenience stores"/>
    <x v="11"/>
    <s v="Chocopops"/>
    <s v="|94/04/06|"/>
    <n v="360"/>
    <n v="1.44"/>
    <n v="1.76"/>
  </r>
  <r>
    <x v="1"/>
    <s v="Convenience stores"/>
    <x v="11"/>
    <s v="Chocopops"/>
    <s v="|94/04/07|"/>
    <n v="396"/>
    <n v="1.41"/>
    <n v="1.75"/>
  </r>
  <r>
    <x v="1"/>
    <s v="Convenience stores"/>
    <x v="11"/>
    <s v="Chocopops"/>
    <s v="|94/04/08|"/>
    <n v="720"/>
    <n v="1.55"/>
    <n v="1.7"/>
  </r>
  <r>
    <x v="1"/>
    <s v="Convenience stores"/>
    <x v="11"/>
    <s v="Chocopops"/>
    <s v="|94/04/09|"/>
    <n v="720"/>
    <n v="1.6"/>
    <n v="1.82"/>
  </r>
  <r>
    <x v="1"/>
    <s v="Convenience stores"/>
    <x v="11"/>
    <s v="Chocopops"/>
    <s v="|94/05/01|"/>
    <n v="660"/>
    <n v="1.42"/>
    <n v="1.81"/>
  </r>
  <r>
    <x v="1"/>
    <s v="Convenience stores"/>
    <x v="11"/>
    <s v="Chocopops"/>
    <s v="|94/05/02|"/>
    <n v="504"/>
    <n v="1.47"/>
    <n v="1.9"/>
  </r>
  <r>
    <x v="1"/>
    <s v="Convenience stores"/>
    <x v="11"/>
    <s v="Chocopops"/>
    <s v="|94/05/03|"/>
    <n v="696"/>
    <n v="1.6"/>
    <n v="1.7"/>
  </r>
  <r>
    <x v="1"/>
    <s v="Convenience stores"/>
    <x v="11"/>
    <s v="Chocopops"/>
    <s v="|94/05/08|"/>
    <n v="696"/>
    <n v="1.55"/>
    <n v="1.87"/>
  </r>
  <r>
    <x v="1"/>
    <s v="Convenience stores"/>
    <x v="11"/>
    <s v="Chocopops"/>
    <s v="|94/05/09|"/>
    <n v="336"/>
    <n v="1.48"/>
    <n v="1.86"/>
  </r>
  <r>
    <x v="1"/>
    <s v="Convenience stores"/>
    <x v="11"/>
    <s v="Chocopops"/>
    <s v="|94/05/10|"/>
    <n v="660"/>
    <n v="1.56"/>
    <n v="1.75"/>
  </r>
  <r>
    <x v="1"/>
    <s v="Convenience stores"/>
    <x v="11"/>
    <s v="Chocopops"/>
    <s v="|94/05/11|"/>
    <n v="660"/>
    <n v="1.44"/>
    <n v="1.82"/>
  </r>
  <r>
    <x v="1"/>
    <s v="Convenience stores"/>
    <x v="11"/>
    <s v="Chocopops"/>
    <s v="|94/05/12|"/>
    <n v="612"/>
    <n v="1.44"/>
    <n v="1.85"/>
  </r>
  <r>
    <x v="1"/>
    <s v="Convenience stores"/>
    <x v="11"/>
    <s v="Chocopops"/>
    <s v="|94/05/13|"/>
    <n v="636"/>
    <n v="1.59"/>
    <n v="1.88"/>
  </r>
  <r>
    <x v="1"/>
    <s v="Convenience stores"/>
    <x v="11"/>
    <s v="Chocopops"/>
    <s v="|94/05/14|"/>
    <n v="324"/>
    <n v="1.51"/>
    <n v="1.74"/>
  </r>
  <r>
    <x v="1"/>
    <s v="Convenience stores"/>
    <x v="11"/>
    <s v="Chocopops"/>
    <s v="|94/05/15|"/>
    <n v="660"/>
    <n v="1.41"/>
    <n v="1.82"/>
  </r>
  <r>
    <x v="1"/>
    <s v="Convenience stores"/>
    <x v="11"/>
    <s v="Chocopops"/>
    <s v="|94/05/16|"/>
    <n v="720"/>
    <n v="1.49"/>
    <n v="1.82"/>
  </r>
  <r>
    <x v="1"/>
    <s v="Convenience stores"/>
    <x v="11"/>
    <s v="Chocopops"/>
    <s v="|94/05/17|"/>
    <n v="264"/>
    <n v="1.45"/>
    <n v="1.73"/>
  </r>
  <r>
    <x v="1"/>
    <s v="Convenience stores"/>
    <x v="11"/>
    <s v="Chocopops"/>
    <s v="|94/06/01|"/>
    <n v="492"/>
    <n v="1.41"/>
    <n v="1.74"/>
  </r>
  <r>
    <x v="1"/>
    <s v="Convenience stores"/>
    <x v="11"/>
    <s v="Chocopops"/>
    <s v="|94/06/02|"/>
    <n v="312"/>
    <n v="1.49"/>
    <n v="1.75"/>
  </r>
  <r>
    <x v="1"/>
    <s v="Convenience stores"/>
    <x v="11"/>
    <s v="Chocopops"/>
    <s v="|94/04/101|"/>
    <n v="648"/>
    <n v="1.4"/>
    <n v="1.89"/>
  </r>
  <r>
    <x v="1"/>
    <s v="Convenience stores"/>
    <x v="11"/>
    <s v="Chocopops"/>
    <s v="|94/04/102|"/>
    <n v="420"/>
    <n v="1.54"/>
    <n v="1.77"/>
  </r>
  <r>
    <x v="1"/>
    <s v="Convenience stores"/>
    <x v="11"/>
    <s v="Chocopops"/>
    <s v="|94/04/103|"/>
    <n v="300"/>
    <n v="1.51"/>
    <n v="1.88"/>
  </r>
  <r>
    <x v="1"/>
    <s v="Convenience stores"/>
    <x v="11"/>
    <s v="Chocopops"/>
    <s v="|94/04/104|"/>
    <n v="564"/>
    <n v="1.56"/>
    <n v="1.75"/>
  </r>
  <r>
    <x v="1"/>
    <s v="Convenience stores"/>
    <x v="11"/>
    <s v="Chocopops"/>
    <s v="|94/04/105|"/>
    <n v="684"/>
    <n v="1.6"/>
    <n v="1.81"/>
  </r>
  <r>
    <x v="1"/>
    <s v="Convenience stores"/>
    <x v="11"/>
    <s v="Chocopops"/>
    <s v="|94/06/03|"/>
    <n v="276"/>
    <n v="1.49"/>
    <n v="1.83"/>
  </r>
  <r>
    <x v="1"/>
    <s v="Convenience stores"/>
    <x v="5"/>
    <s v="Chocowaff"/>
    <s v="|96/01/01|"/>
    <n v="1188"/>
    <n v="1.3"/>
    <n v="1.74"/>
  </r>
  <r>
    <x v="1"/>
    <s v="Convenience stores"/>
    <x v="5"/>
    <s v="Chocowaff"/>
    <s v="|96/01/02|"/>
    <n v="876"/>
    <n v="1.1399999999999999"/>
    <n v="1.84"/>
  </r>
  <r>
    <x v="1"/>
    <s v="Convenience stores"/>
    <x v="5"/>
    <s v="Chocowaff"/>
    <s v="|96/01/03|"/>
    <n v="1020"/>
    <n v="1.33"/>
    <n v="1.87"/>
  </r>
  <r>
    <x v="1"/>
    <s v="Convenience stores"/>
    <x v="5"/>
    <s v="Chocowaff"/>
    <s v="|96/01/04|"/>
    <n v="768"/>
    <n v="1.2"/>
    <n v="1.79"/>
  </r>
  <r>
    <x v="1"/>
    <s v="Convenience stores"/>
    <x v="5"/>
    <s v="Chocowaff"/>
    <s v="|96/01/05|"/>
    <n v="864"/>
    <n v="1.29"/>
    <n v="1.64"/>
  </r>
  <r>
    <x v="1"/>
    <s v="Convenience stores"/>
    <x v="5"/>
    <s v="Chocowaff"/>
    <s v="|96/01/06a|"/>
    <n v="864"/>
    <n v="1.41"/>
    <n v="1.88"/>
  </r>
  <r>
    <x v="1"/>
    <s v="Convenience stores"/>
    <x v="5"/>
    <s v="Chocowaff"/>
    <s v="|96/01/07a|"/>
    <n v="588"/>
    <n v="1.25"/>
    <n v="1.86"/>
  </r>
  <r>
    <x v="1"/>
    <s v="Convenience stores"/>
    <x v="5"/>
    <s v="Chocowaff"/>
    <s v="|96/01/08|"/>
    <n v="780"/>
    <n v="1.22"/>
    <n v="1.79"/>
  </r>
  <r>
    <x v="1"/>
    <s v="Convenience stores"/>
    <x v="5"/>
    <s v="Chocowaff"/>
    <s v="|96/01/09|"/>
    <n v="1308"/>
    <n v="1.34"/>
    <n v="1.61"/>
  </r>
  <r>
    <x v="1"/>
    <s v="Convenience stores"/>
    <x v="5"/>
    <s v="Chocowaff"/>
    <s v="|96/01/10|"/>
    <n v="1176"/>
    <n v="1.18"/>
    <n v="1.73"/>
  </r>
  <r>
    <x v="1"/>
    <s v="Convenience stores"/>
    <x v="5"/>
    <s v="Chocowaff"/>
    <s v="|96/01/11|"/>
    <n v="1104"/>
    <n v="1.25"/>
    <n v="1.61"/>
  </r>
  <r>
    <x v="1"/>
    <s v="Convenience stores"/>
    <x v="5"/>
    <s v="Chocowaff"/>
    <s v="|96/01/12|"/>
    <n v="984"/>
    <n v="1.4"/>
    <n v="1.74"/>
  </r>
  <r>
    <x v="1"/>
    <s v="Convenience stores"/>
    <x v="3"/>
    <s v="Dr Pepper"/>
    <s v="|03/01/01|"/>
    <n v="156"/>
    <n v="1.04"/>
    <n v="1.34"/>
  </r>
  <r>
    <x v="1"/>
    <s v="Convenience stores"/>
    <x v="3"/>
    <s v="Dr Pepper"/>
    <s v="|03/01/02|"/>
    <n v="108"/>
    <n v="1.1399999999999999"/>
    <n v="1.31"/>
  </r>
  <r>
    <x v="1"/>
    <s v="Convenience stores"/>
    <x v="2"/>
    <s v="Pausa Caffe'"/>
    <s v="|12/12/00|"/>
    <n v="8220"/>
    <n v="0.4"/>
    <n v="1.18"/>
  </r>
  <r>
    <x v="1"/>
    <s v="Convenience stores"/>
    <x v="2"/>
    <s v="Pausa Caffe'"/>
    <s v="|12/12/01|"/>
    <n v="7512"/>
    <n v="0.95"/>
    <n v="1.19"/>
  </r>
  <r>
    <x v="1"/>
    <s v="Convenience stores"/>
    <x v="2"/>
    <s v="Pausa Caffe'"/>
    <s v="|12/12/02|"/>
    <n v="6876"/>
    <n v="0.49"/>
    <n v="1.05"/>
  </r>
  <r>
    <x v="1"/>
    <s v="Convenience stores"/>
    <x v="2"/>
    <s v="Pausa Caffe'"/>
    <s v="|12/12/03|"/>
    <n v="4908"/>
    <n v="0.62"/>
    <n v="1.0900000000000001"/>
  </r>
  <r>
    <x v="1"/>
    <s v="Convenience stores"/>
    <x v="2"/>
    <s v="Pausa Caffe'"/>
    <s v="|12/12/04|"/>
    <n v="8292"/>
    <n v="0.97"/>
    <n v="1.2"/>
  </r>
  <r>
    <x v="1"/>
    <s v="Convenience stores"/>
    <x v="2"/>
    <s v="Pausa Caffe'"/>
    <s v="|12/12/06|"/>
    <n v="8028"/>
    <n v="1.1100000000000001"/>
    <n v="1.07"/>
  </r>
  <r>
    <x v="1"/>
    <s v="Convenience stores"/>
    <x v="2"/>
    <s v="Pausa Caffe'"/>
    <s v="|12/12/07|"/>
    <n v="6372"/>
    <n v="0.57999999999999996"/>
    <n v="1.06"/>
  </r>
  <r>
    <x v="1"/>
    <s v="Convenience stores"/>
    <x v="2"/>
    <s v="Pausa Caffe'"/>
    <s v="|12/12/105|"/>
    <n v="7632"/>
    <n v="0.55000000000000004"/>
    <n v="1.1100000000000001"/>
  </r>
  <r>
    <x v="1"/>
    <s v="Convenience stores"/>
    <x v="2"/>
    <s v="Pausa Caffe'"/>
    <s v="|12/12/107|"/>
    <n v="8820"/>
    <n v="0.57999999999999996"/>
    <n v="1.17"/>
  </r>
  <r>
    <x v="1"/>
    <s v="Convenience stores"/>
    <x v="2"/>
    <s v="Pausa Caffe'"/>
    <s v="|12/12/108|"/>
    <n v="5256"/>
    <n v="0.83"/>
    <n v="1.18"/>
  </r>
  <r>
    <x v="1"/>
    <s v="Convenience stores"/>
    <x v="2"/>
    <s v="Pausa Caffe'"/>
    <s v="|12/12/110|"/>
    <n v="8784"/>
    <n v="0.56000000000000005"/>
    <n v="1.1499999999999999"/>
  </r>
  <r>
    <x v="1"/>
    <s v="Convenience stores"/>
    <x v="2"/>
    <s v="Pausa Caffe'"/>
    <s v="|12/12/112|"/>
    <n v="9528"/>
    <n v="0.9"/>
    <n v="0.98"/>
  </r>
  <r>
    <x v="1"/>
    <s v="Convenience stores"/>
    <x v="2"/>
    <s v="Pausa Caffe'"/>
    <s v="|12/12/113|"/>
    <n v="5196"/>
    <n v="0.86"/>
    <n v="1.1399999999999999"/>
  </r>
  <r>
    <x v="1"/>
    <s v="Convenience stores"/>
    <x v="2"/>
    <s v="Pausa Caffe'"/>
    <s v="|12/12/13|"/>
    <n v="6432"/>
    <n v="0.74"/>
    <n v="1.07"/>
  </r>
  <r>
    <x v="1"/>
    <s v="Convenience stores"/>
    <x v="2"/>
    <s v="Pausa Caffe'"/>
    <s v="|12/12/18|"/>
    <n v="9108"/>
    <n v="1.01"/>
    <n v="0.99"/>
  </r>
  <r>
    <x v="1"/>
    <s v="Convenience stores"/>
    <x v="2"/>
    <s v="Pausa Caffe'"/>
    <s v="|12/12/27|"/>
    <n v="6624"/>
    <n v="0.54"/>
    <n v="0.9"/>
  </r>
  <r>
    <x v="1"/>
    <s v="Convenience stores"/>
    <x v="2"/>
    <s v="Pausa Caffe'"/>
    <s v="|12/12/36|"/>
    <n v="6288"/>
    <n v="0.92"/>
    <n v="1.18"/>
  </r>
  <r>
    <x v="1"/>
    <s v="Convenience stores"/>
    <x v="2"/>
    <s v="Pausa Caffe'"/>
    <s v="|12/12/43|"/>
    <n v="9132"/>
    <n v="1.19"/>
    <n v="0.92"/>
  </r>
  <r>
    <x v="1"/>
    <s v="Convenience stores"/>
    <x v="2"/>
    <s v="Pausa Caffe'"/>
    <s v="|12/12/45|"/>
    <n v="7728"/>
    <n v="0.81"/>
    <n v="0.93"/>
  </r>
  <r>
    <x v="1"/>
    <s v="Convenience stores"/>
    <x v="2"/>
    <s v="Pausa Caffe'"/>
    <s v="|12/12/47|"/>
    <n v="6792"/>
    <n v="0.95"/>
    <n v="1.17"/>
  </r>
  <r>
    <x v="1"/>
    <s v="Convenience stores"/>
    <x v="2"/>
    <s v="Pausa Caffe'"/>
    <s v="|12/12/50|"/>
    <n v="5640"/>
    <n v="1.1299999999999999"/>
    <n v="0.94"/>
  </r>
  <r>
    <x v="1"/>
    <s v="Convenience stores"/>
    <x v="2"/>
    <s v="Pausa Caffe'"/>
    <s v="|12/12/51|"/>
    <n v="4992"/>
    <n v="1.1000000000000001"/>
    <n v="0.96"/>
  </r>
  <r>
    <x v="1"/>
    <s v="Convenience stores"/>
    <x v="2"/>
    <s v="Pausa Caffe'"/>
    <s v="|12/12/53|"/>
    <n v="5376"/>
    <n v="0.7"/>
    <n v="1.19"/>
  </r>
  <r>
    <x v="1"/>
    <s v="Convenience stores"/>
    <x v="2"/>
    <s v="Pausa Caffe'"/>
    <s v="|12/12/586|"/>
    <n v="5352"/>
    <n v="0.81"/>
    <n v="1.1200000000000001"/>
  </r>
  <r>
    <x v="1"/>
    <s v="Convenience stores"/>
    <x v="2"/>
    <s v="Pausa Caffe'"/>
    <s v="|12/12/62|"/>
    <n v="8772"/>
    <n v="0.87"/>
    <n v="1.18"/>
  </r>
  <r>
    <x v="1"/>
    <s v="Convenience stores"/>
    <x v="2"/>
    <s v="Pausa Caffe'"/>
    <s v="|12/12/67|"/>
    <n v="5316"/>
    <n v="0.62"/>
    <n v="0.9"/>
  </r>
  <r>
    <x v="1"/>
    <s v="Convenience stores"/>
    <x v="2"/>
    <s v="Pausa Caffe'"/>
    <s v="|12/12/68|"/>
    <n v="8124"/>
    <n v="0.91"/>
    <n v="1.1599999999999999"/>
  </r>
  <r>
    <x v="1"/>
    <s v="Convenience stores"/>
    <x v="2"/>
    <s v="Pausa Caffe'"/>
    <s v="|12/12/69|"/>
    <n v="5880"/>
    <n v="0.41"/>
    <n v="1.05"/>
  </r>
  <r>
    <x v="1"/>
    <s v="Convenience stores"/>
    <x v="2"/>
    <s v="Pausa Caffe'"/>
    <s v="|12/12/71|"/>
    <n v="5580"/>
    <n v="0.53"/>
    <n v="0.94"/>
  </r>
  <r>
    <x v="1"/>
    <s v="Convenience stores"/>
    <x v="2"/>
    <s v="Pausa Caffe'"/>
    <s v="|12/12/73|"/>
    <n v="7092"/>
    <n v="0.64"/>
    <n v="0.94"/>
  </r>
  <r>
    <x v="1"/>
    <s v="Convenience stores"/>
    <x v="2"/>
    <s v="Pausa Caffe'"/>
    <s v="|12/12/74|"/>
    <n v="7560"/>
    <n v="1.01"/>
    <n v="0.99"/>
  </r>
  <r>
    <x v="1"/>
    <s v="Convenience stores"/>
    <x v="2"/>
    <s v="Pausa Caffe'"/>
    <s v="|12/12/75|"/>
    <n v="8844"/>
    <n v="1.1100000000000001"/>
    <n v="1.1499999999999999"/>
  </r>
  <r>
    <x v="1"/>
    <s v="Convenience stores"/>
    <x v="2"/>
    <s v="Pausa Caffe'"/>
    <s v="|12/12/76|"/>
    <n v="9480"/>
    <n v="1.03"/>
    <n v="0.97"/>
  </r>
  <r>
    <x v="1"/>
    <s v="Convenience stores"/>
    <x v="2"/>
    <s v="Pausa Caffe'"/>
    <s v="|12/12/77|"/>
    <n v="6756"/>
    <n v="1.2"/>
    <n v="1.05"/>
  </r>
  <r>
    <x v="1"/>
    <s v="Convenience stores"/>
    <x v="2"/>
    <s v="Pausa Caffe'"/>
    <s v="|12/12/78|"/>
    <n v="8988"/>
    <n v="0.9"/>
    <n v="1.06"/>
  </r>
  <r>
    <x v="1"/>
    <s v="Convenience stores"/>
    <x v="2"/>
    <s v="Pausa Caffe'"/>
    <s v="|12/12/81|"/>
    <n v="7740"/>
    <n v="0.92"/>
    <n v="0.93"/>
  </r>
  <r>
    <x v="1"/>
    <s v="Convenience stores"/>
    <x v="2"/>
    <s v="Pausa Caffe'"/>
    <s v="|12/12/83|"/>
    <n v="6900"/>
    <n v="1.07"/>
    <n v="0.99"/>
  </r>
  <r>
    <x v="1"/>
    <s v="Convenience stores"/>
    <x v="2"/>
    <s v="Pausa Caffe'"/>
    <s v="|12/12/86|"/>
    <n v="8388"/>
    <n v="0.83"/>
    <n v="1.1299999999999999"/>
  </r>
  <r>
    <x v="1"/>
    <s v="Convenience stores"/>
    <x v="2"/>
    <s v="Pausa Caffe'"/>
    <s v="|12/12/86B|"/>
    <n v="6264"/>
    <n v="1.1000000000000001"/>
    <n v="1.17"/>
  </r>
  <r>
    <x v="1"/>
    <s v="Convenience stores"/>
    <x v="2"/>
    <s v="Pausa Caffe'"/>
    <s v="|12/12/876|"/>
    <n v="8940"/>
    <n v="1.1200000000000001"/>
    <n v="1.1200000000000001"/>
  </r>
  <r>
    <x v="1"/>
    <s v="Convenience stores"/>
    <x v="2"/>
    <s v="Pausa Caffe'"/>
    <s v="|12/12/91|"/>
    <n v="5736"/>
    <n v="1.03"/>
    <n v="0.9"/>
  </r>
  <r>
    <x v="1"/>
    <s v="Convenience stores"/>
    <x v="2"/>
    <s v="Pausa Caffe'"/>
    <s v="|12/12/93|"/>
    <n v="5028"/>
    <n v="0.79"/>
    <n v="1.05"/>
  </r>
  <r>
    <x v="1"/>
    <s v="Convenience stores"/>
    <x v="2"/>
    <s v="Pausa Caffe'"/>
    <s v="|12/12/95|"/>
    <n v="8952"/>
    <n v="0.71"/>
    <n v="1.1399999999999999"/>
  </r>
  <r>
    <x v="1"/>
    <s v="Convenience stores"/>
    <x v="2"/>
    <s v="Pausa Caffe'"/>
    <s v="|12/12/96|"/>
    <n v="7704"/>
    <n v="0.86"/>
    <n v="1.1200000000000001"/>
  </r>
  <r>
    <x v="1"/>
    <s v="Convenience stores"/>
    <x v="2"/>
    <s v="Pausa Caffe'"/>
    <s v="|12/12/97|"/>
    <n v="7152"/>
    <n v="0.47"/>
    <n v="0.93"/>
  </r>
  <r>
    <x v="1"/>
    <s v="Convenience stores"/>
    <x v="2"/>
    <s v="Pausa Caffe'"/>
    <s v="|12/12/98|"/>
    <n v="6432"/>
    <n v="0.52"/>
    <n v="0.95"/>
  </r>
  <r>
    <x v="1"/>
    <s v="Convenience stores"/>
    <x v="2"/>
    <s v="Pausa Caffe'"/>
    <s v="|12/12/99|"/>
    <n v="9468"/>
    <n v="0.54"/>
    <n v="1.19"/>
  </r>
  <r>
    <x v="1"/>
    <s v="Convenience stores"/>
    <x v="2"/>
    <s v="Pausa Caffe'"/>
    <s v="|12/12/C 86|"/>
    <n v="5400"/>
    <n v="0.98"/>
    <n v="1.1599999999999999"/>
  </r>
  <r>
    <x v="1"/>
    <s v="Convenience stores"/>
    <x v="2"/>
    <s v="Pausa Caffe'"/>
    <s v="|12/12/S|"/>
    <n v="5304"/>
    <n v="1.17"/>
    <n v="1.18"/>
  </r>
  <r>
    <x v="1"/>
    <s v="Convenience stores"/>
    <x v="2"/>
    <s v="Caffe Italiano"/>
    <s v="|15/15/01|"/>
    <n v="7932"/>
    <n v="0.56000000000000005"/>
    <n v="1.03"/>
  </r>
  <r>
    <x v="1"/>
    <s v="Convenience stores"/>
    <x v="2"/>
    <s v="Caffe Italiano"/>
    <s v="|15/15/02|"/>
    <n v="9300"/>
    <n v="0.62"/>
    <n v="1.2"/>
  </r>
  <r>
    <x v="1"/>
    <s v="Convenience stores"/>
    <x v="2"/>
    <s v="Caffe Italiano"/>
    <s v="|15/15/03|"/>
    <n v="9000"/>
    <n v="0.94"/>
    <n v="1.19"/>
  </r>
  <r>
    <x v="1"/>
    <s v="Convenience stores"/>
    <x v="2"/>
    <s v="Caffe Italiano"/>
    <s v="|15/15/04|"/>
    <n v="5232"/>
    <n v="0.63"/>
    <n v="1.1000000000000001"/>
  </r>
  <r>
    <x v="1"/>
    <s v="Convenience stores"/>
    <x v="2"/>
    <s v="Caffe Italiano"/>
    <s v="|15/15/05|"/>
    <n v="9252"/>
    <n v="0.68"/>
    <n v="0.99"/>
  </r>
  <r>
    <x v="1"/>
    <s v="Convenience stores"/>
    <x v="2"/>
    <s v="Caffe Italiano"/>
    <s v="|15/15/06|"/>
    <n v="6348"/>
    <n v="1.1499999999999999"/>
    <n v="1.1299999999999999"/>
  </r>
  <r>
    <x v="1"/>
    <s v="Convenience stores"/>
    <x v="2"/>
    <s v="Caffe Italiano"/>
    <s v="|15/15/07|"/>
    <n v="6192"/>
    <n v="0.62"/>
    <n v="1.1000000000000001"/>
  </r>
  <r>
    <x v="1"/>
    <s v="Convenience stores"/>
    <x v="2"/>
    <s v="Caffe Italiano"/>
    <s v="|15/15/08|"/>
    <n v="6612"/>
    <n v="0.62"/>
    <n v="1.04"/>
  </r>
  <r>
    <x v="1"/>
    <s v="Convenience stores"/>
    <x v="2"/>
    <s v="Caffe Italiano"/>
    <s v="|15/15/09|"/>
    <n v="8880"/>
    <n v="1.1299999999999999"/>
    <n v="1.1599999999999999"/>
  </r>
  <r>
    <x v="1"/>
    <s v="Convenience stores"/>
    <x v="2"/>
    <s v="Caffe Italiano"/>
    <s v="|15/15/10|"/>
    <n v="5880"/>
    <n v="1.1399999999999999"/>
    <n v="1.07"/>
  </r>
  <r>
    <x v="1"/>
    <s v="Convenience stores"/>
    <x v="2"/>
    <s v="Caffe Italiano"/>
    <s v="|15/15/11|"/>
    <n v="7092"/>
    <n v="0.57999999999999996"/>
    <n v="0.91"/>
  </r>
  <r>
    <x v="1"/>
    <s v="Convenience stores"/>
    <x v="2"/>
    <s v="Caffe Italiano"/>
    <s v="|15/15/12|"/>
    <n v="9492"/>
    <n v="0.43"/>
    <n v="1.0900000000000001"/>
  </r>
  <r>
    <x v="1"/>
    <s v="Convenience stores"/>
    <x v="2"/>
    <s v="Caffe Italiano"/>
    <s v="|15/15/13|"/>
    <n v="7260"/>
    <n v="0.46"/>
    <n v="1.08"/>
  </r>
  <r>
    <x v="1"/>
    <s v="Convenience stores"/>
    <x v="2"/>
    <s v="Caffe Italiano"/>
    <s v="|15/15/14|"/>
    <n v="7812"/>
    <n v="0.8"/>
    <n v="0.98"/>
  </r>
  <r>
    <x v="1"/>
    <s v="Convenience stores"/>
    <x v="2"/>
    <s v="Caffe Italiano"/>
    <s v="|15/15/15|"/>
    <n v="8220"/>
    <n v="0.71"/>
    <n v="1.17"/>
  </r>
  <r>
    <x v="1"/>
    <s v="Convenience stores"/>
    <x v="2"/>
    <s v="Caffe Italiano"/>
    <s v="|15/15/16|"/>
    <n v="9096"/>
    <n v="0.7"/>
    <n v="1.02"/>
  </r>
  <r>
    <x v="1"/>
    <s v="Convenience stores"/>
    <x v="2"/>
    <s v="Caffe Italiano"/>
    <s v="|15/15/17|"/>
    <n v="7560"/>
    <n v="0.76"/>
    <n v="0.91"/>
  </r>
  <r>
    <x v="1"/>
    <s v="Convenience stores"/>
    <x v="2"/>
    <s v="Caffe Italiano"/>
    <s v="|15/15/18|"/>
    <n v="6720"/>
    <n v="0.68"/>
    <n v="1.1299999999999999"/>
  </r>
  <r>
    <x v="1"/>
    <s v="Convenience stores"/>
    <x v="2"/>
    <s v="Caffe Italiano"/>
    <s v="|15/15/19|"/>
    <n v="8016"/>
    <n v="0.92"/>
    <n v="1.02"/>
  </r>
  <r>
    <x v="1"/>
    <s v="Convenience stores"/>
    <x v="2"/>
    <s v="Caffe Italiano"/>
    <s v="|15/15/20|"/>
    <n v="9252"/>
    <n v="0.92"/>
    <n v="1.2"/>
  </r>
  <r>
    <x v="1"/>
    <s v="Convenience stores"/>
    <x v="2"/>
    <s v="Caffe Italiano"/>
    <s v="|15/15/21|"/>
    <n v="5016"/>
    <n v="0.9"/>
    <n v="1.0900000000000001"/>
  </r>
  <r>
    <x v="1"/>
    <s v="Convenience stores"/>
    <x v="2"/>
    <s v="Caffe Italiano"/>
    <s v="|15/15/22|"/>
    <n v="9168"/>
    <n v="0.79"/>
    <n v="1.03"/>
  </r>
  <r>
    <x v="1"/>
    <s v="Convenience stores"/>
    <x v="2"/>
    <s v="Caffe Italiano"/>
    <s v="|15/15/23|"/>
    <n v="5220"/>
    <n v="0.64"/>
    <n v="1.19"/>
  </r>
  <r>
    <x v="1"/>
    <s v="Convenience stores"/>
    <x v="2"/>
    <s v="Caffe Italiano"/>
    <s v="|15/15/24|"/>
    <n v="9012"/>
    <n v="0.7"/>
    <n v="0.95"/>
  </r>
  <r>
    <x v="1"/>
    <s v="Convenience stores"/>
    <x v="2"/>
    <s v="Caffe Italiano"/>
    <s v="|15/15/25|"/>
    <n v="6192"/>
    <n v="1.19"/>
    <n v="1.1599999999999999"/>
  </r>
  <r>
    <x v="1"/>
    <s v="Convenience stores"/>
    <x v="2"/>
    <s v="Caffe Italiano"/>
    <s v="|15/15/26|"/>
    <n v="6636"/>
    <n v="0.43"/>
    <n v="0.92"/>
  </r>
  <r>
    <x v="1"/>
    <s v="Convenience stores"/>
    <x v="2"/>
    <s v="Caffe Italiano"/>
    <s v="|15/15/27|"/>
    <n v="8676"/>
    <n v="0.69"/>
    <n v="1.0900000000000001"/>
  </r>
  <r>
    <x v="1"/>
    <s v="Convenience stores"/>
    <x v="2"/>
    <s v="Caffe Italiano"/>
    <s v="|15/15/28|"/>
    <n v="7476"/>
    <n v="1.03"/>
    <n v="1.0900000000000001"/>
  </r>
  <r>
    <x v="1"/>
    <s v="Convenience stores"/>
    <x v="2"/>
    <s v="Caffe Italiano"/>
    <s v="|15/15/29|"/>
    <n v="5688"/>
    <n v="0.91"/>
    <n v="0.92"/>
  </r>
  <r>
    <x v="1"/>
    <s v="Convenience stores"/>
    <x v="2"/>
    <s v="Caffe Italiano"/>
    <s v="|15/15/30|"/>
    <n v="6504"/>
    <n v="0.82"/>
    <n v="0.93"/>
  </r>
  <r>
    <x v="1"/>
    <s v="Convenience stores"/>
    <x v="2"/>
    <s v="Caffe Italiano"/>
    <s v="|15/15/31|"/>
    <n v="7164"/>
    <n v="0.45"/>
    <n v="1.19"/>
  </r>
  <r>
    <x v="1"/>
    <s v="Convenience stores"/>
    <x v="2"/>
    <s v="Caffe Italiano"/>
    <s v="|15/15/32|"/>
    <n v="5772"/>
    <n v="1.07"/>
    <n v="1.07"/>
  </r>
  <r>
    <x v="1"/>
    <s v="Convenience stores"/>
    <x v="2"/>
    <s v="Caffe Italiano"/>
    <s v="|15/15/40|"/>
    <n v="7224"/>
    <n v="0.43"/>
    <n v="1.17"/>
  </r>
  <r>
    <x v="1"/>
    <s v="Convenience stores"/>
    <x v="2"/>
    <s v="Caffe Italiano"/>
    <s v="|15/15/41|"/>
    <n v="6684"/>
    <n v="0.43"/>
    <n v="0.99"/>
  </r>
  <r>
    <x v="1"/>
    <s v="Convenience stores"/>
    <x v="2"/>
    <s v="Caffe Italiano"/>
    <s v="|15/15/42|"/>
    <n v="4956"/>
    <n v="0.73"/>
    <n v="1.01"/>
  </r>
  <r>
    <x v="1"/>
    <s v="Convenience stores"/>
    <x v="2"/>
    <s v="Caffe Italiano"/>
    <s v="|15/15/43|"/>
    <n v="9516"/>
    <n v="0.89"/>
    <n v="0.93"/>
  </r>
  <r>
    <x v="1"/>
    <s v="Convenience stores"/>
    <x v="2"/>
    <s v="Caffe Italiano"/>
    <s v="|15/15/44|"/>
    <n v="6768"/>
    <n v="0.92"/>
    <n v="1.1100000000000001"/>
  </r>
  <r>
    <x v="1"/>
    <s v="Convenience stores"/>
    <x v="2"/>
    <s v="Caffe Italiano"/>
    <s v="|15/15/45|"/>
    <n v="8316"/>
    <n v="0.98"/>
    <n v="0.93"/>
  </r>
  <r>
    <x v="1"/>
    <s v="Convenience stores"/>
    <x v="2"/>
    <s v="Caffe Italiano"/>
    <s v="|15/15/46|"/>
    <n v="8772"/>
    <n v="1.04"/>
    <n v="0.92"/>
  </r>
  <r>
    <x v="1"/>
    <s v="Convenience stores"/>
    <x v="2"/>
    <s v="Caffe Italiano"/>
    <s v="|15/15/47|"/>
    <n v="5136"/>
    <n v="0.52"/>
    <n v="1.04"/>
  </r>
  <r>
    <x v="1"/>
    <s v="Convenience stores"/>
    <x v="2"/>
    <s v="Caffe Italiano"/>
    <s v="|15/15/48|"/>
    <n v="5568"/>
    <n v="1.1499999999999999"/>
    <n v="1.08"/>
  </r>
  <r>
    <x v="1"/>
    <s v="Convenience stores"/>
    <x v="2"/>
    <s v="Caffe Italiano"/>
    <s v="|15/15/49|"/>
    <n v="6624"/>
    <n v="0.54"/>
    <n v="1.0900000000000001"/>
  </r>
  <r>
    <x v="1"/>
    <s v="Convenience stores"/>
    <x v="2"/>
    <s v="Caffe Italiano"/>
    <s v="|15/15/60|"/>
    <n v="6660"/>
    <n v="0.64"/>
    <n v="0.98"/>
  </r>
  <r>
    <x v="1"/>
    <s v="Convenience stores"/>
    <x v="2"/>
    <s v="Caffe Italiano"/>
    <s v="|15/15/61|"/>
    <n v="8880"/>
    <n v="1.17"/>
    <n v="0.91"/>
  </r>
  <r>
    <x v="1"/>
    <s v="Convenience stores"/>
    <x v="2"/>
    <s v="Caffe Italiano"/>
    <s v="|15/15/62|"/>
    <n v="7020"/>
    <n v="1.06"/>
    <n v="1.0900000000000001"/>
  </r>
  <r>
    <x v="1"/>
    <s v="Convenience stores"/>
    <x v="2"/>
    <s v="Caffe Italiano"/>
    <s v="|15/15/63|"/>
    <n v="7752"/>
    <n v="1.07"/>
    <n v="1.06"/>
  </r>
  <r>
    <x v="1"/>
    <s v="Convenience stores"/>
    <x v="2"/>
    <s v="Caffe Italiano"/>
    <s v="|15/15/64|"/>
    <n v="8004"/>
    <n v="1.1200000000000001"/>
    <n v="1.03"/>
  </r>
  <r>
    <x v="1"/>
    <s v="Convenience stores"/>
    <x v="2"/>
    <s v="Caffe Italiano"/>
    <s v="|15/15/65|"/>
    <n v="4992"/>
    <n v="0.42"/>
    <n v="0.98"/>
  </r>
  <r>
    <x v="1"/>
    <s v="Convenience stores"/>
    <x v="2"/>
    <s v="Caffe Italiano"/>
    <s v="|15/15/66|"/>
    <n v="5640"/>
    <n v="1.19"/>
    <n v="1.18"/>
  </r>
  <r>
    <x v="1"/>
    <s v="Convenience stores"/>
    <x v="2"/>
    <s v="Caffe Italiano"/>
    <s v="|15/15/67|"/>
    <n v="5364"/>
    <n v="0.88"/>
    <n v="1.01"/>
  </r>
  <r>
    <x v="1"/>
    <s v="Convenience stores"/>
    <x v="2"/>
    <s v="Caffe Italiano"/>
    <s v="|15/15/69|"/>
    <n v="9492"/>
    <n v="0.41"/>
    <n v="1.0900000000000001"/>
  </r>
  <r>
    <x v="1"/>
    <s v="Convenience stores"/>
    <x v="2"/>
    <s v="Caffe Italiano"/>
    <s v="|15/16/01|"/>
    <n v="5484"/>
    <n v="0.45"/>
    <n v="1.19"/>
  </r>
  <r>
    <x v="1"/>
    <s v="Convenience stores"/>
    <x v="2"/>
    <s v="Caffe Italiano"/>
    <s v="|15/16/02|"/>
    <n v="5916"/>
    <n v="1.05"/>
    <n v="1"/>
  </r>
  <r>
    <x v="1"/>
    <s v="Convenience stores"/>
    <x v="2"/>
    <s v="Caffe Italiano"/>
    <s v="|15/16/03|"/>
    <n v="7692"/>
    <n v="0.88"/>
    <n v="1.17"/>
  </r>
  <r>
    <x v="1"/>
    <s v="Convenience stores"/>
    <x v="2"/>
    <s v="Caffe Italiano"/>
    <s v="|15/16/04|"/>
    <n v="4968"/>
    <n v="0.92"/>
    <n v="1.02"/>
  </r>
  <r>
    <x v="1"/>
    <s v="Convenience stores"/>
    <x v="2"/>
    <s v="Caffe Italiano"/>
    <s v="|15/16/05|"/>
    <n v="8748"/>
    <n v="0.5"/>
    <n v="1.08"/>
  </r>
  <r>
    <x v="1"/>
    <s v="Convenience stores"/>
    <x v="2"/>
    <s v="Caffe Italiano"/>
    <s v="|15/16/06|"/>
    <n v="6708"/>
    <n v="0.53"/>
    <n v="1.1100000000000001"/>
  </r>
  <r>
    <x v="1"/>
    <s v="Convenience stores"/>
    <x v="2"/>
    <s v="Caffe Italiano"/>
    <s v="|15/16/07|"/>
    <n v="8448"/>
    <n v="0.53"/>
    <n v="1.05"/>
  </r>
  <r>
    <x v="1"/>
    <s v="Convenience stores"/>
    <x v="2"/>
    <s v="Caffe Italiano"/>
    <s v="|15/16/08|"/>
    <n v="4932"/>
    <n v="0.47"/>
    <n v="0.97"/>
  </r>
  <r>
    <x v="1"/>
    <s v="Convenience stores"/>
    <x v="2"/>
    <s v="Caffe Italiano"/>
    <s v="|15/16/09|"/>
    <n v="9528"/>
    <n v="0.79"/>
    <n v="1.1200000000000001"/>
  </r>
  <r>
    <x v="1"/>
    <s v="Convenience stores"/>
    <x v="2"/>
    <s v="Caffe Italiano"/>
    <s v="|15/16/09a|"/>
    <n v="6516"/>
    <n v="1.05"/>
    <n v="1.1599999999999999"/>
  </r>
  <r>
    <x v="1"/>
    <s v="Convenience stores"/>
    <x v="2"/>
    <s v="Caffe Italiano"/>
    <s v="|15/16/10|"/>
    <n v="5664"/>
    <n v="0.7"/>
    <n v="1.18"/>
  </r>
  <r>
    <x v="1"/>
    <s v="Convenience stores"/>
    <x v="2"/>
    <s v="Caffe Italiano"/>
    <s v="|15/16/11|"/>
    <n v="8808"/>
    <n v="0.55000000000000004"/>
    <n v="1.1000000000000001"/>
  </r>
  <r>
    <x v="1"/>
    <s v="Convenience stores"/>
    <x v="5"/>
    <s v="Dole"/>
    <s v="|17/01/01|"/>
    <n v="1284"/>
    <n v="1.22"/>
    <n v="1.69"/>
  </r>
  <r>
    <x v="1"/>
    <s v="Convenience stores"/>
    <x v="5"/>
    <s v="Dole"/>
    <s v="|17/01/02|"/>
    <n v="780"/>
    <n v="1.2"/>
    <n v="1.62"/>
  </r>
  <r>
    <x v="1"/>
    <s v="Convenience stores"/>
    <x v="5"/>
    <s v="Dole"/>
    <s v="|17/01/03|"/>
    <n v="732"/>
    <n v="1.29"/>
    <n v="1.6"/>
  </r>
  <r>
    <x v="1"/>
    <s v="Convenience stores"/>
    <x v="5"/>
    <s v="Dole"/>
    <s v="|17/01/04|"/>
    <n v="1092"/>
    <n v="1.28"/>
    <n v="1.87"/>
  </r>
  <r>
    <x v="1"/>
    <s v="Convenience stores"/>
    <x v="5"/>
    <s v="Dole"/>
    <s v="|17/01/05|"/>
    <n v="648"/>
    <n v="1.28"/>
    <n v="1.78"/>
  </r>
  <r>
    <x v="1"/>
    <s v="Convenience stores"/>
    <x v="5"/>
    <s v="Dole"/>
    <s v="|17/01/06|"/>
    <n v="1152"/>
    <n v="1.21"/>
    <n v="1.68"/>
  </r>
  <r>
    <x v="1"/>
    <s v="Convenience stores"/>
    <x v="5"/>
    <s v="Dole"/>
    <s v="|17/01/07|"/>
    <n v="948"/>
    <n v="1.4"/>
    <n v="1.83"/>
  </r>
  <r>
    <x v="1"/>
    <s v="Convenience stores"/>
    <x v="5"/>
    <s v="Dole"/>
    <s v="|17/01/08|"/>
    <n v="804"/>
    <n v="1.45"/>
    <n v="1.68"/>
  </r>
  <r>
    <x v="1"/>
    <s v="Convenience stores"/>
    <x v="5"/>
    <s v="Dole"/>
    <s v="|17/01/09|"/>
    <n v="1224"/>
    <n v="1.35"/>
    <n v="1.63"/>
  </r>
  <r>
    <x v="1"/>
    <s v="Convenience stores"/>
    <x v="5"/>
    <s v="Dole"/>
    <s v="|17/01/10|"/>
    <n v="984"/>
    <n v="1.37"/>
    <n v="1.6"/>
  </r>
  <r>
    <x v="1"/>
    <s v="Convenience stores"/>
    <x v="5"/>
    <s v="Dole"/>
    <s v="|17/01/11|"/>
    <n v="576"/>
    <n v="1.39"/>
    <n v="1.62"/>
  </r>
  <r>
    <x v="1"/>
    <s v="Convenience stores"/>
    <x v="5"/>
    <s v="Dole"/>
    <s v="|17/01/13|"/>
    <n v="1320"/>
    <n v="1.48"/>
    <n v="1.61"/>
  </r>
  <r>
    <x v="1"/>
    <s v="Convenience stores"/>
    <x v="5"/>
    <s v="Dole"/>
    <s v="|17/01/14|"/>
    <n v="744"/>
    <n v="1.37"/>
    <n v="1.6"/>
  </r>
  <r>
    <x v="1"/>
    <s v="Convenience stores"/>
    <x v="5"/>
    <s v="Dole"/>
    <s v="|17/01/15|"/>
    <n v="708"/>
    <n v="1.1399999999999999"/>
    <n v="1.79"/>
  </r>
  <r>
    <x v="1"/>
    <s v="Convenience stores"/>
    <x v="10"/>
    <s v="Dole"/>
    <s v="|17/01/16|"/>
    <n v="516"/>
    <n v="4.21"/>
    <n v="5.7"/>
  </r>
  <r>
    <x v="1"/>
    <s v="Convenience stores"/>
    <x v="10"/>
    <s v="Dole"/>
    <s v="|17/01/17|"/>
    <n v="384"/>
    <n v="4"/>
    <n v="6.48"/>
  </r>
  <r>
    <x v="1"/>
    <s v="Convenience stores"/>
    <x v="10"/>
    <s v="Dole"/>
    <s v="|17/01/19|"/>
    <n v="408"/>
    <n v="4.4000000000000004"/>
    <n v="5.41"/>
  </r>
  <r>
    <x v="1"/>
    <s v="Convenience stores"/>
    <x v="10"/>
    <s v="Dole"/>
    <s v="|17/01/18|"/>
    <n v="384"/>
    <n v="3.92"/>
    <n v="5.0999999999999996"/>
  </r>
  <r>
    <x v="1"/>
    <s v="Convenience stores"/>
    <x v="10"/>
    <s v="Dole"/>
    <s v="|17/01/16s|"/>
    <n v="468"/>
    <n v="3.77"/>
    <n v="5.67"/>
  </r>
  <r>
    <x v="1"/>
    <s v="Convenience stores"/>
    <x v="10"/>
    <s v="Dole"/>
    <s v="|17/01/17s|"/>
    <n v="504"/>
    <n v="4.84"/>
    <n v="5.46"/>
  </r>
  <r>
    <x v="1"/>
    <s v="Convenience stores"/>
    <x v="10"/>
    <s v="Dole"/>
    <s v="|17/01/18s|"/>
    <n v="372"/>
    <n v="4"/>
    <n v="5.95"/>
  </r>
  <r>
    <x v="1"/>
    <s v="Convenience stores"/>
    <x v="5"/>
    <s v="Dole"/>
    <s v="|17/01/20|"/>
    <n v="1032"/>
    <n v="1.36"/>
    <n v="1.64"/>
  </r>
  <r>
    <x v="1"/>
    <s v="Convenience stores"/>
    <x v="4"/>
    <s v="Kimberley Clark"/>
    <s v="|61/01/01|"/>
    <n v="336"/>
    <n v="4.6900000000000004"/>
    <n v="5.12"/>
  </r>
  <r>
    <x v="1"/>
    <s v="Convenience stores"/>
    <x v="4"/>
    <s v="Kimberley Clark"/>
    <s v="|61/01/02|"/>
    <n v="336"/>
    <n v="4.05"/>
    <n v="5.26"/>
  </r>
  <r>
    <x v="1"/>
    <s v="Convenience stores"/>
    <x v="4"/>
    <s v="Kimberley Clark"/>
    <s v="|61/01/03|"/>
    <n v="624"/>
    <n v="4.0999999999999996"/>
    <n v="5.05"/>
  </r>
  <r>
    <x v="1"/>
    <s v="Convenience stores"/>
    <x v="4"/>
    <s v="Kimberley Clark"/>
    <s v="|61/01/04|"/>
    <n v="324"/>
    <n v="4.7300000000000004"/>
    <n v="5.38"/>
  </r>
  <r>
    <x v="1"/>
    <s v="Convenience stores"/>
    <x v="4"/>
    <s v="Kimberley Clark"/>
    <s v="|61/01/05|"/>
    <n v="528"/>
    <n v="5"/>
    <n v="5.26"/>
  </r>
  <r>
    <x v="1"/>
    <s v="Convenience stores"/>
    <x v="4"/>
    <s v="Kimberley Clark"/>
    <s v="|61/01/06|"/>
    <n v="276"/>
    <n v="4.29"/>
    <n v="5.39"/>
  </r>
  <r>
    <x v="1"/>
    <s v="Convenience stores"/>
    <x v="4"/>
    <s v="Kimberley Clark"/>
    <s v="|61/01/07|"/>
    <n v="336"/>
    <n v="4.17"/>
    <n v="5.28"/>
  </r>
  <r>
    <x v="1"/>
    <s v="Convenience stores"/>
    <x v="4"/>
    <s v="Kimberley Clark"/>
    <s v="|61/01/08|"/>
    <n v="384"/>
    <n v="4.18"/>
    <n v="5.21"/>
  </r>
  <r>
    <x v="1"/>
    <s v="Convenience stores"/>
    <x v="4"/>
    <s v="Kimberley Clark"/>
    <s v="|61/01/09|"/>
    <n v="684"/>
    <n v="4.67"/>
    <n v="5.28"/>
  </r>
  <r>
    <x v="1"/>
    <s v="Convenience stores"/>
    <x v="4"/>
    <s v="Kimberley Clark"/>
    <s v="|61/01/10|"/>
    <n v="720"/>
    <n v="4.78"/>
    <n v="5.05"/>
  </r>
  <r>
    <x v="1"/>
    <s v="Convenience stores"/>
    <x v="4"/>
    <s v="Kimberley Clark"/>
    <s v="|61/01/11|"/>
    <n v="432"/>
    <n v="4.79"/>
    <n v="5.05"/>
  </r>
  <r>
    <x v="1"/>
    <s v="Convenience stores"/>
    <x v="4"/>
    <s v="Kimberley Clark"/>
    <s v="|61/01/12|"/>
    <n v="276"/>
    <n v="4.82"/>
    <n v="5.28"/>
  </r>
  <r>
    <x v="1"/>
    <s v="Convenience stores"/>
    <x v="4"/>
    <s v="Kimberley Clark"/>
    <s v="|61/01/13|"/>
    <n v="252"/>
    <n v="4.9000000000000004"/>
    <n v="5"/>
  </r>
  <r>
    <x v="1"/>
    <s v="Convenience stores"/>
    <x v="4"/>
    <s v="Kimberley Clark"/>
    <s v="|61/01/14|"/>
    <n v="276"/>
    <n v="4.47"/>
    <n v="5.25"/>
  </r>
  <r>
    <x v="1"/>
    <s v="Convenience stores"/>
    <x v="4"/>
    <s v="Kimberley Clark"/>
    <s v="|61/01/15|"/>
    <n v="312"/>
    <n v="4.24"/>
    <n v="5.32"/>
  </r>
  <r>
    <x v="1"/>
    <s v="Convenience stores"/>
    <x v="4"/>
    <s v="Kimberley Clark"/>
    <s v="|61/01/16|"/>
    <n v="384"/>
    <n v="4.88"/>
    <n v="5.31"/>
  </r>
  <r>
    <x v="1"/>
    <s v="Convenience stores"/>
    <x v="4"/>
    <s v="Kimberley Clark"/>
    <s v="|61/01/17|"/>
    <n v="372"/>
    <n v="4.9000000000000004"/>
    <n v="5.23"/>
  </r>
  <r>
    <x v="1"/>
    <s v="Convenience stores"/>
    <x v="4"/>
    <s v="Kimberley Clark"/>
    <s v="|61/01/18|"/>
    <n v="324"/>
    <n v="4.6399999999999997"/>
    <n v="5.35"/>
  </r>
  <r>
    <x v="1"/>
    <s v="Convenience stores"/>
    <x v="4"/>
    <s v="Kimberley Clark"/>
    <s v="|61/01/19|"/>
    <n v="552"/>
    <n v="4.68"/>
    <n v="5.1100000000000003"/>
  </r>
  <r>
    <x v="1"/>
    <s v="Convenience stores"/>
    <x v="4"/>
    <s v="Kimberley Clark"/>
    <s v="|61/01/20|"/>
    <n v="720"/>
    <n v="4.9400000000000004"/>
    <n v="5.15"/>
  </r>
  <r>
    <x v="1"/>
    <s v="Convenience stores"/>
    <x v="4"/>
    <s v="Kimberley Clark"/>
    <s v="|61/01/21|"/>
    <n v="300"/>
    <n v="4.1900000000000004"/>
    <n v="5.3"/>
  </r>
  <r>
    <x v="1"/>
    <s v="Convenience stores"/>
    <x v="4"/>
    <s v="Kimberley Clark"/>
    <s v="|61/01/22|"/>
    <n v="432"/>
    <n v="4.83"/>
    <n v="5.14"/>
  </r>
  <r>
    <x v="1"/>
    <s v="Convenience stores"/>
    <x v="4"/>
    <s v="Kimberley Clark"/>
    <s v="|61/01/23|"/>
    <n v="336"/>
    <n v="4.66"/>
    <n v="5.13"/>
  </r>
  <r>
    <x v="1"/>
    <s v="Convenience stores"/>
    <x v="4"/>
    <s v="Kimberley Clark"/>
    <s v="|61/01/24|"/>
    <n v="552"/>
    <n v="4.32"/>
    <n v="5.38"/>
  </r>
  <r>
    <x v="1"/>
    <s v="Convenience stores"/>
    <x v="4"/>
    <s v="Kimberley Clark"/>
    <s v="|61/01/25|"/>
    <n v="612"/>
    <n v="4.53"/>
    <n v="5.3"/>
  </r>
  <r>
    <x v="1"/>
    <s v="Convenience stores"/>
    <x v="4"/>
    <s v="Kimberley Clark"/>
    <s v="|61/01/26|"/>
    <n v="264"/>
    <n v="4.16"/>
    <n v="5.29"/>
  </r>
  <r>
    <x v="1"/>
    <s v="Convenience stores"/>
    <x v="4"/>
    <s v="Kimberley Clark"/>
    <s v="|61/01/27|"/>
    <n v="432"/>
    <n v="4.83"/>
    <n v="5.08"/>
  </r>
  <r>
    <x v="1"/>
    <s v="Convenience stores"/>
    <x v="4"/>
    <s v="Kimberley Clark"/>
    <s v="|61/01/28|"/>
    <n v="624"/>
    <n v="4.0599999999999996"/>
    <n v="5"/>
  </r>
  <r>
    <x v="1"/>
    <s v="Convenience stores"/>
    <x v="4"/>
    <s v="Kimberley Clark"/>
    <s v="|61/01/29|"/>
    <n v="288"/>
    <n v="4.93"/>
    <n v="5.3"/>
  </r>
  <r>
    <x v="1"/>
    <s v="Convenience stores"/>
    <x v="4"/>
    <s v="Kimberley Clark"/>
    <s v="|61/01/30|"/>
    <n v="636"/>
    <n v="4.53"/>
    <n v="5.01"/>
  </r>
  <r>
    <x v="1"/>
    <s v="Convenience stores"/>
    <x v="4"/>
    <s v="Kimberley Clark"/>
    <s v="|61/01/31|"/>
    <n v="420"/>
    <n v="4.42"/>
    <n v="5.21"/>
  </r>
  <r>
    <x v="1"/>
    <s v="Convenience stores"/>
    <x v="4"/>
    <s v="Kimberley Clark"/>
    <s v="|61/01/32|"/>
    <n v="528"/>
    <n v="4.97"/>
    <n v="5.19"/>
  </r>
  <r>
    <x v="1"/>
    <s v="Convenience stores"/>
    <x v="4"/>
    <s v="Kimberley Clark"/>
    <s v="|61/01/33|"/>
    <n v="420"/>
    <n v="4.34"/>
    <n v="5.4"/>
  </r>
  <r>
    <x v="1"/>
    <s v="Convenience stores"/>
    <x v="4"/>
    <s v="Kimberley Clark"/>
    <s v="|61/01/34|"/>
    <n v="252"/>
    <n v="4.41"/>
    <n v="5.33"/>
  </r>
  <r>
    <x v="1"/>
    <s v="Convenience stores"/>
    <x v="4"/>
    <s v="Kimberley Clark"/>
    <s v="|61/01/35|"/>
    <n v="672"/>
    <n v="4.3899999999999997"/>
    <n v="5.03"/>
  </r>
  <r>
    <x v="1"/>
    <s v="Convenience stores"/>
    <x v="4"/>
    <s v="Kimberley Clark"/>
    <s v="|61/01/36|"/>
    <n v="396"/>
    <n v="4.82"/>
    <n v="5.14"/>
  </r>
  <r>
    <x v="1"/>
    <s v="Convenience stores"/>
    <x v="4"/>
    <s v="Kimberley Clark"/>
    <s v="|61/01/37|"/>
    <n v="420"/>
    <n v="4.45"/>
    <n v="5.0999999999999996"/>
  </r>
  <r>
    <x v="1"/>
    <s v="Convenience stores"/>
    <x v="4"/>
    <s v="Kimberley Clark"/>
    <s v="|61/01/38|"/>
    <n v="276"/>
    <n v="4.63"/>
    <n v="5.1100000000000003"/>
  </r>
  <r>
    <x v="1"/>
    <s v="Convenience stores"/>
    <x v="4"/>
    <s v="Kimberley Clark"/>
    <s v="|61/01/39|"/>
    <n v="456"/>
    <n v="4.07"/>
    <n v="5.37"/>
  </r>
  <r>
    <x v="1"/>
    <s v="Convenience stores"/>
    <x v="4"/>
    <s v="Kimberley Clark"/>
    <s v="|61/01/40|"/>
    <n v="372"/>
    <n v="4.13"/>
    <n v="5.08"/>
  </r>
  <r>
    <x v="1"/>
    <s v="Convenience stores"/>
    <x v="4"/>
    <s v="Kimberley Clark"/>
    <s v="|61/01/41|"/>
    <n v="264"/>
    <n v="4.5199999999999996"/>
    <n v="5.01"/>
  </r>
  <r>
    <x v="1"/>
    <s v="Convenience stores"/>
    <x v="4"/>
    <s v="Kimberley Clark"/>
    <s v="|61/01/42|"/>
    <n v="612"/>
    <n v="4.43"/>
    <n v="5.31"/>
  </r>
  <r>
    <x v="1"/>
    <s v="Convenience stores"/>
    <x v="4"/>
    <s v="Kimberley Clark"/>
    <s v="|61/01/43|"/>
    <n v="708"/>
    <n v="4.7"/>
    <n v="5.1100000000000003"/>
  </r>
  <r>
    <x v="1"/>
    <s v="Convenience stores"/>
    <x v="4"/>
    <s v="Kimberley Clark"/>
    <s v="|61/01/44|"/>
    <n v="516"/>
    <n v="4.55"/>
    <n v="5.4"/>
  </r>
  <r>
    <x v="1"/>
    <s v="Convenience stores"/>
    <x v="4"/>
    <s v="Kimberley Clark"/>
    <s v="|61/01/45|"/>
    <n v="648"/>
    <n v="4.28"/>
    <n v="5.14"/>
  </r>
  <r>
    <x v="1"/>
    <s v="Convenience stores"/>
    <x v="4"/>
    <s v="Kimberley Clark"/>
    <s v="|61/01/46|"/>
    <n v="396"/>
    <n v="4.88"/>
    <n v="5.36"/>
  </r>
  <r>
    <x v="1"/>
    <s v="Convenience stores"/>
    <x v="4"/>
    <s v="Kimberley Clark"/>
    <s v="|61/01/47|"/>
    <n v="708"/>
    <n v="4.0599999999999996"/>
    <n v="5.32"/>
  </r>
  <r>
    <x v="1"/>
    <s v="Convenience stores"/>
    <x v="4"/>
    <s v="Kimberley Clark"/>
    <s v="|61/01/48|"/>
    <n v="504"/>
    <n v="4.9800000000000004"/>
    <n v="5.37"/>
  </r>
  <r>
    <x v="1"/>
    <s v="Convenience stores"/>
    <x v="4"/>
    <s v="Kimberley Clark"/>
    <s v="|61/01/49|"/>
    <n v="552"/>
    <n v="4.99"/>
    <n v="5.03"/>
  </r>
  <r>
    <x v="1"/>
    <s v="Convenience stores"/>
    <x v="4"/>
    <s v="Kimberley Clark"/>
    <s v="|61/01/50|"/>
    <n v="264"/>
    <n v="4.0199999999999996"/>
    <n v="5.0999999999999996"/>
  </r>
  <r>
    <x v="1"/>
    <s v="Convenience stores"/>
    <x v="4"/>
    <s v="Kimberley Clark"/>
    <s v="|61/01/51|"/>
    <n v="276"/>
    <n v="4.32"/>
    <n v="5.25"/>
  </r>
  <r>
    <x v="1"/>
    <s v="Convenience stores"/>
    <x v="4"/>
    <s v="Kimberley Clark"/>
    <s v="|61/01/52|"/>
    <n v="504"/>
    <n v="4.24"/>
    <n v="5.25"/>
  </r>
  <r>
    <x v="1"/>
    <s v="Convenience stores"/>
    <x v="4"/>
    <s v="Kimberley Clark"/>
    <s v="|61/01/53|"/>
    <n v="516"/>
    <n v="4.34"/>
    <n v="5.26"/>
  </r>
  <r>
    <x v="1"/>
    <s v="Convenience stores"/>
    <x v="4"/>
    <s v="Kimberley Clark"/>
    <s v="|61/01/54|"/>
    <n v="372"/>
    <n v="4.4400000000000004"/>
    <n v="5.31"/>
  </r>
  <r>
    <x v="1"/>
    <s v="Convenience stores"/>
    <x v="4"/>
    <s v="Kimberley Clark"/>
    <s v="|61/01/55|"/>
    <n v="636"/>
    <n v="4.95"/>
    <n v="5.27"/>
  </r>
  <r>
    <x v="1"/>
    <s v="Convenience stores"/>
    <x v="4"/>
    <s v="Kimberley Clark"/>
    <s v="|61/01/56|"/>
    <n v="480"/>
    <n v="4.71"/>
    <n v="5.21"/>
  </r>
  <r>
    <x v="1"/>
    <s v="Convenience stores"/>
    <x v="4"/>
    <s v="Kimberley Clark"/>
    <s v="|61/01/57|"/>
    <n v="492"/>
    <n v="4.08"/>
    <n v="5.38"/>
  </r>
  <r>
    <x v="1"/>
    <s v="Convenience stores"/>
    <x v="4"/>
    <s v="Kimberley Clark"/>
    <s v="|61/01/58|"/>
    <n v="516"/>
    <n v="4.25"/>
    <n v="5.05"/>
  </r>
  <r>
    <x v="1"/>
    <s v="Convenience stores"/>
    <x v="4"/>
    <s v="Kimberley Clark"/>
    <s v="|61/01/59|"/>
    <n v="432"/>
    <n v="4.07"/>
    <n v="5.34"/>
  </r>
  <r>
    <x v="1"/>
    <s v="Convenience stores"/>
    <x v="4"/>
    <s v="Kimberley Clark"/>
    <s v="|61/01/60|"/>
    <n v="336"/>
    <n v="4.21"/>
    <n v="5.29"/>
  </r>
  <r>
    <x v="1"/>
    <s v="Convenience stores"/>
    <x v="4"/>
    <s v="Kimberley Clark"/>
    <s v="|61/01/61|"/>
    <n v="360"/>
    <n v="4.74"/>
    <n v="5.17"/>
  </r>
  <r>
    <x v="1"/>
    <s v="Convenience stores"/>
    <x v="4"/>
    <s v="Kimberley Clark"/>
    <s v="|61/01/62|"/>
    <n v="336"/>
    <n v="4.1399999999999997"/>
    <n v="5.19"/>
  </r>
  <r>
    <x v="1"/>
    <s v="Convenience stores"/>
    <x v="4"/>
    <s v="Kimberley Clark"/>
    <s v="|61/01/63|"/>
    <n v="348"/>
    <n v="4.17"/>
    <n v="5.35"/>
  </r>
  <r>
    <x v="1"/>
    <s v="Convenience stores"/>
    <x v="4"/>
    <s v="Kimberley Clark"/>
    <s v="|61/01/64|"/>
    <n v="540"/>
    <n v="4.6500000000000004"/>
    <n v="5.28"/>
  </r>
  <r>
    <x v="1"/>
    <s v="Convenience stores"/>
    <x v="4"/>
    <s v="Kimberley Clark"/>
    <s v="|61/01/65|"/>
    <n v="672"/>
    <n v="4.13"/>
    <n v="5.01"/>
  </r>
  <r>
    <x v="1"/>
    <s v="Convenience stores"/>
    <x v="4"/>
    <s v="Kimberley Clark"/>
    <s v="|61/01/66|"/>
    <n v="492"/>
    <n v="4.6399999999999997"/>
    <n v="5.28"/>
  </r>
  <r>
    <x v="1"/>
    <s v="Convenience stores"/>
    <x v="4"/>
    <s v="Kimberley Clark"/>
    <s v="|61/01/67|"/>
    <n v="324"/>
    <n v="4.16"/>
    <n v="5.35"/>
  </r>
  <r>
    <x v="1"/>
    <s v="Convenience stores"/>
    <x v="4"/>
    <s v="Kimberley Clark"/>
    <s v="|61/01/68|"/>
    <n v="264"/>
    <n v="4.1900000000000004"/>
    <n v="5.29"/>
  </r>
  <r>
    <x v="1"/>
    <s v="Convenience stores"/>
    <x v="4"/>
    <s v="Kimberley Clark"/>
    <s v="|61/01/69|"/>
    <n v="384"/>
    <n v="4.09"/>
    <n v="5.0599999999999996"/>
  </r>
  <r>
    <x v="1"/>
    <s v="Convenience stores"/>
    <x v="4"/>
    <s v="Kimberley Clark"/>
    <s v="|61/01/70|"/>
    <n v="288"/>
    <n v="4.79"/>
    <n v="5.3"/>
  </r>
  <r>
    <x v="1"/>
    <s v="Convenience stores"/>
    <x v="4"/>
    <s v="Kimberley Clark"/>
    <s v="|61/01/71|"/>
    <n v="432"/>
    <n v="4.99"/>
    <n v="5.31"/>
  </r>
  <r>
    <x v="1"/>
    <s v="Convenience stores"/>
    <x v="4"/>
    <s v="Kimberley Clark"/>
    <s v="|61/01/72*|"/>
    <n v="312"/>
    <n v="4.3"/>
    <n v="5.25"/>
  </r>
  <r>
    <x v="1"/>
    <s v="Convenience stores"/>
    <x v="4"/>
    <s v="Kimberley Clark"/>
    <s v="|61/01/75|"/>
    <n v="276"/>
    <n v="4.96"/>
    <n v="5.03"/>
  </r>
  <r>
    <x v="1"/>
    <s v="Convenience stores"/>
    <x v="4"/>
    <s v="Kimberley Clark"/>
    <s v="|61/01/76|"/>
    <n v="480"/>
    <n v="4.6100000000000003"/>
    <n v="5.3"/>
  </r>
  <r>
    <x v="1"/>
    <s v="Convenience stores"/>
    <x v="4"/>
    <s v="Kimberley Clark"/>
    <s v="|61/01/77|"/>
    <n v="648"/>
    <n v="4.51"/>
    <n v="5.29"/>
  </r>
  <r>
    <x v="1"/>
    <s v="Convenience stores"/>
    <x v="3"/>
    <s v="Salvadori"/>
    <s v="|26/02/01|"/>
    <n v="108"/>
    <n v="1.2"/>
    <n v="1.37"/>
  </r>
  <r>
    <x v="1"/>
    <s v="Convenience stores"/>
    <x v="3"/>
    <s v="Salvadori"/>
    <s v="|26/02/02|"/>
    <n v="120"/>
    <n v="1.1000000000000001"/>
    <n v="1.2"/>
  </r>
  <r>
    <x v="1"/>
    <s v="Convenience stores"/>
    <x v="3"/>
    <s v="Salvadori"/>
    <s v="|26/02/03|"/>
    <n v="132"/>
    <n v="1.18"/>
    <n v="1.28"/>
  </r>
  <r>
    <x v="1"/>
    <s v="Convenience stores"/>
    <x v="3"/>
    <s v="Salvadori"/>
    <s v="|26/02/04|"/>
    <n v="216"/>
    <n v="1.19"/>
    <n v="1.22"/>
  </r>
  <r>
    <x v="1"/>
    <s v="Convenience stores"/>
    <x v="3"/>
    <s v="Salvadori"/>
    <s v="|26/02/05|"/>
    <n v="180"/>
    <n v="1.04"/>
    <n v="1.35"/>
  </r>
  <r>
    <x v="1"/>
    <s v="Convenience stores"/>
    <x v="3"/>
    <s v="Salvadori"/>
    <s v="|26/02/06|"/>
    <n v="156"/>
    <n v="1.1499999999999999"/>
    <n v="1.29"/>
  </r>
  <r>
    <x v="1"/>
    <s v="Convenience stores"/>
    <x v="3"/>
    <s v="Salvadori"/>
    <s v="|26/02/07|"/>
    <n v="156"/>
    <n v="1.17"/>
    <n v="1.4"/>
  </r>
  <r>
    <x v="1"/>
    <s v="Convenience stores"/>
    <x v="3"/>
    <s v="Salvadori"/>
    <s v="|26/02/08|"/>
    <n v="204"/>
    <n v="1.01"/>
    <n v="1.21"/>
  </r>
  <r>
    <x v="1"/>
    <s v="Convenience stores"/>
    <x v="3"/>
    <s v="Salvadori"/>
    <s v="|26/02/09|"/>
    <n v="192"/>
    <n v="1.03"/>
    <n v="1.28"/>
  </r>
  <r>
    <x v="1"/>
    <s v="Convenience stores"/>
    <x v="3"/>
    <s v="Salvadori"/>
    <s v="|26/02/10|"/>
    <n v="84"/>
    <n v="1.18"/>
    <n v="1.25"/>
  </r>
  <r>
    <x v="1"/>
    <s v="Convenience stores"/>
    <x v="3"/>
    <s v="Salvadori"/>
    <s v="|26/02/11|"/>
    <n v="216"/>
    <n v="1.1299999999999999"/>
    <n v="1.32"/>
  </r>
  <r>
    <x v="1"/>
    <s v="Convenience stores"/>
    <x v="3"/>
    <s v="Salvadori"/>
    <s v="|26/02/12|"/>
    <n v="180"/>
    <n v="1.03"/>
    <n v="1.23"/>
  </r>
  <r>
    <x v="1"/>
    <s v="Convenience stores"/>
    <x v="3"/>
    <s v="Salvadori"/>
    <s v="|26/02/13|"/>
    <n v="84"/>
    <n v="1.18"/>
    <n v="1.23"/>
  </r>
  <r>
    <x v="1"/>
    <s v="Convenience stores"/>
    <x v="3"/>
    <s v="Salvadori"/>
    <s v="|26/02/14|"/>
    <n v="60"/>
    <n v="1.1299999999999999"/>
    <n v="1.36"/>
  </r>
  <r>
    <x v="1"/>
    <s v="Convenience stores"/>
    <x v="3"/>
    <s v="Salvadori"/>
    <s v="|26/02/15|"/>
    <n v="84"/>
    <n v="1.07"/>
    <n v="1.37"/>
  </r>
  <r>
    <x v="1"/>
    <s v="Convenience stores"/>
    <x v="3"/>
    <s v="Salvadori"/>
    <s v="|26/02/16|"/>
    <n v="144"/>
    <n v="1.08"/>
    <n v="1.4"/>
  </r>
  <r>
    <x v="1"/>
    <s v="Convenience stores"/>
    <x v="3"/>
    <s v="Salvadori"/>
    <s v="|26/02/17|"/>
    <n v="144"/>
    <n v="1.06"/>
    <n v="1.25"/>
  </r>
  <r>
    <x v="1"/>
    <s v="Convenience stores"/>
    <x v="3"/>
    <s v="Salvadori"/>
    <s v="|26/02/18|"/>
    <n v="180"/>
    <n v="1.19"/>
    <n v="1.38"/>
  </r>
  <r>
    <x v="1"/>
    <s v="Convenience stores"/>
    <x v="3"/>
    <s v="Salvadori"/>
    <s v="|26/02/19|"/>
    <n v="180"/>
    <n v="1.02"/>
    <n v="1.29"/>
  </r>
  <r>
    <x v="1"/>
    <s v="Convenience stores"/>
    <x v="3"/>
    <s v="Salvadori"/>
    <s v="|26/02/20|"/>
    <n v="204"/>
    <n v="1.05"/>
    <n v="1.28"/>
  </r>
  <r>
    <x v="1"/>
    <s v="Convenience stores"/>
    <x v="3"/>
    <s v="Salvadori"/>
    <s v="|26/02/21|"/>
    <n v="120"/>
    <n v="1.1399999999999999"/>
    <n v="1.22"/>
  </r>
  <r>
    <x v="1"/>
    <s v="Convenience stores"/>
    <x v="3"/>
    <s v="Salvadori"/>
    <s v="|26/02/22|"/>
    <n v="108"/>
    <n v="1.1200000000000001"/>
    <n v="1.22"/>
  </r>
  <r>
    <x v="1"/>
    <s v="Convenience stores"/>
    <x v="3"/>
    <s v="Salvadori"/>
    <s v="|26/02/23|"/>
    <n v="168"/>
    <n v="1.1100000000000001"/>
    <n v="1.33"/>
  </r>
  <r>
    <x v="1"/>
    <s v="Convenience stores"/>
    <x v="3"/>
    <s v="Salvadori"/>
    <s v="|26/02/24|"/>
    <n v="216"/>
    <n v="1.0900000000000001"/>
    <n v="1.38"/>
  </r>
  <r>
    <x v="1"/>
    <s v="Convenience stores"/>
    <x v="3"/>
    <s v="Salvadori"/>
    <s v="|26/02/25|"/>
    <n v="96"/>
    <n v="1.08"/>
    <n v="1.33"/>
  </r>
  <r>
    <x v="1"/>
    <s v="Convenience stores"/>
    <x v="3"/>
    <s v="Salvadori"/>
    <s v="|26/02/26|"/>
    <n v="144"/>
    <n v="1.07"/>
    <n v="1.25"/>
  </r>
  <r>
    <x v="1"/>
    <s v="Convenience stores"/>
    <x v="3"/>
    <s v="Salvadori"/>
    <s v="|26/02/27|"/>
    <n v="144"/>
    <n v="1.19"/>
    <n v="1.2"/>
  </r>
  <r>
    <x v="1"/>
    <s v="Convenience stores"/>
    <x v="3"/>
    <s v="Salvadori"/>
    <s v="|26/02/28|"/>
    <n v="132"/>
    <n v="1.1499999999999999"/>
    <n v="1.26"/>
  </r>
  <r>
    <x v="1"/>
    <s v="Convenience stores"/>
    <x v="3"/>
    <s v="Salvadori"/>
    <s v="|26/02/29|"/>
    <n v="108"/>
    <n v="1.18"/>
    <n v="1.25"/>
  </r>
  <r>
    <x v="1"/>
    <s v="Convenience stores"/>
    <x v="3"/>
    <s v="Salvadori"/>
    <s v="|26/02/30|"/>
    <n v="96"/>
    <n v="1.1200000000000001"/>
    <n v="1.21"/>
  </r>
  <r>
    <x v="1"/>
    <s v="Convenience stores"/>
    <x v="3"/>
    <s v="Salvadori"/>
    <s v="|26/02/31|"/>
    <n v="144"/>
    <n v="1.1599999999999999"/>
    <n v="1.36"/>
  </r>
  <r>
    <x v="1"/>
    <s v="Convenience stores"/>
    <x v="3"/>
    <s v="Salvadori"/>
    <s v="|26/02/32|"/>
    <n v="180"/>
    <n v="1"/>
    <n v="1.32"/>
  </r>
  <r>
    <x v="1"/>
    <s v="Convenience stores"/>
    <x v="3"/>
    <s v="Salvadori"/>
    <s v="|26/02/33|"/>
    <n v="84"/>
    <n v="1.06"/>
    <n v="1.39"/>
  </r>
  <r>
    <x v="1"/>
    <s v="Convenience stores"/>
    <x v="3"/>
    <s v="Salvadori"/>
    <s v="|26/02/50|"/>
    <n v="132"/>
    <n v="1.19"/>
    <n v="1.22"/>
  </r>
  <r>
    <x v="1"/>
    <s v="Convenience stores"/>
    <x v="3"/>
    <s v="Salvadori"/>
    <s v="|26/02/51|"/>
    <n v="216"/>
    <n v="1.0900000000000001"/>
    <n v="1.25"/>
  </r>
  <r>
    <x v="1"/>
    <s v="Convenience stores"/>
    <x v="3"/>
    <s v="Salvadori"/>
    <s v="|26/02/52|"/>
    <n v="192"/>
    <n v="1.1399999999999999"/>
    <n v="1.36"/>
  </r>
  <r>
    <x v="1"/>
    <s v="Convenience stores"/>
    <x v="3"/>
    <s v="Salvadori"/>
    <s v="|26/02/53|"/>
    <n v="120"/>
    <n v="1.02"/>
    <n v="1.28"/>
  </r>
  <r>
    <x v="1"/>
    <s v="Convenience stores"/>
    <x v="3"/>
    <s v="Salvadori"/>
    <s v="|26/02/54|"/>
    <n v="180"/>
    <n v="1"/>
    <n v="1.33"/>
  </r>
  <r>
    <x v="1"/>
    <s v="Convenience stores"/>
    <x v="3"/>
    <s v="Salvadori"/>
    <s v="|26/02/55|"/>
    <n v="60"/>
    <n v="1.1499999999999999"/>
    <n v="1.21"/>
  </r>
  <r>
    <x v="1"/>
    <s v="Convenience stores"/>
    <x v="3"/>
    <s v="Salvadori"/>
    <s v="|26/02/56|"/>
    <n v="180"/>
    <n v="1.18"/>
    <n v="1.36"/>
  </r>
  <r>
    <x v="1"/>
    <s v="Convenience stores"/>
    <x v="3"/>
    <s v="Salvadori"/>
    <s v="|26/02/57|"/>
    <n v="168"/>
    <n v="1.19"/>
    <n v="1.22"/>
  </r>
  <r>
    <x v="1"/>
    <s v="Convenience stores"/>
    <x v="3"/>
    <s v="Salvadori"/>
    <s v="|26/02/58|"/>
    <n v="204"/>
    <n v="1.02"/>
    <n v="1.33"/>
  </r>
  <r>
    <x v="1"/>
    <s v="Convenience stores"/>
    <x v="3"/>
    <s v="Salvadori"/>
    <s v="|26/02/59|"/>
    <n v="216"/>
    <n v="1.08"/>
    <n v="1.2"/>
  </r>
  <r>
    <x v="1"/>
    <s v="Convenience stores"/>
    <x v="3"/>
    <s v="Salvadori"/>
    <s v="|26/02/60|"/>
    <n v="168"/>
    <n v="1"/>
    <n v="1.24"/>
  </r>
  <r>
    <x v="1"/>
    <s v="Convenience stores"/>
    <x v="3"/>
    <s v="Salvadori"/>
    <s v="|26/02/61|"/>
    <n v="60"/>
    <n v="1.19"/>
    <n v="1.25"/>
  </r>
  <r>
    <x v="1"/>
    <s v="Convenience stores"/>
    <x v="3"/>
    <s v="Salvadori"/>
    <s v="|26/02/62|"/>
    <n v="60"/>
    <n v="1.0900000000000001"/>
    <n v="1.28"/>
  </r>
  <r>
    <x v="1"/>
    <s v="Convenience stores"/>
    <x v="3"/>
    <s v="Salvadori"/>
    <s v="|26/02/63|"/>
    <n v="72"/>
    <n v="1.05"/>
    <n v="1.36"/>
  </r>
  <r>
    <x v="1"/>
    <s v="Convenience stores"/>
    <x v="3"/>
    <s v="Salvadori"/>
    <s v="|26/02/64|"/>
    <n v="96"/>
    <n v="1.07"/>
    <n v="1.24"/>
  </r>
  <r>
    <x v="1"/>
    <s v="Convenience stores"/>
    <x v="3"/>
    <s v="Salvadori"/>
    <s v="|26/02/65|"/>
    <n v="216"/>
    <n v="1.17"/>
    <n v="1.28"/>
  </r>
  <r>
    <x v="1"/>
    <s v="Convenience stores"/>
    <x v="3"/>
    <s v="Salvadori"/>
    <s v="|26/02/66|"/>
    <n v="120"/>
    <n v="1.07"/>
    <n v="1.33"/>
  </r>
  <r>
    <x v="1"/>
    <s v="Convenience stores"/>
    <x v="3"/>
    <s v="Salvadori"/>
    <s v="|26/02/67|"/>
    <n v="96"/>
    <n v="1.01"/>
    <n v="1.22"/>
  </r>
  <r>
    <x v="1"/>
    <s v="Convenience stores"/>
    <x v="3"/>
    <s v="Salvadori"/>
    <s v="|26/02/70|"/>
    <n v="84"/>
    <n v="1.1299999999999999"/>
    <n v="1.36"/>
  </r>
  <r>
    <x v="1"/>
    <s v="Convenience stores"/>
    <x v="3"/>
    <s v="Salvadori"/>
    <s v="|26/02/71|"/>
    <n v="144"/>
    <n v="1.05"/>
    <n v="1.37"/>
  </r>
  <r>
    <x v="1"/>
    <s v="Convenience stores"/>
    <x v="3"/>
    <s v="Salvadori"/>
    <s v="|26/02/72|"/>
    <n v="96"/>
    <n v="1.19"/>
    <n v="1.36"/>
  </r>
  <r>
    <x v="1"/>
    <s v="Convenience stores"/>
    <x v="3"/>
    <s v="Salvadori"/>
    <s v="|26/02/73|"/>
    <n v="216"/>
    <n v="1.17"/>
    <n v="1.22"/>
  </r>
  <r>
    <x v="1"/>
    <s v="Convenience stores"/>
    <x v="3"/>
    <s v="Salvadori"/>
    <s v="|26/02/74|"/>
    <n v="156"/>
    <n v="1.04"/>
    <n v="1.23"/>
  </r>
  <r>
    <x v="1"/>
    <s v="Convenience stores"/>
    <x v="3"/>
    <s v="Salvadori"/>
    <s v="|26/02/75|"/>
    <n v="156"/>
    <n v="1.05"/>
    <n v="1.21"/>
  </r>
  <r>
    <x v="1"/>
    <s v="Convenience stores"/>
    <x v="3"/>
    <s v="Salvadori"/>
    <s v="|26/02/98|"/>
    <n v="60"/>
    <n v="1.2"/>
    <n v="1.35"/>
  </r>
  <r>
    <x v="1"/>
    <s v="Convenience stores"/>
    <x v="3"/>
    <s v="Salvadori"/>
    <s v="|26/02/99|"/>
    <n v="120"/>
    <n v="1.1599999999999999"/>
    <n v="1.37"/>
  </r>
  <r>
    <x v="1"/>
    <s v="Convenience stores"/>
    <x v="3"/>
    <s v="Salvadori"/>
    <s v="|26/03/01|"/>
    <n v="192"/>
    <n v="1.04"/>
    <n v="1.21"/>
  </r>
  <r>
    <x v="1"/>
    <s v="Convenience stores"/>
    <x v="3"/>
    <s v="Salvadori"/>
    <s v="|26/03/02|"/>
    <n v="180"/>
    <n v="1.04"/>
    <n v="1.38"/>
  </r>
  <r>
    <x v="1"/>
    <s v="Convenience stores"/>
    <x v="3"/>
    <s v="Salvadori"/>
    <s v="|26/03/03|"/>
    <n v="84"/>
    <n v="1"/>
    <n v="1.23"/>
  </r>
  <r>
    <x v="1"/>
    <s v="Convenience stores"/>
    <x v="3"/>
    <s v="Salvadori"/>
    <s v="|26/03/04|"/>
    <n v="108"/>
    <n v="1.18"/>
    <n v="1.37"/>
  </r>
  <r>
    <x v="1"/>
    <s v="Convenience stores"/>
    <x v="3"/>
    <s v="Salvadori"/>
    <s v="|26/03/05|"/>
    <n v="216"/>
    <n v="1"/>
    <n v="1.36"/>
  </r>
  <r>
    <x v="1"/>
    <s v="Convenience stores"/>
    <x v="3"/>
    <s v="Salvadori"/>
    <s v="|26/99/91|"/>
    <n v="108"/>
    <n v="1.1200000000000001"/>
    <n v="1.28"/>
  </r>
  <r>
    <x v="1"/>
    <s v="Convenience stores"/>
    <x v="3"/>
    <s v="Salvadori"/>
    <s v="|26/99/92|"/>
    <n v="132"/>
    <n v="1.1599999999999999"/>
    <n v="1.3"/>
  </r>
  <r>
    <x v="1"/>
    <s v="Convenience stores"/>
    <x v="3"/>
    <s v="Salvadori"/>
    <s v="|26/99/93|"/>
    <n v="216"/>
    <n v="1"/>
    <n v="1.39"/>
  </r>
  <r>
    <x v="1"/>
    <s v="Convenience stores"/>
    <x v="3"/>
    <s v="Salvadori"/>
    <s v="|26/99/94|"/>
    <n v="72"/>
    <n v="1.1299999999999999"/>
    <n v="1.37"/>
  </r>
  <r>
    <x v="1"/>
    <s v="Convenience stores"/>
    <x v="3"/>
    <s v="Salvadori"/>
    <s v="|26/99/95|"/>
    <n v="60"/>
    <n v="1.0900000000000001"/>
    <n v="1.26"/>
  </r>
  <r>
    <x v="1"/>
    <s v="Convenience stores"/>
    <x v="3"/>
    <s v="Salvadori"/>
    <s v="|26/99/96|"/>
    <n v="72"/>
    <n v="1.1599999999999999"/>
    <n v="1.36"/>
  </r>
  <r>
    <x v="1"/>
    <s v="Convenience stores"/>
    <x v="3"/>
    <s v="Salvadori"/>
    <s v="|26/99/97|"/>
    <n v="192"/>
    <n v="1.04"/>
    <n v="1.31"/>
  </r>
  <r>
    <x v="1"/>
    <s v="Convenience stores"/>
    <x v="3"/>
    <s v="Salvadori"/>
    <s v="|26/99/103|"/>
    <n v="216"/>
    <n v="1.06"/>
    <n v="1.32"/>
  </r>
  <r>
    <x v="1"/>
    <s v="Convenience stores"/>
    <x v="3"/>
    <s v="Salvadori"/>
    <s v="|73/01/01|"/>
    <n v="84"/>
    <n v="1.2"/>
    <n v="1.23"/>
  </r>
  <r>
    <x v="1"/>
    <s v="Convenience stores"/>
    <x v="6"/>
    <s v="Momo figli"/>
    <s v="|67/01/01|"/>
    <n v="2352"/>
    <n v="2.59"/>
    <n v="3.49"/>
  </r>
  <r>
    <x v="1"/>
    <s v="Convenience stores"/>
    <x v="6"/>
    <s v="Momo figli"/>
    <s v="|67/01/02|"/>
    <n v="1560"/>
    <n v="2.61"/>
    <n v="3.63"/>
  </r>
  <r>
    <x v="1"/>
    <s v="Convenience stores"/>
    <x v="6"/>
    <s v="Momo figli"/>
    <s v="|67/01/03|"/>
    <n v="1476"/>
    <n v="2.6"/>
    <n v="3.6"/>
  </r>
  <r>
    <x v="1"/>
    <s v="Convenience stores"/>
    <x v="6"/>
    <s v="Momo figli"/>
    <s v="|67/01/04|"/>
    <n v="1260"/>
    <n v="2.54"/>
    <n v="3.69"/>
  </r>
  <r>
    <x v="1"/>
    <s v="Convenience stores"/>
    <x v="6"/>
    <s v="Momo figli"/>
    <s v="|67/01/05|"/>
    <n v="1692"/>
    <n v="2.5"/>
    <n v="3.36"/>
  </r>
  <r>
    <x v="1"/>
    <s v="Convenience stores"/>
    <x v="6"/>
    <s v="Momo figli"/>
    <s v="|67/01/06|"/>
    <n v="2232"/>
    <n v="2.52"/>
    <n v="3.67"/>
  </r>
  <r>
    <x v="1"/>
    <s v="Convenience stores"/>
    <x v="6"/>
    <s v="Momo figli"/>
    <s v="|67/01/07|"/>
    <n v="1236"/>
    <n v="2.84"/>
    <n v="3.5"/>
  </r>
  <r>
    <x v="1"/>
    <s v="Convenience stores"/>
    <x v="6"/>
    <s v="Momo figli"/>
    <s v="|67/01/08|"/>
    <n v="2508"/>
    <n v="2.5299999999999998"/>
    <n v="3.74"/>
  </r>
  <r>
    <x v="1"/>
    <s v="Convenience stores"/>
    <x v="6"/>
    <s v="Momo figli"/>
    <s v="|67/01/09|"/>
    <n v="2376"/>
    <n v="2.5"/>
    <n v="3.75"/>
  </r>
  <r>
    <x v="1"/>
    <s v="Convenience stores"/>
    <x v="1"/>
    <s v="Serwis"/>
    <s v="|99/02/01|"/>
    <n v="612"/>
    <n v="5.833333333333333"/>
    <n v="7.666666666666667"/>
  </r>
  <r>
    <x v="1"/>
    <s v="Convenience stores"/>
    <x v="1"/>
    <s v="Serwis"/>
    <s v="|99/02/02|"/>
    <n v="528"/>
    <n v="5.746666666666667"/>
    <n v="8.6266666666666669"/>
  </r>
  <r>
    <x v="1"/>
    <s v="Convenience stores"/>
    <x v="1"/>
    <s v="Serwis"/>
    <s v="|99/02/03|"/>
    <n v="528"/>
    <n v="6.44"/>
    <n v="7.36"/>
  </r>
  <r>
    <x v="1"/>
    <s v="Convenience stores"/>
    <x v="1"/>
    <s v="Serwis"/>
    <s v="|99/02/04|"/>
    <n v="480"/>
    <n v="5.8733333333333331"/>
    <n v="7.4066666666666663"/>
  </r>
  <r>
    <x v="1"/>
    <s v="Convenience stores"/>
    <x v="1"/>
    <s v="Serwis"/>
    <s v="|99/02/08|"/>
    <n v="444"/>
    <n v="5.7866666666666671"/>
    <n v="7.94"/>
  </r>
  <r>
    <x v="1"/>
    <s v="Convenience stores"/>
    <x v="1"/>
    <s v="Serwis"/>
    <s v="|127/02/01|"/>
    <n v="480"/>
    <n v="5.6"/>
    <n v="8.5333333333333332"/>
  </r>
  <r>
    <x v="1"/>
    <s v="Convenience stores"/>
    <x v="4"/>
    <s v="St.Dalfour"/>
    <s v="|24/28/01|"/>
    <n v="336"/>
    <n v="4.49"/>
    <n v="5.16"/>
  </r>
  <r>
    <x v="1"/>
    <s v="Convenience stores"/>
    <x v="4"/>
    <s v="St.Dalfour"/>
    <s v="|24/28/02|"/>
    <n v="456"/>
    <n v="4.99"/>
    <n v="5.2"/>
  </r>
  <r>
    <x v="1"/>
    <s v="Convenience stores"/>
    <x v="4"/>
    <s v="St.Dalfour"/>
    <s v="|24/28/03|"/>
    <n v="684"/>
    <n v="4.26"/>
    <n v="5.12"/>
  </r>
  <r>
    <x v="1"/>
    <s v="Convenience stores"/>
    <x v="4"/>
    <s v="St.Dalfour"/>
    <s v="|24/28/04|"/>
    <n v="396"/>
    <n v="4.1100000000000003"/>
    <n v="5.09"/>
  </r>
  <r>
    <x v="1"/>
    <s v="Convenience stores"/>
    <x v="4"/>
    <s v="St.Dalfour"/>
    <s v="|24/28/05|"/>
    <n v="720"/>
    <n v="4.32"/>
    <n v="5.36"/>
  </r>
  <r>
    <x v="1"/>
    <s v="Convenience stores"/>
    <x v="4"/>
    <s v="St.Dalfour"/>
    <s v="|24/28/06|"/>
    <n v="636"/>
    <n v="4.7"/>
    <n v="5.37"/>
  </r>
  <r>
    <x v="1"/>
    <s v="Convenience stores"/>
    <x v="4"/>
    <s v="St.Dalfour"/>
    <s v="|24/28/07|"/>
    <n v="312"/>
    <n v="4.92"/>
    <n v="5.33"/>
  </r>
  <r>
    <x v="1"/>
    <s v="Convenience stores"/>
    <x v="10"/>
    <s v="St.Dalfour"/>
    <s v="|120/01/13|"/>
    <n v="480"/>
    <n v="4.37"/>
    <n v="6.3"/>
  </r>
  <r>
    <x v="1"/>
    <s v="Convenience stores"/>
    <x v="10"/>
    <s v="St.Dalfour"/>
    <s v="|24/01/01|"/>
    <n v="408"/>
    <n v="3.51"/>
    <n v="5.86"/>
  </r>
  <r>
    <x v="1"/>
    <s v="Convenience stores"/>
    <x v="10"/>
    <s v="St.Dalfour"/>
    <s v="|24/01/02|"/>
    <n v="420"/>
    <n v="3.82"/>
    <n v="6.6"/>
  </r>
  <r>
    <x v="1"/>
    <s v="Convenience stores"/>
    <x v="10"/>
    <s v="St.Dalfour"/>
    <s v="|24/01/03|"/>
    <n v="408"/>
    <n v="4.16"/>
    <n v="6.12"/>
  </r>
  <r>
    <x v="1"/>
    <s v="Convenience stores"/>
    <x v="10"/>
    <s v="St.Dalfour"/>
    <s v="|24/01/04|"/>
    <n v="384"/>
    <n v="3.93"/>
    <n v="6.7"/>
  </r>
  <r>
    <x v="1"/>
    <s v="Convenience stores"/>
    <x v="10"/>
    <s v="St.Dalfour"/>
    <s v="|24/01/05|"/>
    <n v="384"/>
    <n v="4.6399999999999997"/>
    <n v="6.33"/>
  </r>
  <r>
    <x v="1"/>
    <s v="Convenience stores"/>
    <x v="10"/>
    <s v="St.Dalfour"/>
    <s v="|24/01/06|"/>
    <n v="396"/>
    <n v="3.13"/>
    <n v="6.91"/>
  </r>
  <r>
    <x v="1"/>
    <s v="Convenience stores"/>
    <x v="10"/>
    <s v="St.Dalfour"/>
    <s v="|24/01/07|"/>
    <n v="432"/>
    <n v="4.1399999999999997"/>
    <n v="5.08"/>
  </r>
  <r>
    <x v="1"/>
    <s v="Convenience stores"/>
    <x v="10"/>
    <s v="St.Dalfour"/>
    <s v="|24/01/08|"/>
    <n v="384"/>
    <n v="3.32"/>
    <n v="5.35"/>
  </r>
  <r>
    <x v="1"/>
    <s v="Convenience stores"/>
    <x v="10"/>
    <s v="St.Dalfour"/>
    <s v="|24/01/09|"/>
    <n v="396"/>
    <n v="4.1100000000000003"/>
    <n v="6.14"/>
  </r>
  <r>
    <x v="1"/>
    <s v="Convenience stores"/>
    <x v="10"/>
    <s v="St.Dalfour"/>
    <s v="|24/01/30|"/>
    <n v="396"/>
    <n v="4.28"/>
    <n v="5.74"/>
  </r>
  <r>
    <x v="1"/>
    <s v="Convenience stores"/>
    <x v="10"/>
    <s v="St.Dalfour"/>
    <s v="|24/01/31|"/>
    <n v="432"/>
    <n v="3.58"/>
    <n v="5.24"/>
  </r>
  <r>
    <x v="1"/>
    <s v="Convenience stores"/>
    <x v="10"/>
    <s v="St.Dalfour"/>
    <s v="|24/01/32|"/>
    <n v="468"/>
    <n v="4.93"/>
    <n v="6.09"/>
  </r>
  <r>
    <x v="1"/>
    <s v="Convenience stores"/>
    <x v="10"/>
    <s v="St.Dalfour"/>
    <s v="|24/01/33|"/>
    <n v="384"/>
    <n v="3.81"/>
    <n v="5.23"/>
  </r>
  <r>
    <x v="1"/>
    <s v="Convenience stores"/>
    <x v="10"/>
    <s v="St.Dalfour"/>
    <s v="|24/01/34|"/>
    <n v="456"/>
    <n v="4.05"/>
    <n v="5.81"/>
  </r>
  <r>
    <x v="1"/>
    <s v="Convenience stores"/>
    <x v="10"/>
    <s v="St.Dalfour"/>
    <s v="|24/01/35|"/>
    <n v="456"/>
    <n v="4.5999999999999996"/>
    <n v="6.94"/>
  </r>
  <r>
    <x v="1"/>
    <s v="Convenience stores"/>
    <x v="10"/>
    <s v="St.Dalfour"/>
    <s v="|24/01/36|"/>
    <n v="468"/>
    <n v="3.46"/>
    <n v="5.29"/>
  </r>
  <r>
    <x v="1"/>
    <s v="Convenience stores"/>
    <x v="10"/>
    <s v="St.Dalfour"/>
    <s v="|24/01/37|"/>
    <n v="372"/>
    <n v="3.71"/>
    <n v="6.78"/>
  </r>
  <r>
    <x v="1"/>
    <s v="Convenience stores"/>
    <x v="10"/>
    <s v="St.Dalfour"/>
    <s v="|24/01/38|"/>
    <n v="444"/>
    <n v="4.51"/>
    <n v="6.27"/>
  </r>
  <r>
    <x v="1"/>
    <s v="Convenience stores"/>
    <x v="10"/>
    <s v="St.Dalfour"/>
    <s v="|24/24/01|"/>
    <n v="540"/>
    <n v="3.84"/>
    <n v="6.17"/>
  </r>
  <r>
    <x v="1"/>
    <s v="Convenience stores"/>
    <x v="10"/>
    <s v="St.Dalfour"/>
    <s v="|24/24/02|"/>
    <n v="432"/>
    <n v="4.46"/>
    <n v="6.52"/>
  </r>
  <r>
    <x v="1"/>
    <s v="Convenience stores"/>
    <x v="10"/>
    <s v="St.Dalfour"/>
    <s v="|24/24/03|"/>
    <n v="516"/>
    <n v="3.37"/>
    <n v="6.36"/>
  </r>
  <r>
    <x v="1"/>
    <s v="Convenience stores"/>
    <x v="10"/>
    <s v="St.Dalfour"/>
    <s v="|24/24/04|"/>
    <n v="504"/>
    <n v="4.13"/>
    <n v="6.27"/>
  </r>
  <r>
    <x v="1"/>
    <s v="Convenience stores"/>
    <x v="10"/>
    <s v="St.Dalfour"/>
    <s v="|24/24/05|"/>
    <n v="516"/>
    <n v="4.2"/>
    <n v="6.43"/>
  </r>
  <r>
    <x v="1"/>
    <s v="Convenience stores"/>
    <x v="10"/>
    <s v="St.Dalfour"/>
    <s v="|24/24/06|"/>
    <n v="408"/>
    <n v="4.96"/>
    <n v="5.29"/>
  </r>
  <r>
    <x v="1"/>
    <s v="Convenience stores"/>
    <x v="10"/>
    <s v="St.Dalfour"/>
    <s v="|24/24/07|"/>
    <n v="480"/>
    <n v="4.72"/>
    <n v="5.0199999999999996"/>
  </r>
  <r>
    <x v="1"/>
    <s v="Convenience stores"/>
    <x v="10"/>
    <s v="St.Dalfour"/>
    <s v="|24/24/08|"/>
    <n v="372"/>
    <n v="4.7"/>
    <n v="6.2"/>
  </r>
  <r>
    <x v="1"/>
    <s v="Convenience stores"/>
    <x v="10"/>
    <s v="St.Dalfour"/>
    <s v="|24/24/09|"/>
    <n v="480"/>
    <n v="3.71"/>
    <n v="5.07"/>
  </r>
  <r>
    <x v="1"/>
    <s v="Convenience stores"/>
    <x v="10"/>
    <s v="St.Dalfour"/>
    <s v="|24/24/10|"/>
    <n v="504"/>
    <n v="3.22"/>
    <n v="5.2"/>
  </r>
  <r>
    <x v="1"/>
    <s v="Convenience stores"/>
    <x v="10"/>
    <s v="St.Dalfour"/>
    <s v="|24/24/11|"/>
    <n v="372"/>
    <n v="3.87"/>
    <n v="5.74"/>
  </r>
  <r>
    <x v="1"/>
    <s v="Convenience stores"/>
    <x v="10"/>
    <s v="St.Dalfour"/>
    <s v="|24/24/12|"/>
    <n v="480"/>
    <n v="3.68"/>
    <n v="5.42"/>
  </r>
  <r>
    <x v="1"/>
    <s v="Convenience stores"/>
    <x v="10"/>
    <s v="St.Dalfour"/>
    <s v="|24/24/13|"/>
    <n v="456"/>
    <n v="3.17"/>
    <n v="6.45"/>
  </r>
  <r>
    <x v="1"/>
    <s v="Convenience stores"/>
    <x v="10"/>
    <s v="St.Dalfour"/>
    <s v="|24/24/14|"/>
    <n v="396"/>
    <n v="3.12"/>
    <n v="5.28"/>
  </r>
  <r>
    <x v="1"/>
    <s v="Convenience stores"/>
    <x v="10"/>
    <s v="St.Dalfour"/>
    <s v="|24/24/15|"/>
    <n v="420"/>
    <n v="3.58"/>
    <n v="6.72"/>
  </r>
  <r>
    <x v="1"/>
    <s v="Convenience stores"/>
    <x v="10"/>
    <s v="St.Dalfour"/>
    <s v="|24/24/16|"/>
    <n v="468"/>
    <n v="4.18"/>
    <n v="6.56"/>
  </r>
  <r>
    <x v="1"/>
    <s v="Convenience stores"/>
    <x v="10"/>
    <s v="St.Dalfour"/>
    <s v="|24/24/17|"/>
    <n v="444"/>
    <n v="4.8499999999999996"/>
    <n v="5.47"/>
  </r>
  <r>
    <x v="1"/>
    <s v="Convenience stores"/>
    <x v="10"/>
    <s v="St.Dalfour"/>
    <s v="|24/24/18|"/>
    <n v="384"/>
    <n v="4.34"/>
    <n v="5.82"/>
  </r>
  <r>
    <x v="1"/>
    <s v="Convenience stores"/>
    <x v="10"/>
    <s v="St.Dalfour"/>
    <s v="|24/24/19|"/>
    <n v="468"/>
    <n v="4.5999999999999996"/>
    <n v="6.82"/>
  </r>
  <r>
    <x v="1"/>
    <s v="Convenience stores"/>
    <x v="10"/>
    <s v="St.Dalfour"/>
    <s v="|24/24/31|"/>
    <n v="372"/>
    <n v="3.89"/>
    <n v="5.87"/>
  </r>
  <r>
    <x v="1"/>
    <s v="Convenience stores"/>
    <x v="10"/>
    <s v="St.Dalfour"/>
    <s v="|24/24/32|"/>
    <n v="360"/>
    <n v="3.31"/>
    <n v="6.18"/>
  </r>
  <r>
    <x v="1"/>
    <s v="Convenience stores"/>
    <x v="10"/>
    <s v="St.Dalfour"/>
    <s v="|24/24/33|"/>
    <n v="384"/>
    <n v="4"/>
    <n v="6.68"/>
  </r>
  <r>
    <x v="1"/>
    <s v="Convenience stores"/>
    <x v="10"/>
    <s v="St.Dalfour"/>
    <s v="|24/24/34|"/>
    <n v="516"/>
    <n v="4.49"/>
    <n v="6.51"/>
  </r>
  <r>
    <x v="1"/>
    <s v="Convenience stores"/>
    <x v="10"/>
    <s v="St.Dalfour"/>
    <s v="|24/24/35|"/>
    <n v="360"/>
    <n v="3.27"/>
    <n v="5.03"/>
  </r>
  <r>
    <x v="1"/>
    <s v="Convenience stores"/>
    <x v="10"/>
    <s v="St.Dalfour"/>
    <s v="|24/24/36|"/>
    <n v="516"/>
    <n v="3.08"/>
    <n v="6.19"/>
  </r>
  <r>
    <x v="1"/>
    <s v="Convenience stores"/>
    <x v="10"/>
    <s v="St.Dalfour"/>
    <s v="|24/24/37|"/>
    <n v="384"/>
    <n v="3.9"/>
    <n v="6.11"/>
  </r>
  <r>
    <x v="1"/>
    <s v="Convenience stores"/>
    <x v="10"/>
    <s v="St.Dalfour"/>
    <s v="|24/24/38|"/>
    <n v="468"/>
    <n v="4.1100000000000003"/>
    <n v="5.18"/>
  </r>
  <r>
    <x v="1"/>
    <s v="Convenience stores"/>
    <x v="10"/>
    <s v="St.Dalfour"/>
    <s v="|24/24/39|"/>
    <n v="432"/>
    <n v="3.34"/>
    <n v="6.48"/>
  </r>
  <r>
    <x v="1"/>
    <s v="Convenience stores"/>
    <x v="10"/>
    <s v="St.Dalfour"/>
    <s v="|24/24/40|"/>
    <n v="504"/>
    <n v="4.66"/>
    <n v="6.19"/>
  </r>
  <r>
    <x v="1"/>
    <s v="Convenience stores"/>
    <x v="10"/>
    <s v="St.Dalfour"/>
    <s v="|24/24/41|"/>
    <n v="492"/>
    <n v="4.6900000000000004"/>
    <n v="6.31"/>
  </r>
  <r>
    <x v="1"/>
    <s v="Convenience stores"/>
    <x v="10"/>
    <s v="St.Dalfour"/>
    <s v="|24/24/42|"/>
    <n v="468"/>
    <n v="3.04"/>
    <n v="5.04"/>
  </r>
  <r>
    <x v="1"/>
    <s v="Convenience stores"/>
    <x v="10"/>
    <s v="St.Dalfour"/>
    <s v="|24/24/43|"/>
    <n v="516"/>
    <n v="4.93"/>
    <n v="5.0599999999999996"/>
  </r>
  <r>
    <x v="1"/>
    <s v="Convenience stores"/>
    <x v="10"/>
    <s v="St.Dalfour"/>
    <s v="|24/24/44|"/>
    <n v="396"/>
    <n v="3.45"/>
    <n v="5.48"/>
  </r>
  <r>
    <x v="1"/>
    <s v="Convenience stores"/>
    <x v="10"/>
    <s v="St.Dalfour"/>
    <s v="|24/24/45|"/>
    <n v="408"/>
    <n v="4.75"/>
    <n v="5.97"/>
  </r>
  <r>
    <x v="1"/>
    <s v="Convenience stores"/>
    <x v="10"/>
    <s v="St.Dalfour"/>
    <s v="|24/24/50|"/>
    <n v="504"/>
    <n v="3.53"/>
    <n v="5.68"/>
  </r>
  <r>
    <x v="1"/>
    <s v="Convenience stores"/>
    <x v="10"/>
    <s v="St.Dalfour"/>
    <s v="|24/25/01|"/>
    <n v="384"/>
    <n v="4.88"/>
    <n v="5.34"/>
  </r>
  <r>
    <x v="1"/>
    <s v="Convenience stores"/>
    <x v="10"/>
    <s v="St.Dalfour"/>
    <s v="|24/25/02|"/>
    <n v="540"/>
    <n v="3.52"/>
    <n v="6.62"/>
  </r>
  <r>
    <x v="1"/>
    <s v="Convenience stores"/>
    <x v="10"/>
    <s v="St.Dalfour"/>
    <s v="|24/26/01|"/>
    <n v="444"/>
    <n v="4.97"/>
    <n v="6.46"/>
  </r>
  <r>
    <x v="1"/>
    <s v="Convenience stores"/>
    <x v="10"/>
    <s v="St.Dalfour"/>
    <s v="|24/26/02|"/>
    <n v="372"/>
    <n v="4.67"/>
    <n v="5.44"/>
  </r>
  <r>
    <x v="1"/>
    <s v="Convenience stores"/>
    <x v="10"/>
    <s v="St.Dalfour"/>
    <s v="|24/26/03|"/>
    <n v="360"/>
    <n v="4.6900000000000004"/>
    <n v="6.55"/>
  </r>
  <r>
    <x v="1"/>
    <s v="Convenience stores"/>
    <x v="10"/>
    <s v="St.Dalfour"/>
    <s v="|24/26/04|"/>
    <n v="504"/>
    <n v="3.71"/>
    <n v="5.17"/>
  </r>
  <r>
    <x v="1"/>
    <s v="Convenience stores"/>
    <x v="10"/>
    <s v="St.Dalfour"/>
    <s v="|24/27/01|"/>
    <n v="408"/>
    <n v="3.04"/>
    <n v="5.99"/>
  </r>
  <r>
    <x v="1"/>
    <s v="Convenience stores"/>
    <x v="10"/>
    <s v="St.Dalfour"/>
    <s v="|24/27/02|"/>
    <n v="372"/>
    <n v="3.53"/>
    <n v="5.22"/>
  </r>
  <r>
    <x v="1"/>
    <s v="Convenience stores"/>
    <x v="10"/>
    <s v="St.Dalfour"/>
    <s v="|24/27/03|"/>
    <n v="480"/>
    <n v="3.81"/>
    <n v="5.41"/>
  </r>
  <r>
    <x v="1"/>
    <s v="Convenience stores"/>
    <x v="9"/>
    <s v="P&amp;G"/>
    <s v="|128/01/01|"/>
    <n v="480"/>
    <n v="1.3"/>
    <n v="2.48"/>
  </r>
  <r>
    <x v="1"/>
    <s v="Convenience stores"/>
    <x v="9"/>
    <s v="P&amp;G"/>
    <s v="|128/01/02|"/>
    <n v="1068"/>
    <n v="2.44"/>
    <n v="3.11"/>
  </r>
  <r>
    <x v="1"/>
    <s v="Convenience stores"/>
    <x v="9"/>
    <s v="P&amp;G"/>
    <s v="|128/01/03|"/>
    <n v="768"/>
    <n v="1.76"/>
    <n v="3.32"/>
  </r>
  <r>
    <x v="1"/>
    <s v="Convenience stores"/>
    <x v="9"/>
    <s v="P&amp;G"/>
    <s v="|128/01/04|"/>
    <n v="900"/>
    <n v="1.3"/>
    <n v="2.0099999999999998"/>
  </r>
  <r>
    <x v="1"/>
    <s v="Convenience stores"/>
    <x v="1"/>
    <s v="KBG"/>
    <s v="|117/02/01|"/>
    <n v="456"/>
    <n v="6.1"/>
    <n v="8.4733333333333327"/>
  </r>
  <r>
    <x v="1"/>
    <s v="Convenience stores"/>
    <x v="1"/>
    <s v="KBG"/>
    <s v="|117/02/02|"/>
    <n v="516"/>
    <n v="6.1533333333333333"/>
    <n v="7.7866666666666671"/>
  </r>
  <r>
    <x v="1"/>
    <s v="Convenience stores"/>
    <x v="1"/>
    <s v="KBG"/>
    <s v="|117/02/03|"/>
    <n v="576"/>
    <n v="6.1866666666666665"/>
    <n v="7.333333333333333"/>
  </r>
  <r>
    <x v="1"/>
    <s v="Convenience stores"/>
    <x v="1"/>
    <s v="KBG"/>
    <s v="|117/02/04|"/>
    <n v="612"/>
    <n v="5.2666666666666666"/>
    <n v="7.3466666666666667"/>
  </r>
  <r>
    <x v="1"/>
    <s v="Convenience stores"/>
    <x v="1"/>
    <s v="KBG"/>
    <s v="|117/02/05|"/>
    <n v="612"/>
    <n v="6.64"/>
    <n v="8.6133333333333333"/>
  </r>
  <r>
    <x v="1"/>
    <s v="Convenience stores"/>
    <x v="1"/>
    <s v="KBG"/>
    <s v="|117/02/06|"/>
    <n v="588"/>
    <n v="6.5266666666666664"/>
    <n v="8.08"/>
  </r>
  <r>
    <x v="1"/>
    <s v="Convenience stores"/>
    <x v="1"/>
    <s v="KBG"/>
    <s v="|117/02/07|"/>
    <n v="444"/>
    <n v="5.3866666666666667"/>
    <n v="7.36"/>
  </r>
  <r>
    <x v="1"/>
    <s v="Convenience stores"/>
    <x v="1"/>
    <s v="KBG"/>
    <s v="|117/02/08|"/>
    <n v="492"/>
    <n v="6.34"/>
    <n v="8.5266666666666673"/>
  </r>
  <r>
    <x v="1"/>
    <s v="Convenience stores"/>
    <x v="1"/>
    <s v="KBG"/>
    <s v="|117/02/12|"/>
    <n v="504"/>
    <n v="5.52"/>
    <n v="8.2466666666666661"/>
  </r>
  <r>
    <x v="1"/>
    <s v="Convenience stores"/>
    <x v="1"/>
    <s v="KBG"/>
    <s v="|117/02/14|"/>
    <n v="504"/>
    <n v="5.293333333333333"/>
    <n v="7.8466666666666667"/>
  </r>
  <r>
    <x v="1"/>
    <s v="Convenience stores"/>
    <x v="7"/>
    <s v="KBG"/>
    <s v="|117/01/01|"/>
    <n v="852"/>
    <n v="2.65"/>
    <n v="3.81"/>
  </r>
  <r>
    <x v="1"/>
    <s v="Convenience stores"/>
    <x v="7"/>
    <s v="KBG"/>
    <s v="|117/01/02|"/>
    <n v="792"/>
    <n v="2.82"/>
    <n v="3.29"/>
  </r>
  <r>
    <x v="1"/>
    <s v="Convenience stores"/>
    <x v="7"/>
    <s v="KBG"/>
    <s v="|117/01/03|"/>
    <n v="684"/>
    <n v="2.84"/>
    <n v="3.86"/>
  </r>
  <r>
    <x v="1"/>
    <s v="Convenience stores"/>
    <x v="7"/>
    <s v="KBG"/>
    <s v="|117/01/04|"/>
    <n v="852"/>
    <n v="2.56"/>
    <n v="3.86"/>
  </r>
  <r>
    <x v="1"/>
    <s v="Convenience stores"/>
    <x v="7"/>
    <s v="KBG"/>
    <s v="|117/01/05|"/>
    <n v="1200"/>
    <n v="2.4900000000000002"/>
    <n v="3.81"/>
  </r>
  <r>
    <x v="1"/>
    <s v="Convenience stores"/>
    <x v="7"/>
    <s v="KBG"/>
    <s v="|117/01/06|"/>
    <n v="624"/>
    <n v="2.08"/>
    <n v="3.71"/>
  </r>
  <r>
    <x v="1"/>
    <s v="Convenience stores"/>
    <x v="7"/>
    <s v="KBG"/>
    <s v="|117/01/07|"/>
    <n v="1020"/>
    <n v="2.87"/>
    <n v="3.62"/>
  </r>
  <r>
    <x v="1"/>
    <s v="Convenience stores"/>
    <x v="7"/>
    <s v="KBG"/>
    <s v="|117/01/08|"/>
    <n v="768"/>
    <n v="2.0699999999999998"/>
    <n v="3.62"/>
  </r>
  <r>
    <x v="1"/>
    <s v="Convenience stores"/>
    <x v="7"/>
    <s v="KBG"/>
    <s v="|117/01/09|"/>
    <n v="660"/>
    <n v="2.4500000000000002"/>
    <n v="3.77"/>
  </r>
  <r>
    <x v="1"/>
    <s v="Convenience stores"/>
    <x v="7"/>
    <s v="KBG"/>
    <s v="|117/01/10|"/>
    <n v="624"/>
    <n v="2.19"/>
    <n v="3.48"/>
  </r>
  <r>
    <x v="1"/>
    <s v="Convenience stores"/>
    <x v="7"/>
    <s v="KBG"/>
    <s v="|117/01/11|"/>
    <n v="744"/>
    <n v="2.29"/>
    <n v="3.5"/>
  </r>
  <r>
    <x v="1"/>
    <s v="Convenience stores"/>
    <x v="7"/>
    <s v="KBG"/>
    <s v="|117/01/12|"/>
    <n v="1200"/>
    <n v="2.1"/>
    <n v="3.22"/>
  </r>
  <r>
    <x v="1"/>
    <s v="Convenience stores"/>
    <x v="7"/>
    <s v="KBG"/>
    <s v="|117/01/13|"/>
    <n v="1140"/>
    <n v="2.94"/>
    <n v="3.56"/>
  </r>
  <r>
    <x v="1"/>
    <s v="Convenience stores"/>
    <x v="7"/>
    <s v="KBG"/>
    <s v="|117/01/14|"/>
    <n v="888"/>
    <n v="2.5499999999999998"/>
    <n v="3.44"/>
  </r>
  <r>
    <x v="1"/>
    <s v="Convenience stores"/>
    <x v="7"/>
    <s v="KBG"/>
    <s v="|117/01/15|"/>
    <n v="696"/>
    <n v="2.5499999999999998"/>
    <n v="3.65"/>
  </r>
  <r>
    <x v="1"/>
    <s v="Convenience stores"/>
    <x v="7"/>
    <s v="KBG"/>
    <s v="|117/01/16|"/>
    <n v="1188"/>
    <n v="2.2400000000000002"/>
    <n v="3.88"/>
  </r>
  <r>
    <x v="1"/>
    <s v="Convenience stores"/>
    <x v="7"/>
    <s v="KBG"/>
    <s v="|117/01/17|"/>
    <n v="888"/>
    <n v="2.75"/>
    <n v="3.52"/>
  </r>
  <r>
    <x v="1"/>
    <s v="Convenience stores"/>
    <x v="7"/>
    <s v="KBG"/>
    <s v="|117/01/18|"/>
    <n v="684"/>
    <n v="2.12"/>
    <n v="3.33"/>
  </r>
  <r>
    <x v="1"/>
    <s v="Convenience stores"/>
    <x v="7"/>
    <s v="KBG"/>
    <s v="|117/01/19|"/>
    <n v="936"/>
    <n v="2.4900000000000002"/>
    <n v="3.63"/>
  </r>
  <r>
    <x v="1"/>
    <s v="Convenience stores"/>
    <x v="6"/>
    <s v="Cherry dreams"/>
    <s v="|47/01/01|"/>
    <n v="2520"/>
    <n v="2.42"/>
    <n v="3.61"/>
  </r>
  <r>
    <x v="1"/>
    <s v="Convenience stores"/>
    <x v="6"/>
    <s v="Cherry dreams"/>
    <s v="|47/01/02|"/>
    <n v="2616"/>
    <n v="2.31"/>
    <n v="3.63"/>
  </r>
  <r>
    <x v="1"/>
    <s v="Convenience stores"/>
    <x v="6"/>
    <s v="Cherry dreams"/>
    <s v="|47/01/03|"/>
    <n v="2268"/>
    <n v="2.83"/>
    <n v="3.94"/>
  </r>
  <r>
    <x v="1"/>
    <s v="Convenience stores"/>
    <x v="6"/>
    <s v="Cherry dreams"/>
    <s v="|47/01/04|"/>
    <n v="1644"/>
    <n v="2.96"/>
    <n v="3.6"/>
  </r>
  <r>
    <x v="1"/>
    <s v="Convenience stores"/>
    <x v="6"/>
    <s v="Cherry dreams"/>
    <s v="|47/01/05|"/>
    <n v="2268"/>
    <n v="2.95"/>
    <n v="3.64"/>
  </r>
  <r>
    <x v="1"/>
    <s v="Convenience stores"/>
    <x v="6"/>
    <s v="Cherry dreams"/>
    <s v="|47/01/06|"/>
    <n v="2016"/>
    <n v="2.73"/>
    <n v="3.62"/>
  </r>
  <r>
    <x v="1"/>
    <s v="Convenience stores"/>
    <x v="6"/>
    <s v="Cherry dreams"/>
    <s v="|47/01/07|"/>
    <n v="2136"/>
    <n v="2.5299999999999998"/>
    <n v="3.93"/>
  </r>
  <r>
    <x v="1"/>
    <s v="Convenience stores"/>
    <x v="6"/>
    <s v="Cherry dreams"/>
    <s v="|47/01/08|"/>
    <n v="2640"/>
    <n v="2.36"/>
    <n v="3.7"/>
  </r>
  <r>
    <x v="1"/>
    <s v="Convenience stores"/>
    <x v="6"/>
    <s v="Cherry dreams"/>
    <s v="|47/01/09|"/>
    <n v="1572"/>
    <n v="2.39"/>
    <n v="3.93"/>
  </r>
  <r>
    <x v="1"/>
    <s v="Convenience stores"/>
    <x v="6"/>
    <s v="Cherry dreams"/>
    <s v="|47/01/10|"/>
    <n v="1320"/>
    <n v="2.4700000000000002"/>
    <n v="3.69"/>
  </r>
  <r>
    <x v="1"/>
    <s v="Convenience stores"/>
    <x v="6"/>
    <s v="Cherry dreams"/>
    <s v="|47/01/11|"/>
    <n v="2304"/>
    <n v="2.62"/>
    <n v="3.53"/>
  </r>
  <r>
    <x v="1"/>
    <s v="Convenience stores"/>
    <x v="6"/>
    <s v="Cherry dreams"/>
    <s v="|47/01/12|"/>
    <n v="2544"/>
    <n v="2.41"/>
    <n v="3.91"/>
  </r>
  <r>
    <x v="1"/>
    <s v="Convenience stores"/>
    <x v="7"/>
    <s v="C&amp;C vegetables"/>
    <s v="|114/01/01|"/>
    <n v="1008"/>
    <n v="2.93"/>
    <n v="3.2"/>
  </r>
  <r>
    <x v="1"/>
    <s v="Convenience stores"/>
    <x v="7"/>
    <s v="C&amp;C vegetables"/>
    <s v="|114/01/02|"/>
    <n v="876"/>
    <n v="2.57"/>
    <n v="3.43"/>
  </r>
  <r>
    <x v="1"/>
    <s v="Convenience stores"/>
    <x v="7"/>
    <s v="C&amp;C vegetables"/>
    <s v="|114/01/03|"/>
    <n v="1164"/>
    <n v="2.93"/>
    <n v="3.86"/>
  </r>
  <r>
    <x v="1"/>
    <s v="Convenience stores"/>
    <x v="7"/>
    <s v="C&amp;C vegetables"/>
    <s v="|114/01/04|"/>
    <n v="684"/>
    <n v="2.1"/>
    <n v="3.45"/>
  </r>
  <r>
    <x v="1"/>
    <s v="Convenience stores"/>
    <x v="7"/>
    <s v="C&amp;C vegetables"/>
    <s v="|114/01/05|"/>
    <n v="744"/>
    <n v="2.08"/>
    <n v="3.67"/>
  </r>
  <r>
    <x v="1"/>
    <s v="Convenience stores"/>
    <x v="7"/>
    <s v="C&amp;C vegetables"/>
    <s v="|114/01/06|"/>
    <n v="960"/>
    <n v="2.68"/>
    <n v="3.73"/>
  </r>
  <r>
    <x v="1"/>
    <s v="Convenience stores"/>
    <x v="7"/>
    <s v="C&amp;C vegetables"/>
    <s v="|114/01/07|"/>
    <n v="1152"/>
    <n v="2.78"/>
    <n v="3.66"/>
  </r>
  <r>
    <x v="1"/>
    <s v="Convenience stores"/>
    <x v="7"/>
    <s v="C&amp;C vegetables"/>
    <s v="|114/01/08|"/>
    <n v="804"/>
    <n v="2.39"/>
    <n v="3.31"/>
  </r>
  <r>
    <x v="1"/>
    <s v="Convenience stores"/>
    <x v="7"/>
    <s v="C&amp;C vegetables"/>
    <s v="|114/01/09|"/>
    <n v="636"/>
    <n v="2.2799999999999998"/>
    <n v="3.53"/>
  </r>
  <r>
    <x v="1"/>
    <s v="Convenience stores"/>
    <x v="7"/>
    <s v="C&amp;C vegetables"/>
    <s v="|114/01/10|"/>
    <n v="756"/>
    <n v="2.82"/>
    <n v="3.54"/>
  </r>
  <r>
    <x v="1"/>
    <s v="Convenience stores"/>
    <x v="7"/>
    <s v="C&amp;C vegetables"/>
    <s v="|114/01/11|"/>
    <n v="948"/>
    <n v="2.86"/>
    <n v="3.47"/>
  </r>
  <r>
    <x v="1"/>
    <s v="Convenience stores"/>
    <x v="7"/>
    <s v="C&amp;C vegetables"/>
    <s v="|114/01/12|"/>
    <n v="720"/>
    <n v="2.41"/>
    <n v="3.33"/>
  </r>
  <r>
    <x v="1"/>
    <s v="Convenience stores"/>
    <x v="7"/>
    <s v="C&amp;C vegetables"/>
    <s v="|114/01/13|"/>
    <n v="1020"/>
    <n v="2.39"/>
    <n v="3.39"/>
  </r>
  <r>
    <x v="1"/>
    <s v="Convenience stores"/>
    <x v="7"/>
    <s v="C&amp;C vegetables"/>
    <s v="|114/01/14|"/>
    <n v="768"/>
    <n v="2.19"/>
    <n v="3.85"/>
  </r>
  <r>
    <x v="1"/>
    <s v="Convenience stores"/>
    <x v="7"/>
    <s v="C&amp;C vegetables"/>
    <s v="|114/01/15|"/>
    <n v="600"/>
    <n v="2.09"/>
    <n v="3.49"/>
  </r>
  <r>
    <x v="1"/>
    <s v="Convenience stores"/>
    <x v="7"/>
    <s v="C&amp;C vegetables"/>
    <s v="|114/01/16|"/>
    <n v="900"/>
    <n v="2.86"/>
    <n v="3.75"/>
  </r>
  <r>
    <x v="1"/>
    <s v="Convenience stores"/>
    <x v="7"/>
    <s v="C&amp;C vegetables"/>
    <s v="|114/01/17|"/>
    <n v="828"/>
    <n v="2.37"/>
    <n v="3.24"/>
  </r>
  <r>
    <x v="1"/>
    <s v="Convenience stores"/>
    <x v="7"/>
    <s v="C&amp;C vegetables"/>
    <s v="|114/01/18|"/>
    <n v="756"/>
    <n v="3"/>
    <n v="3.49"/>
  </r>
  <r>
    <x v="1"/>
    <s v="Convenience stores"/>
    <x v="7"/>
    <s v="C&amp;C vegetables"/>
    <s v="|114/01/19|"/>
    <n v="1092"/>
    <n v="2.89"/>
    <n v="3.74"/>
  </r>
  <r>
    <x v="1"/>
    <s v="Convenience stores"/>
    <x v="7"/>
    <s v="C&amp;C vegetables"/>
    <s v="|114/01/20|"/>
    <n v="696"/>
    <n v="2.68"/>
    <n v="3.73"/>
  </r>
  <r>
    <x v="1"/>
    <s v="Convenience stores"/>
    <x v="7"/>
    <s v="C&amp;C vegetables"/>
    <s v="|114/01/21|"/>
    <n v="960"/>
    <n v="2.19"/>
    <n v="3.68"/>
  </r>
  <r>
    <x v="1"/>
    <s v="Convenience stores"/>
    <x v="1"/>
    <s v="Gelati e altro"/>
    <s v="|05/00/01|"/>
    <n v="432"/>
    <n v="5.3933333333333335"/>
    <n v="7.4733333333333336"/>
  </r>
  <r>
    <x v="1"/>
    <s v="Convenience stores"/>
    <x v="6"/>
    <s v="Gelati e altro"/>
    <s v="|05/04/01|"/>
    <n v="2004"/>
    <n v="2.71"/>
    <n v="3.63"/>
  </r>
  <r>
    <x v="1"/>
    <s v="Convenience stores"/>
    <x v="6"/>
    <s v="Gelati e altro"/>
    <s v="|05/04/02|"/>
    <n v="2352"/>
    <n v="2.95"/>
    <n v="3.34"/>
  </r>
  <r>
    <x v="1"/>
    <s v="Convenience stores"/>
    <x v="6"/>
    <s v="Gelati e altro"/>
    <s v="|05/04/03|"/>
    <n v="1992"/>
    <n v="2.67"/>
    <n v="3.83"/>
  </r>
  <r>
    <x v="1"/>
    <s v="Convenience stores"/>
    <x v="6"/>
    <s v="Gelati e altro"/>
    <s v="|05/04/04|"/>
    <n v="2664"/>
    <n v="2.59"/>
    <n v="3.61"/>
  </r>
  <r>
    <x v="1"/>
    <s v="Convenience stores"/>
    <x v="6"/>
    <s v="Gelati e altro"/>
    <s v="|05/04/05|"/>
    <n v="2652"/>
    <n v="2.2999999999999998"/>
    <n v="3.76"/>
  </r>
  <r>
    <x v="1"/>
    <s v="Convenience stores"/>
    <x v="6"/>
    <s v="Gelati e altro"/>
    <s v="|05/04/06|"/>
    <n v="1884"/>
    <n v="2.4300000000000002"/>
    <n v="3.49"/>
  </r>
  <r>
    <x v="1"/>
    <s v="Convenience stores"/>
    <x v="6"/>
    <s v="Gelati e altro"/>
    <s v="|05/04/07|"/>
    <n v="1572"/>
    <n v="2.4700000000000002"/>
    <n v="3.52"/>
  </r>
  <r>
    <x v="1"/>
    <s v="Convenience stores"/>
    <x v="6"/>
    <s v="Gelati e altro"/>
    <s v="|05/04/08|"/>
    <n v="1512"/>
    <n v="2.59"/>
    <n v="3.89"/>
  </r>
  <r>
    <x v="1"/>
    <s v="Convenience stores"/>
    <x v="6"/>
    <s v="Gelati e altro"/>
    <s v="|05/04/09|"/>
    <n v="1944"/>
    <n v="2.4"/>
    <n v="3.56"/>
  </r>
  <r>
    <x v="1"/>
    <s v="Convenience stores"/>
    <x v="6"/>
    <s v="Gelati e altro"/>
    <s v="|05/04/10|"/>
    <n v="2412"/>
    <n v="2.87"/>
    <n v="3.65"/>
  </r>
  <r>
    <x v="1"/>
    <s v="Convenience stores"/>
    <x v="6"/>
    <s v="Gelati e altro"/>
    <s v="|05/04/11|"/>
    <n v="1428"/>
    <n v="2.78"/>
    <n v="3.33"/>
  </r>
  <r>
    <x v="1"/>
    <s v="Convenience stores"/>
    <x v="6"/>
    <s v="Gelati e altro"/>
    <s v="|05/04/12|"/>
    <n v="2160"/>
    <n v="2.86"/>
    <n v="3.6"/>
  </r>
  <r>
    <x v="1"/>
    <s v="Convenience stores"/>
    <x v="4"/>
    <s v="Valtaro"/>
    <s v="|41/01/01|"/>
    <n v="600"/>
    <n v="4.74"/>
    <n v="5.4"/>
  </r>
  <r>
    <x v="1"/>
    <s v="Convenience stores"/>
    <x v="5"/>
    <s v="Buonissimi"/>
    <s v="|53/01/00|"/>
    <n v="660"/>
    <n v="1.23"/>
    <n v="1.8"/>
  </r>
  <r>
    <x v="1"/>
    <s v="Convenience stores"/>
    <x v="5"/>
    <s v="Buonissimi"/>
    <s v="|53/01/01|"/>
    <n v="1284"/>
    <n v="1.23"/>
    <n v="1.89"/>
  </r>
  <r>
    <x v="1"/>
    <s v="Convenience stores"/>
    <x v="5"/>
    <s v="Buonissimi"/>
    <s v="|53/01/02|"/>
    <n v="840"/>
    <n v="1.21"/>
    <n v="1.6"/>
  </r>
  <r>
    <x v="1"/>
    <s v="Convenience stores"/>
    <x v="5"/>
    <s v="Buonissimi"/>
    <s v="|53/01/03|"/>
    <n v="1200"/>
    <n v="1.4"/>
    <n v="1.74"/>
  </r>
  <r>
    <x v="1"/>
    <s v="Convenience stores"/>
    <x v="5"/>
    <s v="Buonissimi"/>
    <s v="|53/01/04|"/>
    <n v="804"/>
    <n v="1.1499999999999999"/>
    <n v="1.64"/>
  </r>
  <r>
    <x v="1"/>
    <s v="Convenience stores"/>
    <x v="5"/>
    <s v="Buonissimi"/>
    <s v="|53/01/05|"/>
    <n v="1248"/>
    <n v="1.1000000000000001"/>
    <n v="1.72"/>
  </r>
  <r>
    <x v="1"/>
    <s v="Convenience stores"/>
    <x v="5"/>
    <s v="Buonissimi"/>
    <s v="|53/01/06|"/>
    <n v="600"/>
    <n v="1.27"/>
    <n v="1.82"/>
  </r>
  <r>
    <x v="1"/>
    <s v="Convenience stores"/>
    <x v="5"/>
    <s v="Buonissimi"/>
    <s v="|53/01/07|"/>
    <n v="636"/>
    <n v="1.1000000000000001"/>
    <n v="1.86"/>
  </r>
  <r>
    <x v="1"/>
    <s v="Convenience stores"/>
    <x v="5"/>
    <s v="Buonissimi"/>
    <s v="|53/01/08|"/>
    <n v="888"/>
    <n v="1.17"/>
    <n v="1.61"/>
  </r>
  <r>
    <x v="1"/>
    <s v="Convenience stores"/>
    <x v="5"/>
    <s v="Buonissimi"/>
    <s v="|53/01/09|"/>
    <n v="1236"/>
    <n v="1.36"/>
    <n v="1.82"/>
  </r>
  <r>
    <x v="1"/>
    <s v="Convenience stores"/>
    <x v="5"/>
    <s v="Buonissimi"/>
    <s v="|53/01/10|"/>
    <n v="756"/>
    <n v="1.2"/>
    <n v="1.81"/>
  </r>
  <r>
    <x v="1"/>
    <s v="Convenience stores"/>
    <x v="5"/>
    <s v="Buonissimi"/>
    <s v="|53/01/11|"/>
    <n v="780"/>
    <n v="1.33"/>
    <n v="1.9"/>
  </r>
  <r>
    <x v="1"/>
    <s v="Convenience stores"/>
    <x v="5"/>
    <s v="Buonissimi"/>
    <s v="|53/01/12|"/>
    <n v="1308"/>
    <n v="1.33"/>
    <n v="1.89"/>
  </r>
  <r>
    <x v="1"/>
    <s v="Convenience stores"/>
    <x v="5"/>
    <s v="Buonissimi"/>
    <s v="|53/01/13|"/>
    <n v="1056"/>
    <n v="1.19"/>
    <n v="1.86"/>
  </r>
  <r>
    <x v="1"/>
    <s v="Convenience stores"/>
    <x v="5"/>
    <s v="Buonissimi"/>
    <s v="|53/01/14|"/>
    <n v="1200"/>
    <n v="1.1100000000000001"/>
    <n v="1.86"/>
  </r>
  <r>
    <x v="1"/>
    <s v="Convenience stores"/>
    <x v="5"/>
    <s v="Buonissimi"/>
    <s v="|53/01/15|"/>
    <n v="1056"/>
    <n v="1.33"/>
    <n v="1.68"/>
  </r>
  <r>
    <x v="1"/>
    <s v="Convenience stores"/>
    <x v="5"/>
    <s v="Buonissimi"/>
    <s v="|53/01/16|"/>
    <n v="948"/>
    <n v="1.47"/>
    <n v="1.63"/>
  </r>
  <r>
    <x v="1"/>
    <s v="Convenience stores"/>
    <x v="5"/>
    <s v="Buonissimi"/>
    <s v="|53/01/17|"/>
    <n v="660"/>
    <n v="1.25"/>
    <n v="1.74"/>
  </r>
  <r>
    <x v="1"/>
    <s v="Convenience stores"/>
    <x v="5"/>
    <s v="Buonissimi"/>
    <s v="|53/01/18|"/>
    <n v="1116"/>
    <n v="1.27"/>
    <n v="1.62"/>
  </r>
  <r>
    <x v="1"/>
    <s v="Convenience stores"/>
    <x v="5"/>
    <s v="Buonissimi"/>
    <s v="|53/01/19|"/>
    <n v="1116"/>
    <n v="1.2"/>
    <n v="1.84"/>
  </r>
  <r>
    <x v="1"/>
    <s v="Convenience stores"/>
    <x v="5"/>
    <s v="Buonissimi"/>
    <s v="|53/01/20|"/>
    <n v="648"/>
    <n v="1.24"/>
    <n v="1.9"/>
  </r>
  <r>
    <x v="1"/>
    <s v="Convenience stores"/>
    <x v="5"/>
    <s v="Buonissimi"/>
    <s v="|53/01/21|"/>
    <n v="1152"/>
    <n v="1.24"/>
    <n v="1.71"/>
  </r>
  <r>
    <x v="1"/>
    <s v="Convenience stores"/>
    <x v="5"/>
    <s v="Buonissimi"/>
    <s v="|53/01/22|"/>
    <n v="660"/>
    <n v="1.29"/>
    <n v="1.82"/>
  </r>
  <r>
    <x v="1"/>
    <s v="Convenience stores"/>
    <x v="5"/>
    <s v="Buonissimi"/>
    <s v="|53/01/23|"/>
    <n v="1092"/>
    <n v="1.38"/>
    <n v="1.82"/>
  </r>
  <r>
    <x v="1"/>
    <s v="Convenience stores"/>
    <x v="5"/>
    <s v="Buonissimi"/>
    <s v="|53/01/24|"/>
    <n v="1308"/>
    <n v="1.26"/>
    <n v="1.85"/>
  </r>
  <r>
    <x v="1"/>
    <s v="Convenience stores"/>
    <x v="5"/>
    <s v="Buonissimi"/>
    <s v="|53/01/25|"/>
    <n v="936"/>
    <n v="1.1399999999999999"/>
    <n v="1.64"/>
  </r>
  <r>
    <x v="1"/>
    <s v="Convenience stores"/>
    <x v="5"/>
    <s v="Buonissimi"/>
    <s v="|53/01/26|"/>
    <n v="780"/>
    <n v="1.2"/>
    <n v="1.9"/>
  </r>
  <r>
    <x v="1"/>
    <s v="Convenience stores"/>
    <x v="5"/>
    <s v="Buonissimi"/>
    <s v="|53/01/27|"/>
    <n v="972"/>
    <n v="1.1599999999999999"/>
    <n v="1.68"/>
  </r>
  <r>
    <x v="1"/>
    <s v="Convenience stores"/>
    <x v="5"/>
    <s v="Buonissimi"/>
    <s v="|53/01/28|"/>
    <n v="708"/>
    <n v="1.4"/>
    <n v="1.67"/>
  </r>
  <r>
    <x v="1"/>
    <s v="Convenience stores"/>
    <x v="5"/>
    <s v="Buonissimi"/>
    <s v="|53/01/29|"/>
    <n v="996"/>
    <n v="1.27"/>
    <n v="1.88"/>
  </r>
  <r>
    <x v="1"/>
    <s v="Convenience stores"/>
    <x v="5"/>
    <s v="Buonissimi"/>
    <s v="|53/01/30|"/>
    <n v="1140"/>
    <n v="1.19"/>
    <n v="1.9"/>
  </r>
  <r>
    <x v="1"/>
    <s v="Convenience stores"/>
    <x v="5"/>
    <s v="Buonissimi"/>
    <s v="|53/01/31|"/>
    <n v="936"/>
    <n v="1.49"/>
    <n v="1.73"/>
  </r>
  <r>
    <x v="1"/>
    <s v="Convenience stores"/>
    <x v="5"/>
    <s v="Buonissimi"/>
    <s v="|53/01/32|"/>
    <n v="1308"/>
    <n v="1.29"/>
    <n v="1.88"/>
  </r>
  <r>
    <x v="1"/>
    <s v="Convenience stores"/>
    <x v="5"/>
    <s v="Buonissimi"/>
    <s v="|53/01/33|"/>
    <n v="804"/>
    <n v="1.1599999999999999"/>
    <n v="1.64"/>
  </r>
  <r>
    <x v="1"/>
    <s v="Convenience stores"/>
    <x v="5"/>
    <s v="Buonissimi"/>
    <s v="|53/01/34|"/>
    <n v="1236"/>
    <n v="1.34"/>
    <n v="1.77"/>
  </r>
  <r>
    <x v="1"/>
    <s v="Convenience stores"/>
    <x v="5"/>
    <s v="Buonissimi"/>
    <s v="|53/01/35|"/>
    <n v="1152"/>
    <n v="1.43"/>
    <n v="1.83"/>
  </r>
  <r>
    <x v="1"/>
    <s v="Convenience stores"/>
    <x v="5"/>
    <s v="Buonissimi"/>
    <s v="|53/01/36|"/>
    <n v="1104"/>
    <n v="1.4"/>
    <n v="1.85"/>
  </r>
  <r>
    <x v="1"/>
    <s v="Convenience stores"/>
    <x v="5"/>
    <s v="Buonissimi"/>
    <s v="|53/01/37|"/>
    <n v="576"/>
    <n v="1.19"/>
    <n v="1.74"/>
  </r>
  <r>
    <x v="1"/>
    <s v="Convenience stores"/>
    <x v="5"/>
    <s v="Buonissimi"/>
    <s v="|53/01/38|"/>
    <n v="1296"/>
    <n v="1.22"/>
    <n v="1.83"/>
  </r>
  <r>
    <x v="1"/>
    <s v="Convenience stores"/>
    <x v="5"/>
    <s v="Buonissimi"/>
    <s v="|53/02/01|"/>
    <n v="1284"/>
    <n v="1.22"/>
    <n v="1.68"/>
  </r>
  <r>
    <x v="1"/>
    <s v="Convenience stores"/>
    <x v="5"/>
    <s v="Buonissimi"/>
    <s v="|53/02/02|"/>
    <n v="888"/>
    <n v="1.44"/>
    <n v="1.69"/>
  </r>
  <r>
    <x v="1"/>
    <s v="Convenience stores"/>
    <x v="5"/>
    <s v="Buonissimi"/>
    <s v="|53/02/03|"/>
    <n v="792"/>
    <n v="1.28"/>
    <n v="1.72"/>
  </r>
  <r>
    <x v="1"/>
    <s v="Convenience stores"/>
    <x v="5"/>
    <s v="Buonissimi"/>
    <s v="|53/02/04|"/>
    <n v="936"/>
    <n v="1.45"/>
    <n v="1.9"/>
  </r>
  <r>
    <x v="1"/>
    <s v="Convenience stores"/>
    <x v="5"/>
    <s v="Buonissimi"/>
    <s v="|53/02/05|"/>
    <n v="924"/>
    <n v="1.46"/>
    <n v="1.83"/>
  </r>
  <r>
    <x v="1"/>
    <s v="Convenience stores"/>
    <x v="5"/>
    <s v="Buonissimi"/>
    <s v="|53/02/06|"/>
    <n v="1140"/>
    <n v="1.1100000000000001"/>
    <n v="1.82"/>
  </r>
  <r>
    <x v="1"/>
    <s v="Convenience stores"/>
    <x v="5"/>
    <s v="Buonissimi"/>
    <s v="|53/02/07|"/>
    <n v="900"/>
    <n v="1.37"/>
    <n v="1.89"/>
  </r>
  <r>
    <x v="1"/>
    <s v="Convenience stores"/>
    <x v="5"/>
    <s v="Buonissimi"/>
    <s v="|53/02/08|"/>
    <n v="828"/>
    <n v="1.39"/>
    <n v="1.83"/>
  </r>
  <r>
    <x v="1"/>
    <s v="Convenience stores"/>
    <x v="5"/>
    <s v="Buonissimi"/>
    <s v="|53/02/09|"/>
    <n v="720"/>
    <n v="1.21"/>
    <n v="1.85"/>
  </r>
  <r>
    <x v="1"/>
    <s v="Convenience stores"/>
    <x v="5"/>
    <s v="Buonissimi"/>
    <s v="|53/02/10|"/>
    <n v="1092"/>
    <n v="1.47"/>
    <n v="1.75"/>
  </r>
  <r>
    <x v="1"/>
    <s v="Convenience stores"/>
    <x v="5"/>
    <s v="Buonissimi"/>
    <s v="|53/02/11|"/>
    <n v="792"/>
    <n v="1.37"/>
    <n v="1.73"/>
  </r>
  <r>
    <x v="1"/>
    <s v="Convenience stores"/>
    <x v="5"/>
    <s v="Buonissimi"/>
    <s v="|53/02/12|"/>
    <n v="1188"/>
    <n v="1.1100000000000001"/>
    <n v="1.62"/>
  </r>
  <r>
    <x v="1"/>
    <s v="Convenience stores"/>
    <x v="5"/>
    <s v="Buonissimi"/>
    <s v="|53/02/13|"/>
    <n v="924"/>
    <n v="1.1399999999999999"/>
    <n v="1.62"/>
  </r>
  <r>
    <x v="1"/>
    <s v="Convenience stores"/>
    <x v="5"/>
    <s v="Buonissimi"/>
    <s v="|53/02/14|"/>
    <n v="996"/>
    <n v="1.48"/>
    <n v="1.67"/>
  </r>
  <r>
    <x v="1"/>
    <s v="Convenience stores"/>
    <x v="5"/>
    <s v="Buonissimi"/>
    <s v="|53/02/15|"/>
    <n v="720"/>
    <n v="1.22"/>
    <n v="1.61"/>
  </r>
  <r>
    <x v="1"/>
    <s v="Convenience stores"/>
    <x v="5"/>
    <s v="Buonissimi"/>
    <s v="|53/02/16|"/>
    <n v="744"/>
    <n v="1.2"/>
    <n v="1.88"/>
  </r>
  <r>
    <x v="1"/>
    <s v="Convenience stores"/>
    <x v="5"/>
    <s v="Buonissimi"/>
    <s v="|53/02/17|"/>
    <n v="576"/>
    <n v="1.39"/>
    <n v="1.67"/>
  </r>
  <r>
    <x v="1"/>
    <s v="Convenience stores"/>
    <x v="5"/>
    <s v="Buonissimi"/>
    <s v="|53/02/25|"/>
    <n v="672"/>
    <n v="1.34"/>
    <n v="1.67"/>
  </r>
  <r>
    <x v="1"/>
    <s v="Convenience stores"/>
    <x v="5"/>
    <s v="Buonissimi"/>
    <s v="|53/03/01|"/>
    <n v="948"/>
    <n v="1.1000000000000001"/>
    <n v="1.83"/>
  </r>
  <r>
    <x v="1"/>
    <s v="Convenience stores"/>
    <x v="5"/>
    <s v="Buonissimi"/>
    <s v="|53/03/02|"/>
    <n v="636"/>
    <n v="1.22"/>
    <n v="1.79"/>
  </r>
  <r>
    <x v="1"/>
    <s v="Convenience stores"/>
    <x v="5"/>
    <s v="Buonissimi"/>
    <s v="|53/03/03|"/>
    <n v="576"/>
    <n v="1.24"/>
    <n v="1.88"/>
  </r>
  <r>
    <x v="1"/>
    <s v="Hypermarkets"/>
    <x v="12"/>
    <s v="Barilla"/>
    <s v="|56/01/01|"/>
    <n v="132"/>
    <n v="2.66"/>
    <n v="3"/>
  </r>
  <r>
    <x v="1"/>
    <s v="Hypermarkets"/>
    <x v="12"/>
    <s v="Barilla"/>
    <s v="|56/01/02|"/>
    <n v="156"/>
    <n v="2.7666666666666666"/>
    <n v="2.9"/>
  </r>
  <r>
    <x v="1"/>
    <s v="Hypermarkets"/>
    <x v="12"/>
    <s v="Barilla"/>
    <s v="|56/01/03|"/>
    <n v="144"/>
    <n v="2.7733333333333334"/>
    <n v="2.9533333333333331"/>
  </r>
  <r>
    <x v="1"/>
    <s v="Hypermarkets"/>
    <x v="12"/>
    <s v="Barilla"/>
    <s v="|56/01/04|"/>
    <n v="156"/>
    <n v="2.4133333333333336"/>
    <n v="2.9933333333333332"/>
  </r>
  <r>
    <x v="1"/>
    <s v="Hypermarkets"/>
    <x v="12"/>
    <s v="Barilla"/>
    <s v="|56/01/05|"/>
    <n v="180"/>
    <n v="2.6733333333333333"/>
    <n v="3"/>
  </r>
  <r>
    <x v="1"/>
    <s v="Hypermarkets"/>
    <x v="12"/>
    <s v="Barilla"/>
    <s v="|56/01/06|"/>
    <n v="120"/>
    <n v="2.7666666666666666"/>
    <n v="2.9533333333333331"/>
  </r>
  <r>
    <x v="1"/>
    <s v="Hypermarkets"/>
    <x v="12"/>
    <s v="Barilla"/>
    <s v="|56/01/07|"/>
    <n v="156"/>
    <n v="2.4533333333333331"/>
    <n v="3"/>
  </r>
  <r>
    <x v="1"/>
    <s v="Hypermarkets"/>
    <x v="12"/>
    <s v="Barilla"/>
    <s v="|56/01/08|"/>
    <n v="132"/>
    <n v="2.3466666666666667"/>
    <n v="2.8866666666666667"/>
  </r>
  <r>
    <x v="1"/>
    <s v="Hypermarkets"/>
    <x v="12"/>
    <s v="Barilla"/>
    <s v="|56/01/09|"/>
    <n v="156"/>
    <n v="2.6733333333333333"/>
    <n v="2.8933333333333335"/>
  </r>
  <r>
    <x v="1"/>
    <s v="Hypermarkets"/>
    <x v="12"/>
    <s v="Barilla"/>
    <s v="|56/01/10|"/>
    <n v="120"/>
    <n v="2.5133333333333332"/>
    <n v="2.96"/>
  </r>
  <r>
    <x v="1"/>
    <s v="Hypermarkets"/>
    <x v="12"/>
    <s v="Barilla"/>
    <s v="|56/01/11|"/>
    <n v="180"/>
    <n v="2.2933333333333334"/>
    <n v="2.9866666666666668"/>
  </r>
  <r>
    <x v="1"/>
    <s v="Hypermarkets"/>
    <x v="12"/>
    <s v="Barilla"/>
    <s v="|56/01/12|"/>
    <n v="168"/>
    <n v="2.4133333333333336"/>
    <n v="2.8733333333333335"/>
  </r>
  <r>
    <x v="1"/>
    <s v="Hypermarkets"/>
    <x v="12"/>
    <s v="Barilla"/>
    <s v="|56/01/13|"/>
    <n v="132"/>
    <n v="2.56"/>
    <n v="2.98"/>
  </r>
  <r>
    <x v="1"/>
    <s v="Hypermarkets"/>
    <x v="12"/>
    <s v="Barilla"/>
    <s v="|56/01/14|"/>
    <n v="120"/>
    <n v="2.2733333333333334"/>
    <n v="2.88"/>
  </r>
  <r>
    <x v="1"/>
    <s v="Hypermarkets"/>
    <x v="12"/>
    <s v="Barilla"/>
    <s v="|56/01/15|"/>
    <n v="156"/>
    <n v="2.3199999999999998"/>
    <n v="2.88"/>
  </r>
  <r>
    <x v="1"/>
    <s v="Hypermarkets"/>
    <x v="12"/>
    <s v="Barilla"/>
    <s v="|56/01/16|"/>
    <n v="120"/>
    <n v="2.2733333333333334"/>
    <n v="2.9266666666666667"/>
  </r>
  <r>
    <x v="1"/>
    <s v="Hypermarkets"/>
    <x v="12"/>
    <s v="Barilla"/>
    <s v="|56/01/17|"/>
    <n v="120"/>
    <n v="2.4"/>
    <n v="2.9866666666666668"/>
  </r>
  <r>
    <x v="1"/>
    <s v="Hypermarkets"/>
    <x v="12"/>
    <s v="Barilla"/>
    <s v="|56/01/18|"/>
    <n v="156"/>
    <n v="2.4333333333333331"/>
    <n v="2.96"/>
  </r>
  <r>
    <x v="1"/>
    <s v="Hypermarkets"/>
    <x v="12"/>
    <s v="Barilla"/>
    <s v="|56/01/19|"/>
    <n v="168"/>
    <n v="2.7066666666666666"/>
    <n v="2.9733333333333332"/>
  </r>
  <r>
    <x v="1"/>
    <s v="Hypermarkets"/>
    <x v="12"/>
    <s v="Barilla"/>
    <s v="|56/01/20|"/>
    <n v="144"/>
    <n v="2.4666666666666668"/>
    <n v="2.8733333333333335"/>
  </r>
  <r>
    <x v="1"/>
    <s v="Hypermarkets"/>
    <x v="12"/>
    <s v="Barilla"/>
    <s v="|56/01/21|"/>
    <n v="144"/>
    <n v="2.4066666666666667"/>
    <n v="2.9866666666666668"/>
  </r>
  <r>
    <x v="1"/>
    <s v="Hypermarkets"/>
    <x v="12"/>
    <s v="Barilla"/>
    <s v="|56/01/22|"/>
    <n v="156"/>
    <n v="2.2866666666666666"/>
    <n v="2.8933333333333335"/>
  </r>
  <r>
    <x v="1"/>
    <s v="Hypermarkets"/>
    <x v="12"/>
    <s v="Barilla"/>
    <s v="|56/01/23|"/>
    <n v="120"/>
    <n v="2.6"/>
    <n v="2.8733333333333335"/>
  </r>
  <r>
    <x v="1"/>
    <s v="Hypermarkets"/>
    <x v="12"/>
    <s v="Barilla"/>
    <s v="|56/01/24|"/>
    <n v="144"/>
    <n v="2.68"/>
    <n v="2.9333333333333331"/>
  </r>
  <r>
    <x v="1"/>
    <s v="Hypermarkets"/>
    <x v="12"/>
    <s v="Barilla"/>
    <s v="|56/01/25|"/>
    <n v="180"/>
    <n v="2.4733333333333332"/>
    <n v="2.9133333333333336"/>
  </r>
  <r>
    <x v="1"/>
    <s v="Hypermarkets"/>
    <x v="12"/>
    <s v="Barilla"/>
    <s v="|56/01/26|"/>
    <n v="156"/>
    <n v="2.3066666666666666"/>
    <n v="2.8866666666666667"/>
  </r>
  <r>
    <x v="1"/>
    <s v="Hypermarkets"/>
    <x v="12"/>
    <s v="Barilla"/>
    <s v="|56/01/27|"/>
    <n v="156"/>
    <n v="2.5266666666666668"/>
    <n v="2.9866666666666668"/>
  </r>
  <r>
    <x v="1"/>
    <s v="Hypermarkets"/>
    <x v="12"/>
    <s v="Barilla"/>
    <s v="|56/01/28|"/>
    <n v="132"/>
    <n v="2.7666666666666666"/>
    <n v="2.9933333333333332"/>
  </r>
  <r>
    <x v="1"/>
    <s v="Hypermarkets"/>
    <x v="12"/>
    <s v="Barilla"/>
    <s v="|56/01/29|"/>
    <n v="156"/>
    <n v="2.7733333333333334"/>
    <n v="2.98"/>
  </r>
  <r>
    <x v="1"/>
    <s v="Hypermarkets"/>
    <x v="12"/>
    <s v="Barilla"/>
    <s v="|56/01/30|"/>
    <n v="144"/>
    <n v="2.34"/>
    <n v="2.94"/>
  </r>
  <r>
    <x v="1"/>
    <s v="Hypermarkets"/>
    <x v="12"/>
    <s v="Barilla"/>
    <s v="|56/01/31|"/>
    <n v="168"/>
    <n v="2.6666666666666665"/>
    <n v="2.9866666666666668"/>
  </r>
  <r>
    <x v="1"/>
    <s v="Hypermarkets"/>
    <x v="12"/>
    <s v="Barilla"/>
    <s v="|56/01/32|"/>
    <n v="144"/>
    <n v="2.64"/>
    <n v="2.9533333333333331"/>
  </r>
  <r>
    <x v="1"/>
    <s v="Hypermarkets"/>
    <x v="12"/>
    <s v="Barilla"/>
    <s v="|56/01/33|"/>
    <n v="132"/>
    <n v="2.4866666666666668"/>
    <n v="2.9733333333333332"/>
  </r>
  <r>
    <x v="1"/>
    <s v="Hypermarkets"/>
    <x v="12"/>
    <s v="Barilla"/>
    <s v="|56/01/34|"/>
    <n v="156"/>
    <n v="2.6866666666666665"/>
    <n v="2.9266666666666667"/>
  </r>
  <r>
    <x v="1"/>
    <s v="Hypermarkets"/>
    <x v="12"/>
    <s v="Barilla"/>
    <s v="|56/01/35|"/>
    <n v="144"/>
    <n v="2.7133333333333334"/>
    <n v="2.96"/>
  </r>
  <r>
    <x v="1"/>
    <s v="Hypermarkets"/>
    <x v="12"/>
    <s v="Barilla"/>
    <s v="|56/01/36|"/>
    <n v="144"/>
    <n v="2.6533333333333333"/>
    <n v="2.92"/>
  </r>
  <r>
    <x v="1"/>
    <s v="Hypermarkets"/>
    <x v="12"/>
    <s v="Barilla"/>
    <s v="|56/01/37|"/>
    <n v="180"/>
    <n v="2.66"/>
    <n v="2.96"/>
  </r>
  <r>
    <x v="1"/>
    <s v="Hypermarkets"/>
    <x v="12"/>
    <s v="Barilla"/>
    <s v="|56/01/38|"/>
    <n v="132"/>
    <n v="2.3199999999999998"/>
    <n v="2.88"/>
  </r>
  <r>
    <x v="1"/>
    <s v="Hypermarkets"/>
    <x v="12"/>
    <s v="Barilla"/>
    <s v="|56/01/39|"/>
    <n v="144"/>
    <n v="2.3466666666666667"/>
    <n v="2.9"/>
  </r>
  <r>
    <x v="1"/>
    <s v="Hypermarkets"/>
    <x v="12"/>
    <s v="Barilla"/>
    <s v="|56/01/40|"/>
    <n v="156"/>
    <n v="2.8"/>
    <n v="2.9133333333333336"/>
  </r>
  <r>
    <x v="1"/>
    <s v="Hypermarkets"/>
    <x v="12"/>
    <s v="Barilla"/>
    <s v="|56/01/41|"/>
    <n v="144"/>
    <n v="2.3733333333333335"/>
    <n v="2.9133333333333336"/>
  </r>
  <r>
    <x v="1"/>
    <s v="Hypermarkets"/>
    <x v="12"/>
    <s v="Barilla"/>
    <s v="|56/01/42|"/>
    <n v="144"/>
    <n v="2.64"/>
    <n v="2.8666666666666667"/>
  </r>
  <r>
    <x v="1"/>
    <s v="Hypermarkets"/>
    <x v="12"/>
    <s v="Barilla"/>
    <s v="|56/01/43|"/>
    <n v="168"/>
    <n v="2.3933333333333335"/>
    <n v="2.98"/>
  </r>
  <r>
    <x v="1"/>
    <s v="Hypermarkets"/>
    <x v="12"/>
    <s v="Barilla"/>
    <s v="|56/01/44|"/>
    <n v="120"/>
    <n v="2.3199999999999998"/>
    <n v="2.96"/>
  </r>
  <r>
    <x v="1"/>
    <s v="Hypermarkets"/>
    <x v="12"/>
    <s v="Barilla"/>
    <s v="|56/01/45|"/>
    <n v="180"/>
    <n v="2.7066666666666666"/>
    <n v="2.8666666666666667"/>
  </r>
  <r>
    <x v="1"/>
    <s v="Hypermarkets"/>
    <x v="12"/>
    <s v="Barilla"/>
    <s v="|56/01/46|"/>
    <n v="144"/>
    <n v="2.5466666666666669"/>
    <n v="2.9333333333333331"/>
  </r>
  <r>
    <x v="1"/>
    <s v="Hypermarkets"/>
    <x v="12"/>
    <s v="Barilla"/>
    <s v="|56/01/47|"/>
    <n v="180"/>
    <n v="2.6533333333333333"/>
    <n v="2.9733333333333332"/>
  </r>
  <r>
    <x v="1"/>
    <s v="Hypermarkets"/>
    <x v="12"/>
    <s v="Barilla"/>
    <s v="|56/01/48|"/>
    <n v="132"/>
    <n v="2.8"/>
    <n v="2.9266666666666667"/>
  </r>
  <r>
    <x v="1"/>
    <s v="Hypermarkets"/>
    <x v="12"/>
    <s v="Barilla"/>
    <s v="|56/01/49|"/>
    <n v="120"/>
    <n v="2.2799999999999998"/>
    <n v="2.96"/>
  </r>
  <r>
    <x v="1"/>
    <s v="Hypermarkets"/>
    <x v="12"/>
    <s v="Barilla"/>
    <s v="|56/01/50|"/>
    <n v="144"/>
    <n v="2.7933333333333334"/>
    <n v="2.94"/>
  </r>
  <r>
    <x v="1"/>
    <s v="Hypermarkets"/>
    <x v="12"/>
    <s v="Barilla"/>
    <s v="|56/01/51|"/>
    <n v="144"/>
    <n v="2.5066666666666668"/>
    <n v="2.9866666666666668"/>
  </r>
  <r>
    <x v="1"/>
    <s v="Hypermarkets"/>
    <x v="12"/>
    <s v="Barilla"/>
    <s v="|56/01/52|"/>
    <n v="144"/>
    <n v="2.34"/>
    <n v="2.94"/>
  </r>
  <r>
    <x v="1"/>
    <s v="Hypermarkets"/>
    <x v="12"/>
    <s v="Barilla"/>
    <s v="|56/01/53|"/>
    <n v="120"/>
    <n v="2.44"/>
    <n v="2.9466666666666668"/>
  </r>
  <r>
    <x v="1"/>
    <s v="Hypermarkets"/>
    <x v="12"/>
    <s v="Barilla"/>
    <s v="|56/01/54|"/>
    <n v="144"/>
    <n v="2.4133333333333336"/>
    <n v="2.9533333333333331"/>
  </r>
  <r>
    <x v="1"/>
    <s v="Hypermarkets"/>
    <x v="12"/>
    <s v="Barilla"/>
    <s v="|56/01/55|"/>
    <n v="168"/>
    <n v="2.76"/>
    <n v="2.9933333333333332"/>
  </r>
  <r>
    <x v="1"/>
    <s v="Hypermarkets"/>
    <x v="12"/>
    <s v="Barilla"/>
    <s v="|56/01/56|"/>
    <n v="132"/>
    <n v="2.56"/>
    <n v="2.9933333333333332"/>
  </r>
  <r>
    <x v="1"/>
    <s v="Hypermarkets"/>
    <x v="12"/>
    <s v="Barilla"/>
    <s v="|56/01/57|"/>
    <n v="132"/>
    <n v="2.4733333333333332"/>
    <n v="2.8666666666666667"/>
  </r>
  <r>
    <x v="1"/>
    <s v="Hypermarkets"/>
    <x v="12"/>
    <s v="Own label"/>
    <s v="|132/01/02|"/>
    <n v="156"/>
    <n v="2.2733333333333334"/>
    <n v="2.9266666666666667"/>
  </r>
  <r>
    <x v="1"/>
    <s v="Hypermarkets"/>
    <x v="13"/>
    <s v="Danone"/>
    <s v="|68/01/01|"/>
    <n v="564"/>
    <n v="2.5"/>
    <n v="3.04"/>
  </r>
  <r>
    <x v="1"/>
    <s v="Hypermarkets"/>
    <x v="13"/>
    <s v="Danone"/>
    <s v="|68/01/02|"/>
    <n v="528"/>
    <n v="2.5499999999999998"/>
    <n v="3.53"/>
  </r>
  <r>
    <x v="1"/>
    <s v="Hypermarkets"/>
    <x v="13"/>
    <s v="Danone"/>
    <s v="|68/01/03|"/>
    <n v="600"/>
    <n v="2.69"/>
    <n v="3.61"/>
  </r>
  <r>
    <x v="1"/>
    <s v="Hypermarkets"/>
    <x v="13"/>
    <s v="Danone"/>
    <s v="|68/01/04|"/>
    <n v="348"/>
    <n v="2.0299999999999998"/>
    <n v="3.24"/>
  </r>
  <r>
    <x v="1"/>
    <s v="Hypermarkets"/>
    <x v="13"/>
    <s v="Danone"/>
    <s v="|68/01/05|"/>
    <n v="120"/>
    <n v="2.15"/>
    <n v="3.46"/>
  </r>
  <r>
    <x v="1"/>
    <s v="Hypermarkets"/>
    <x v="13"/>
    <s v="Danone"/>
    <s v="|68/01/06|"/>
    <n v="348"/>
    <n v="2.08"/>
    <n v="3.64"/>
  </r>
  <r>
    <x v="1"/>
    <s v="Hypermarkets"/>
    <x v="13"/>
    <s v="Danone"/>
    <s v="|68/01/07|"/>
    <n v="552"/>
    <n v="2.2200000000000002"/>
    <n v="3.23"/>
  </r>
  <r>
    <x v="1"/>
    <s v="Hypermarkets"/>
    <x v="13"/>
    <s v="Danone"/>
    <s v="|68/01/08|"/>
    <n v="360"/>
    <n v="2.79"/>
    <n v="3.26"/>
  </r>
  <r>
    <x v="1"/>
    <s v="Hypermarkets"/>
    <x v="13"/>
    <s v="Danone"/>
    <s v="|68/01/09|"/>
    <n v="528"/>
    <n v="2.78"/>
    <n v="3.54"/>
  </r>
  <r>
    <x v="1"/>
    <s v="Hypermarkets"/>
    <x v="13"/>
    <s v="Danone"/>
    <s v="|68/01/10|"/>
    <n v="276"/>
    <n v="2.69"/>
    <n v="3.73"/>
  </r>
  <r>
    <x v="1"/>
    <s v="Hypermarkets"/>
    <x v="13"/>
    <s v="Danone"/>
    <s v="|68/01/11|"/>
    <n v="132"/>
    <n v="2.0299999999999998"/>
    <n v="3.15"/>
  </r>
  <r>
    <x v="1"/>
    <s v="Hypermarkets"/>
    <x v="13"/>
    <s v="Danone"/>
    <s v="|68/01/12|"/>
    <n v="300"/>
    <n v="2.14"/>
    <n v="3.36"/>
  </r>
  <r>
    <x v="1"/>
    <s v="Hypermarkets"/>
    <x v="13"/>
    <s v="Danone"/>
    <s v="|68/01/13|"/>
    <n v="324"/>
    <n v="2.65"/>
    <n v="3.35"/>
  </r>
  <r>
    <x v="1"/>
    <s v="Hypermarkets"/>
    <x v="13"/>
    <s v="Danone"/>
    <s v="|68/01/14|"/>
    <n v="408"/>
    <n v="2.77"/>
    <n v="3.2"/>
  </r>
  <r>
    <x v="1"/>
    <s v="Hypermarkets"/>
    <x v="13"/>
    <s v="Danone"/>
    <s v="|68/01/15|"/>
    <n v="144"/>
    <n v="2.38"/>
    <n v="3.79"/>
  </r>
  <r>
    <x v="1"/>
    <s v="Hypermarkets"/>
    <x v="13"/>
    <s v="Danone"/>
    <s v="|68/01/16|"/>
    <n v="240"/>
    <n v="2.2799999999999998"/>
    <n v="3.22"/>
  </r>
  <r>
    <x v="1"/>
    <s v="Hypermarkets"/>
    <x v="13"/>
    <s v="Danone"/>
    <s v="|68/01/17|"/>
    <n v="204"/>
    <n v="2.58"/>
    <n v="3.03"/>
  </r>
  <r>
    <x v="1"/>
    <s v="Hypermarkets"/>
    <x v="12"/>
    <s v="Cirio"/>
    <s v="|71/01/01|"/>
    <n v="120"/>
    <n v="2.7533333333333334"/>
    <n v="2.9666666666666668"/>
  </r>
  <r>
    <x v="1"/>
    <s v="Hypermarkets"/>
    <x v="12"/>
    <s v="Cirio"/>
    <s v="|71/01/02|"/>
    <n v="156"/>
    <n v="2.66"/>
    <n v="2.9266666666666667"/>
  </r>
  <r>
    <x v="1"/>
    <s v="Hypermarkets"/>
    <x v="12"/>
    <s v="Cirio"/>
    <s v="|71/01/03|"/>
    <n v="132"/>
    <n v="2.3266666666666667"/>
    <n v="2.9933333333333332"/>
  </r>
  <r>
    <x v="1"/>
    <s v="Hypermarkets"/>
    <x v="12"/>
    <s v="Cirio"/>
    <s v="|71/01/04|"/>
    <n v="144"/>
    <n v="2.64"/>
    <n v="2.9933333333333332"/>
  </r>
  <r>
    <x v="1"/>
    <s v="Hypermarkets"/>
    <x v="12"/>
    <s v="Cirio"/>
    <s v="|71/01/05|"/>
    <n v="144"/>
    <n v="2.7466666666666666"/>
    <n v="2.9066666666666667"/>
  </r>
  <r>
    <x v="1"/>
    <s v="Hypermarkets"/>
    <x v="12"/>
    <s v="Cirio"/>
    <s v="|71/01/06|"/>
    <n v="180"/>
    <n v="2.6266666666666665"/>
    <n v="2.9466666666666668"/>
  </r>
  <r>
    <x v="1"/>
    <s v="Hypermarkets"/>
    <x v="12"/>
    <s v="Cirio"/>
    <s v="|71/01/07|"/>
    <n v="180"/>
    <n v="2.72"/>
    <n v="2.9333333333333331"/>
  </r>
  <r>
    <x v="1"/>
    <s v="Hypermarkets"/>
    <x v="12"/>
    <s v="Cirio"/>
    <s v="|71/01/08|"/>
    <n v="120"/>
    <n v="2.6133333333333333"/>
    <n v="2.9933333333333332"/>
  </r>
  <r>
    <x v="1"/>
    <s v="Hypermarkets"/>
    <x v="12"/>
    <s v="Cirio"/>
    <s v="|71/01/09|"/>
    <n v="144"/>
    <n v="2.76"/>
    <n v="2.9"/>
  </r>
  <r>
    <x v="1"/>
    <s v="Hypermarkets"/>
    <x v="12"/>
    <s v="Cirio"/>
    <s v="|71/01/10|"/>
    <n v="156"/>
    <n v="2.5066666666666668"/>
    <n v="2.9733333333333332"/>
  </r>
  <r>
    <x v="1"/>
    <s v="Hypermarkets"/>
    <x v="12"/>
    <s v="Cirio"/>
    <s v="|71/01/11|"/>
    <n v="168"/>
    <n v="2.56"/>
    <n v="2.9933333333333332"/>
  </r>
  <r>
    <x v="1"/>
    <s v="Hypermarkets"/>
    <x v="12"/>
    <s v="Cirio"/>
    <s v="|71/02/04|"/>
    <n v="132"/>
    <n v="2.6933333333333334"/>
    <n v="2.9466666666666668"/>
  </r>
  <r>
    <x v="1"/>
    <s v="Hypermarkets"/>
    <x v="12"/>
    <s v="Cirio"/>
    <s v="|71/02/01|"/>
    <n v="156"/>
    <n v="2.42"/>
    <n v="2.8733333333333335"/>
  </r>
  <r>
    <x v="1"/>
    <s v="Hypermarkets"/>
    <x v="12"/>
    <s v="Cirio"/>
    <s v="|71/02/02|"/>
    <n v="120"/>
    <n v="2.58"/>
    <n v="2.9866666666666668"/>
  </r>
  <r>
    <x v="1"/>
    <s v="Hypermarkets"/>
    <x v="12"/>
    <s v="Cirio"/>
    <s v="|71/02/03|"/>
    <n v="120"/>
    <n v="2.2933333333333334"/>
    <n v="2.9533333333333331"/>
  </r>
  <r>
    <x v="1"/>
    <s v="Hypermarkets"/>
    <x v="14"/>
    <s v="San Benedetto Bread"/>
    <s v="|27/01/01|"/>
    <n v="1416"/>
    <n v="0.71"/>
    <n v="0.94"/>
  </r>
  <r>
    <x v="1"/>
    <s v="Hypermarkets"/>
    <x v="14"/>
    <s v="San Benedetto Bread"/>
    <s v="|27/01/02|"/>
    <n v="2256"/>
    <n v="0.84"/>
    <n v="0.95"/>
  </r>
  <r>
    <x v="1"/>
    <s v="Hypermarkets"/>
    <x v="14"/>
    <s v="San Benedetto Bread"/>
    <s v="|27/01/03|"/>
    <n v="1740"/>
    <n v="0.85"/>
    <n v="0.95"/>
  </r>
  <r>
    <x v="1"/>
    <s v="Hypermarkets"/>
    <x v="14"/>
    <s v="San Benedetto Bread"/>
    <s v="|27/01/04|"/>
    <n v="1296"/>
    <n v="0.82"/>
    <n v="0.9"/>
  </r>
  <r>
    <x v="1"/>
    <s v="Hypermarkets"/>
    <x v="14"/>
    <s v="San Benedetto Bread"/>
    <s v="|27/01/10|"/>
    <n v="1644"/>
    <n v="0.74"/>
    <n v="0.95"/>
  </r>
  <r>
    <x v="1"/>
    <s v="Hypermarkets"/>
    <x v="14"/>
    <s v="San Benedetto Bread"/>
    <s v="|27/01/11|"/>
    <n v="1272"/>
    <n v="0.83"/>
    <n v="0.93"/>
  </r>
  <r>
    <x v="1"/>
    <s v="Hypermarkets"/>
    <x v="14"/>
    <s v="San Benedetto Bread"/>
    <s v="|27/01/12|"/>
    <n v="2148"/>
    <n v="0.7"/>
    <n v="0.96"/>
  </r>
  <r>
    <x v="1"/>
    <s v="Hypermarkets"/>
    <x v="14"/>
    <s v="San Benedetto Bread"/>
    <s v="|27/01/13|"/>
    <n v="1368"/>
    <n v="0.82"/>
    <n v="0.94"/>
  </r>
  <r>
    <x v="1"/>
    <s v="Hypermarkets"/>
    <x v="14"/>
    <s v="San Benedetto Bread"/>
    <s v="|27/01/20|"/>
    <n v="1980"/>
    <n v="0.8"/>
    <n v="0.98"/>
  </r>
  <r>
    <x v="1"/>
    <s v="Hypermarkets"/>
    <x v="14"/>
    <s v="San Benedetto Bread"/>
    <s v="|27/01/21|"/>
    <n v="1560"/>
    <n v="0.86"/>
    <n v="0.96"/>
  </r>
  <r>
    <x v="1"/>
    <s v="Hypermarkets"/>
    <x v="14"/>
    <s v="San Benedetto Bread"/>
    <s v="|27/01/22|"/>
    <n v="1404"/>
    <n v="0.81"/>
    <n v="0.96"/>
  </r>
  <r>
    <x v="1"/>
    <s v="Hypermarkets"/>
    <x v="14"/>
    <s v="San Benedetto Bread"/>
    <s v="|27/01/23|"/>
    <n v="2304"/>
    <n v="0.84"/>
    <n v="0.95"/>
  </r>
  <r>
    <x v="1"/>
    <s v="Hypermarkets"/>
    <x v="12"/>
    <s v="Atkins"/>
    <s v="|80/00/05|"/>
    <n v="168"/>
    <n v="2.64"/>
    <n v="2.9866666666666668"/>
  </r>
  <r>
    <x v="1"/>
    <s v="Hypermarkets"/>
    <x v="12"/>
    <s v="Atkins"/>
    <s v="|88/00/00|"/>
    <n v="120"/>
    <n v="2.2799999999999998"/>
    <n v="2.9066666666666667"/>
  </r>
  <r>
    <x v="1"/>
    <s v="Hypermarkets"/>
    <x v="12"/>
    <s v="Atkins"/>
    <s v="|88/00/01|"/>
    <n v="156"/>
    <n v="2.6"/>
    <n v="2.9733333333333332"/>
  </r>
  <r>
    <x v="1"/>
    <s v="Hypermarkets"/>
    <x v="12"/>
    <s v="Atkins"/>
    <s v="|88/00/02|"/>
    <n v="180"/>
    <n v="2.76"/>
    <n v="2.9333333333333331"/>
  </r>
  <r>
    <x v="1"/>
    <s v="Hypermarkets"/>
    <x v="12"/>
    <s v="Atkins"/>
    <s v="|88/00/03|"/>
    <n v="120"/>
    <n v="2.42"/>
    <n v="2.9466666666666668"/>
  </r>
  <r>
    <x v="1"/>
    <s v="Hypermarkets"/>
    <x v="12"/>
    <s v="Atkins"/>
    <s v="|88/00/04|"/>
    <n v="156"/>
    <n v="2.4466666666666668"/>
    <n v="2.8666666666666667"/>
  </r>
  <r>
    <x v="1"/>
    <s v="Hypermarkets"/>
    <x v="12"/>
    <s v="Atkins"/>
    <s v="|88/00/05|"/>
    <n v="120"/>
    <n v="2.2999999999999998"/>
    <n v="2.94"/>
  </r>
  <r>
    <x v="1"/>
    <s v="Hypermarkets"/>
    <x v="12"/>
    <s v="Atkins"/>
    <s v="|88/00/06|"/>
    <n v="132"/>
    <n v="2.4666666666666668"/>
    <n v="2.9"/>
  </r>
  <r>
    <x v="1"/>
    <s v="Hypermarkets"/>
    <x v="12"/>
    <s v="Atkins"/>
    <s v="|88/00/07|"/>
    <n v="168"/>
    <n v="2.6866666666666665"/>
    <n v="2.9733333333333332"/>
  </r>
  <r>
    <x v="1"/>
    <s v="Hypermarkets"/>
    <x v="12"/>
    <s v="Atkins"/>
    <s v="|88/00/08|"/>
    <n v="144"/>
    <n v="2.58"/>
    <n v="3"/>
  </r>
  <r>
    <x v="1"/>
    <s v="Hypermarkets"/>
    <x v="12"/>
    <s v="Atkins"/>
    <s v="|88/00/09|"/>
    <n v="180"/>
    <n v="2.3133333333333335"/>
    <n v="2.98"/>
  </r>
  <r>
    <x v="1"/>
    <s v="Hypermarkets"/>
    <x v="12"/>
    <s v="Atkins"/>
    <s v="|88/00/10|"/>
    <n v="180"/>
    <n v="2.6666666666666665"/>
    <n v="2.9466666666666668"/>
  </r>
  <r>
    <x v="1"/>
    <s v="Hypermarkets"/>
    <x v="12"/>
    <s v="Atkins"/>
    <s v="|88/00/11|"/>
    <n v="132"/>
    <n v="2.7333333333333334"/>
    <n v="2.9933333333333332"/>
  </r>
  <r>
    <x v="1"/>
    <s v="Hypermarkets"/>
    <x v="12"/>
    <s v="Atkins"/>
    <s v="|88/00/12|"/>
    <n v="132"/>
    <n v="2.7733333333333334"/>
    <n v="2.94"/>
  </r>
  <r>
    <x v="1"/>
    <s v="Hypermarkets"/>
    <x v="12"/>
    <s v="Atkins"/>
    <s v="|88/00/13|"/>
    <n v="168"/>
    <n v="2.6133333333333333"/>
    <n v="2.8933333333333335"/>
  </r>
  <r>
    <x v="1"/>
    <s v="Hypermarkets"/>
    <x v="12"/>
    <s v="Atkins"/>
    <s v="|88/00/14|"/>
    <n v="156"/>
    <n v="2.4933333333333332"/>
    <n v="2.8866666666666667"/>
  </r>
  <r>
    <x v="1"/>
    <s v="Hypermarkets"/>
    <x v="12"/>
    <s v="Atkins"/>
    <s v="|88/00/15|"/>
    <n v="180"/>
    <n v="2.6933333333333334"/>
    <n v="2.9933333333333332"/>
  </r>
  <r>
    <x v="1"/>
    <s v="Hypermarkets"/>
    <x v="12"/>
    <s v="Atkins"/>
    <s v="|88/00/16|"/>
    <n v="144"/>
    <n v="2.62"/>
    <n v="2.9533333333333331"/>
  </r>
  <r>
    <x v="1"/>
    <s v="Hypermarkets"/>
    <x v="12"/>
    <s v="Atkins"/>
    <s v="|88/00/17|"/>
    <n v="168"/>
    <n v="2.3866666666666667"/>
    <n v="2.8666666666666667"/>
  </r>
  <r>
    <x v="1"/>
    <s v="Hypermarkets"/>
    <x v="12"/>
    <s v="Atkins"/>
    <s v="|88/00/18|"/>
    <n v="168"/>
    <n v="2.4733333333333332"/>
    <n v="2.92"/>
  </r>
  <r>
    <x v="1"/>
    <s v="Hypermarkets"/>
    <x v="12"/>
    <s v="Atkins"/>
    <s v="|88/00/19|"/>
    <n v="168"/>
    <n v="2.3266666666666667"/>
    <n v="2.92"/>
  </r>
  <r>
    <x v="1"/>
    <s v="Hypermarkets"/>
    <x v="12"/>
    <s v="Atkins"/>
    <s v="|88/00/20|"/>
    <n v="132"/>
    <n v="2.7933333333333334"/>
    <n v="2.94"/>
  </r>
  <r>
    <x v="1"/>
    <s v="Hypermarkets"/>
    <x v="12"/>
    <s v="Atkins"/>
    <s v="|88/00/21|"/>
    <n v="144"/>
    <n v="2.3066666666666666"/>
    <n v="2.96"/>
  </r>
  <r>
    <x v="1"/>
    <s v="Hypermarkets"/>
    <x v="12"/>
    <s v="Atkins"/>
    <s v="|88/00/22|"/>
    <n v="156"/>
    <n v="2.6"/>
    <n v="2.9333333333333331"/>
  </r>
  <r>
    <x v="1"/>
    <s v="Hypermarkets"/>
    <x v="12"/>
    <s v="Atkins"/>
    <s v="|88/00/23|"/>
    <n v="132"/>
    <n v="2.3866666666666667"/>
    <n v="2.8666666666666667"/>
  </r>
  <r>
    <x v="1"/>
    <s v="Hypermarkets"/>
    <x v="12"/>
    <s v="Atkins"/>
    <s v="|88/00/24|"/>
    <n v="144"/>
    <n v="2.44"/>
    <n v="2.9733333333333332"/>
  </r>
  <r>
    <x v="1"/>
    <s v="Hypermarkets"/>
    <x v="12"/>
    <s v="Atkins"/>
    <s v="|88/00/25|"/>
    <n v="120"/>
    <n v="2.3133333333333335"/>
    <n v="2.9333333333333331"/>
  </r>
  <r>
    <x v="1"/>
    <s v="Hypermarkets"/>
    <x v="12"/>
    <s v="Atkins"/>
    <s v="|88/00/26|"/>
    <n v="144"/>
    <n v="2.3199999999999998"/>
    <n v="2.88"/>
  </r>
  <r>
    <x v="1"/>
    <s v="Hypermarkets"/>
    <x v="12"/>
    <s v="Atkins"/>
    <s v="|88/00/27|"/>
    <n v="180"/>
    <n v="2.7466666666666666"/>
    <n v="2.98"/>
  </r>
  <r>
    <x v="1"/>
    <s v="Hypermarkets"/>
    <x v="12"/>
    <s v="Atkins"/>
    <s v="|88/00/28|"/>
    <n v="180"/>
    <n v="2.6933333333333334"/>
    <n v="2.9066666666666667"/>
  </r>
  <r>
    <x v="1"/>
    <s v="Hypermarkets"/>
    <x v="12"/>
    <s v="Atkins"/>
    <s v="|88/00/29|"/>
    <n v="144"/>
    <n v="2.3266666666666667"/>
    <n v="3"/>
  </r>
  <r>
    <x v="1"/>
    <s v="Hypermarkets"/>
    <x v="12"/>
    <s v="Atkins"/>
    <s v="|88/00/30|"/>
    <n v="120"/>
    <n v="2.5733333333333333"/>
    <n v="2.8933333333333335"/>
  </r>
  <r>
    <x v="1"/>
    <s v="Hypermarkets"/>
    <x v="12"/>
    <s v="Atkins"/>
    <s v="|88/00/31|"/>
    <n v="156"/>
    <n v="2.3133333333333335"/>
    <n v="3"/>
  </r>
  <r>
    <x v="1"/>
    <s v="Hypermarkets"/>
    <x v="12"/>
    <s v="Atkins"/>
    <s v="|88/00/32|"/>
    <n v="168"/>
    <n v="2.5466666666666669"/>
    <n v="2.98"/>
  </r>
  <r>
    <x v="1"/>
    <s v="Hypermarkets"/>
    <x v="12"/>
    <s v="Atkins"/>
    <s v="|88/00/33|"/>
    <n v="132"/>
    <n v="2.5733333333333333"/>
    <n v="2.88"/>
  </r>
  <r>
    <x v="1"/>
    <s v="Hypermarkets"/>
    <x v="12"/>
    <s v="Atkins"/>
    <s v="|88/00/34|"/>
    <n v="120"/>
    <n v="2.7933333333333334"/>
    <n v="2.96"/>
  </r>
  <r>
    <x v="1"/>
    <s v="Hypermarkets"/>
    <x v="12"/>
    <s v="Atkins"/>
    <s v="|88/00/35|"/>
    <n v="168"/>
    <n v="2.7266666666666666"/>
    <n v="2.92"/>
  </r>
  <r>
    <x v="1"/>
    <s v="Hypermarkets"/>
    <x v="12"/>
    <s v="Atkins"/>
    <s v="|88/00/36|"/>
    <n v="156"/>
    <n v="2.6"/>
    <n v="2.8933333333333335"/>
  </r>
  <r>
    <x v="1"/>
    <s v="Hypermarkets"/>
    <x v="12"/>
    <s v="Atkins"/>
    <s v="|88/00/37|"/>
    <n v="156"/>
    <n v="2.2666666666666666"/>
    <n v="2.9"/>
  </r>
  <r>
    <x v="1"/>
    <s v="Hypermarkets"/>
    <x v="12"/>
    <s v="Atkins"/>
    <s v="|88/00/38|"/>
    <n v="132"/>
    <n v="2.5266666666666668"/>
    <n v="2.9666666666666668"/>
  </r>
  <r>
    <x v="1"/>
    <s v="Hypermarkets"/>
    <x v="12"/>
    <s v="Atkins"/>
    <s v="|88/00/39|"/>
    <n v="168"/>
    <n v="2.62"/>
    <n v="2.9133333333333336"/>
  </r>
  <r>
    <x v="1"/>
    <s v="Hypermarkets"/>
    <x v="12"/>
    <s v="Atkins"/>
    <s v="|88/00/40|"/>
    <n v="156"/>
    <n v="2.5266666666666668"/>
    <n v="2.9733333333333332"/>
  </r>
  <r>
    <x v="1"/>
    <s v="Hypermarkets"/>
    <x v="12"/>
    <s v="Atkins"/>
    <s v="|88/00/41|"/>
    <n v="156"/>
    <n v="2.2666666666666666"/>
    <n v="2.9333333333333331"/>
  </r>
  <r>
    <x v="1"/>
    <s v="Hypermarkets"/>
    <x v="12"/>
    <s v="Atkins"/>
    <s v="|88/00/42|"/>
    <n v="144"/>
    <n v="2.3466666666666667"/>
    <n v="3"/>
  </r>
  <r>
    <x v="1"/>
    <s v="Hypermarkets"/>
    <x v="12"/>
    <s v="Atkins"/>
    <s v="|88/00/43|"/>
    <n v="168"/>
    <n v="2.3133333333333335"/>
    <n v="2.8866666666666667"/>
  </r>
  <r>
    <x v="1"/>
    <s v="Hypermarkets"/>
    <x v="12"/>
    <s v="Atkins"/>
    <s v="|88/00/44|"/>
    <n v="156"/>
    <n v="2.5533333333333332"/>
    <n v="2.9866666666666668"/>
  </r>
  <r>
    <x v="1"/>
    <s v="Hypermarkets"/>
    <x v="12"/>
    <s v="Atkins"/>
    <s v="|88/00/46|"/>
    <n v="144"/>
    <n v="2.4266666666666667"/>
    <n v="2.9466666666666668"/>
  </r>
  <r>
    <x v="1"/>
    <s v="Hypermarkets"/>
    <x v="12"/>
    <s v="Atkins"/>
    <s v="|88/00/47|"/>
    <n v="132"/>
    <n v="2.6466666666666665"/>
    <n v="2.96"/>
  </r>
  <r>
    <x v="1"/>
    <s v="Hypermarkets"/>
    <x v="12"/>
    <s v="Atkins"/>
    <s v="|88/00/48|"/>
    <n v="120"/>
    <n v="2.6866666666666665"/>
    <n v="2.9733333333333332"/>
  </r>
  <r>
    <x v="1"/>
    <s v="Hypermarkets"/>
    <x v="12"/>
    <s v="Atkins"/>
    <s v="|88/00/49|"/>
    <n v="120"/>
    <n v="2.62"/>
    <n v="2.9133333333333336"/>
  </r>
  <r>
    <x v="1"/>
    <s v="Hypermarkets"/>
    <x v="12"/>
    <s v="Atkins"/>
    <s v="|88/00/50|"/>
    <n v="144"/>
    <n v="2.6266666666666665"/>
    <n v="2.96"/>
  </r>
  <r>
    <x v="1"/>
    <s v="Hypermarkets"/>
    <x v="12"/>
    <s v="Atkins"/>
    <s v="|88/00/51|"/>
    <n v="132"/>
    <n v="2.4666666666666668"/>
    <n v="2.8733333333333335"/>
  </r>
  <r>
    <x v="1"/>
    <s v="Hypermarkets"/>
    <x v="12"/>
    <s v="Atkins"/>
    <s v="|88/00/52|"/>
    <n v="132"/>
    <n v="2.5666666666666669"/>
    <n v="2.9333333333333331"/>
  </r>
  <r>
    <x v="1"/>
    <s v="Hypermarkets"/>
    <x v="12"/>
    <s v="Atkins"/>
    <s v="|88/00/53|"/>
    <n v="168"/>
    <n v="2.5466666666666669"/>
    <n v="2.9533333333333331"/>
  </r>
  <r>
    <x v="1"/>
    <s v="Hypermarkets"/>
    <x v="12"/>
    <s v="Atkins"/>
    <s v="|88/00/54|"/>
    <n v="120"/>
    <n v="2.7466666666666666"/>
    <n v="2.9533333333333331"/>
  </r>
  <r>
    <x v="1"/>
    <s v="Hypermarkets"/>
    <x v="12"/>
    <s v="Atkins"/>
    <s v="|88/00/55|"/>
    <n v="120"/>
    <n v="2.7666666666666666"/>
    <n v="2.9533333333333331"/>
  </r>
  <r>
    <x v="1"/>
    <s v="Hypermarkets"/>
    <x v="12"/>
    <s v="Atkins"/>
    <s v="|88/00/56|"/>
    <n v="120"/>
    <n v="2.4866666666666668"/>
    <n v="2.9733333333333332"/>
  </r>
  <r>
    <x v="1"/>
    <s v="Hypermarkets"/>
    <x v="12"/>
    <s v="Atkins"/>
    <s v="|88/00/57|"/>
    <n v="168"/>
    <n v="2.56"/>
    <n v="2.9666666666666668"/>
  </r>
  <r>
    <x v="1"/>
    <s v="Hypermarkets"/>
    <x v="12"/>
    <s v="Atkins"/>
    <s v="|88/00/58|"/>
    <n v="144"/>
    <n v="2.58"/>
    <n v="2.9266666666666667"/>
  </r>
  <r>
    <x v="1"/>
    <s v="Hypermarkets"/>
    <x v="12"/>
    <s v="Atkins"/>
    <s v="|88/00/59|"/>
    <n v="144"/>
    <n v="2.5266666666666668"/>
    <n v="2.9533333333333331"/>
  </r>
  <r>
    <x v="1"/>
    <s v="Hypermarkets"/>
    <x v="12"/>
    <s v="Atkins"/>
    <s v="|88/00/60|"/>
    <n v="180"/>
    <n v="2.7266666666666666"/>
    <n v="2.9066666666666667"/>
  </r>
  <r>
    <x v="1"/>
    <s v="Hypermarkets"/>
    <x v="12"/>
    <s v="Atkins"/>
    <s v="|88/00/61|"/>
    <n v="132"/>
    <n v="2.66"/>
    <n v="2.94"/>
  </r>
  <r>
    <x v="1"/>
    <s v="Hypermarkets"/>
    <x v="12"/>
    <s v="Atkins"/>
    <s v="|88/00/62|"/>
    <n v="120"/>
    <n v="2.6066666666666665"/>
    <n v="2.8733333333333335"/>
  </r>
  <r>
    <x v="1"/>
    <s v="Hypermarkets"/>
    <x v="12"/>
    <s v="Atkins"/>
    <s v="|88/00/64|"/>
    <n v="120"/>
    <n v="2.7066666666666666"/>
    <n v="2.8666666666666667"/>
  </r>
  <r>
    <x v="1"/>
    <s v="Hypermarkets"/>
    <x v="12"/>
    <s v="Atkins"/>
    <s v="|88/00/65|"/>
    <n v="144"/>
    <n v="2.5533333333333332"/>
    <n v="2.9533333333333331"/>
  </r>
  <r>
    <x v="1"/>
    <s v="Hypermarkets"/>
    <x v="12"/>
    <s v="Atkins"/>
    <s v="|88/00/67|"/>
    <n v="120"/>
    <n v="2.6333333333333333"/>
    <n v="2.9866666666666668"/>
  </r>
  <r>
    <x v="1"/>
    <s v="Hypermarkets"/>
    <x v="12"/>
    <s v="Atkins"/>
    <s v="|88/00/68|"/>
    <n v="168"/>
    <n v="2.4666666666666668"/>
    <n v="2.8933333333333335"/>
  </r>
  <r>
    <x v="1"/>
    <s v="Hypermarkets"/>
    <x v="12"/>
    <s v="Atkins"/>
    <s v="|88/00/69|"/>
    <n v="156"/>
    <n v="2.6"/>
    <n v="2.9266666666666667"/>
  </r>
  <r>
    <x v="1"/>
    <s v="Hypermarkets"/>
    <x v="12"/>
    <s v="Atkins"/>
    <s v="|88/00/70|"/>
    <n v="168"/>
    <n v="2.7"/>
    <n v="2.9466666666666668"/>
  </r>
  <r>
    <x v="1"/>
    <s v="Hypermarkets"/>
    <x v="12"/>
    <s v="Atkins"/>
    <s v="|88/00/71|"/>
    <n v="168"/>
    <n v="2.64"/>
    <n v="2.8733333333333335"/>
  </r>
  <r>
    <x v="1"/>
    <s v="Hypermarkets"/>
    <x v="12"/>
    <s v="Atkins"/>
    <s v="|88/00/72|"/>
    <n v="144"/>
    <n v="2.7133333333333334"/>
    <n v="2.9733333333333332"/>
  </r>
  <r>
    <x v="1"/>
    <s v="Hypermarkets"/>
    <x v="12"/>
    <s v="Atkins"/>
    <s v="|88/00/73|"/>
    <n v="144"/>
    <n v="2.2666666666666666"/>
    <n v="2.9466666666666668"/>
  </r>
  <r>
    <x v="1"/>
    <s v="Hypermarkets"/>
    <x v="12"/>
    <s v="Atkins"/>
    <s v="|88/00/74|"/>
    <n v="144"/>
    <n v="2.4333333333333331"/>
    <n v="2.8933333333333335"/>
  </r>
  <r>
    <x v="1"/>
    <s v="Hypermarkets"/>
    <x v="12"/>
    <s v="Atkins"/>
    <s v="|88/00/75|"/>
    <n v="168"/>
    <n v="2.5866666666666664"/>
    <n v="2.9466666666666668"/>
  </r>
  <r>
    <x v="1"/>
    <s v="Hypermarkets"/>
    <x v="12"/>
    <s v="Atkins"/>
    <s v="|88/00/76|"/>
    <n v="168"/>
    <n v="2.7666666666666666"/>
    <n v="2.9733333333333332"/>
  </r>
  <r>
    <x v="1"/>
    <s v="Hypermarkets"/>
    <x v="12"/>
    <s v="Atkins"/>
    <s v="|88/00/77|"/>
    <n v="144"/>
    <n v="2.7066666666666666"/>
    <n v="2.9266666666666667"/>
  </r>
  <r>
    <x v="1"/>
    <s v="Hypermarkets"/>
    <x v="12"/>
    <s v="Atkins"/>
    <s v="|88/00/78|"/>
    <n v="144"/>
    <n v="2.62"/>
    <n v="2.9133333333333336"/>
  </r>
  <r>
    <x v="1"/>
    <s v="Hypermarkets"/>
    <x v="12"/>
    <s v="Atkins"/>
    <s v="|88/00/79|"/>
    <n v="156"/>
    <n v="2.6133333333333333"/>
    <n v="2.8666666666666667"/>
  </r>
  <r>
    <x v="1"/>
    <s v="Hypermarkets"/>
    <x v="12"/>
    <s v="Spicers"/>
    <s v="|127/01/01|"/>
    <n v="156"/>
    <n v="2.2799999999999998"/>
    <n v="2.98"/>
  </r>
  <r>
    <x v="1"/>
    <s v="Hypermarkets"/>
    <x v="12"/>
    <s v="Spicers"/>
    <s v="|127/01/02|"/>
    <n v="144"/>
    <n v="2.74"/>
    <n v="2.9"/>
  </r>
  <r>
    <x v="1"/>
    <s v="Hypermarkets"/>
    <x v="12"/>
    <s v="Spicers"/>
    <s v="|127/01/03|"/>
    <n v="180"/>
    <n v="2.3533333333333335"/>
    <n v="2.9133333333333336"/>
  </r>
  <r>
    <x v="1"/>
    <s v="Hypermarkets"/>
    <x v="12"/>
    <s v="Parmareggio"/>
    <s v="|101/01/00|"/>
    <n v="156"/>
    <n v="2.64"/>
    <n v="2.96"/>
  </r>
  <r>
    <x v="1"/>
    <s v="Hypermarkets"/>
    <x v="12"/>
    <s v="Parmareggio"/>
    <s v="|101/01/01|"/>
    <n v="120"/>
    <n v="2.3066666666666666"/>
    <n v="2.9466666666666668"/>
  </r>
  <r>
    <x v="1"/>
    <s v="Hypermarkets"/>
    <x v="12"/>
    <s v="Parmareggio"/>
    <s v="|101/01/02|"/>
    <n v="132"/>
    <n v="2.5"/>
    <n v="2.94"/>
  </r>
  <r>
    <x v="1"/>
    <s v="Hypermarkets"/>
    <x v="12"/>
    <s v="Parmareggio"/>
    <s v="|101/01/03|"/>
    <n v="180"/>
    <n v="2.4066666666666667"/>
    <n v="2.88"/>
  </r>
  <r>
    <x v="1"/>
    <s v="Hypermarkets"/>
    <x v="12"/>
    <s v="Parmareggio"/>
    <s v="|101/01/04|"/>
    <n v="144"/>
    <n v="2.3066666666666666"/>
    <n v="2.8733333333333335"/>
  </r>
  <r>
    <x v="1"/>
    <s v="Hypermarkets"/>
    <x v="12"/>
    <s v="Parmareggio"/>
    <s v="|101/01/05|"/>
    <n v="120"/>
    <n v="2.4866666666666668"/>
    <n v="2.98"/>
  </r>
  <r>
    <x v="1"/>
    <s v="Hypermarkets"/>
    <x v="12"/>
    <s v="Parmareggio"/>
    <s v="|101/01/06|"/>
    <n v="168"/>
    <n v="2.6733333333333333"/>
    <n v="2.92"/>
  </r>
  <r>
    <x v="1"/>
    <s v="Hypermarkets"/>
    <x v="12"/>
    <s v="Parmareggio"/>
    <s v="|101/01/07|"/>
    <n v="144"/>
    <n v="2.3733333333333335"/>
    <n v="2.8666666666666667"/>
  </r>
  <r>
    <x v="1"/>
    <s v="Hypermarkets"/>
    <x v="12"/>
    <s v="Parmareggio"/>
    <s v="|101/01/08|"/>
    <n v="120"/>
    <n v="2.6333333333333333"/>
    <n v="2.8666666666666667"/>
  </r>
  <r>
    <x v="1"/>
    <s v="Hypermarkets"/>
    <x v="12"/>
    <s v="Parmareggio"/>
    <s v="|101/01/09|"/>
    <n v="144"/>
    <n v="2.5"/>
    <n v="2.9"/>
  </r>
  <r>
    <x v="1"/>
    <s v="Hypermarkets"/>
    <x v="12"/>
    <s v="Parmareggio"/>
    <s v="|101/01/10|"/>
    <n v="168"/>
    <n v="2.7933333333333334"/>
    <n v="3"/>
  </r>
  <r>
    <x v="1"/>
    <s v="Hypermarkets"/>
    <x v="12"/>
    <s v="Parmareggio"/>
    <s v="|101/01/11|"/>
    <n v="168"/>
    <n v="2.7733333333333334"/>
    <n v="2.9133333333333336"/>
  </r>
  <r>
    <x v="1"/>
    <s v="Hypermarkets"/>
    <x v="14"/>
    <s v="Rana"/>
    <s v="|29/02/01|"/>
    <n v="1368"/>
    <n v="0.73"/>
    <n v="0.99"/>
  </r>
  <r>
    <x v="1"/>
    <s v="Hypermarkets"/>
    <x v="14"/>
    <s v="Rana"/>
    <s v="|29/02/02|"/>
    <n v="2184"/>
    <n v="0.7"/>
    <n v="0.93"/>
  </r>
  <r>
    <x v="1"/>
    <s v="Hypermarkets"/>
    <x v="14"/>
    <s v="Rana"/>
    <s v="|29/02/03|"/>
    <n v="1332"/>
    <n v="0.7"/>
    <n v="0.99"/>
  </r>
  <r>
    <x v="1"/>
    <s v="Hypermarkets"/>
    <x v="14"/>
    <s v="Rana"/>
    <s v="|29/02/04|"/>
    <n v="2292"/>
    <n v="0.83"/>
    <n v="0.98"/>
  </r>
  <r>
    <x v="1"/>
    <s v="Hypermarkets"/>
    <x v="14"/>
    <s v="Rana"/>
    <s v="|29/02/05|"/>
    <n v="2256"/>
    <n v="0.86"/>
    <n v="0.94"/>
  </r>
  <r>
    <x v="1"/>
    <s v="Hypermarkets"/>
    <x v="14"/>
    <s v="Rana"/>
    <s v="|29/02/06|"/>
    <n v="1824"/>
    <n v="0.72"/>
    <n v="0.93"/>
  </r>
  <r>
    <x v="1"/>
    <s v="Hypermarkets"/>
    <x v="14"/>
    <s v="Rana"/>
    <s v="|29/02/07|"/>
    <n v="2304"/>
    <n v="0.77"/>
    <n v="1"/>
  </r>
  <r>
    <x v="1"/>
    <s v="Hypermarkets"/>
    <x v="14"/>
    <s v="Rana"/>
    <s v="|29/02/08|"/>
    <n v="1776"/>
    <n v="0.72"/>
    <n v="1"/>
  </r>
  <r>
    <x v="1"/>
    <s v="Hypermarkets"/>
    <x v="14"/>
    <s v="Rana"/>
    <s v="|29/02/09|"/>
    <n v="2076"/>
    <n v="0.81"/>
    <n v="0.92"/>
  </r>
  <r>
    <x v="1"/>
    <s v="Hypermarkets"/>
    <x v="14"/>
    <s v="Rana"/>
    <s v="|29/02/10|"/>
    <n v="2064"/>
    <n v="0.88"/>
    <n v="1"/>
  </r>
  <r>
    <x v="1"/>
    <s v="Hypermarkets"/>
    <x v="14"/>
    <s v="Rana"/>
    <s v="|29/02/11|"/>
    <n v="1260"/>
    <n v="0.81"/>
    <n v="0.99"/>
  </r>
  <r>
    <x v="1"/>
    <s v="Hypermarkets"/>
    <x v="14"/>
    <s v="Rana"/>
    <s v="|29/02/12|"/>
    <n v="1572"/>
    <n v="0.77"/>
    <n v="0.9"/>
  </r>
  <r>
    <x v="1"/>
    <s v="Hypermarkets"/>
    <x v="14"/>
    <s v="Rana"/>
    <s v="|29/02/13|"/>
    <n v="1740"/>
    <n v="0.79"/>
    <n v="0.96"/>
  </r>
  <r>
    <x v="1"/>
    <s v="Hypermarkets"/>
    <x v="14"/>
    <s v="Rana"/>
    <s v="|29/02/14|"/>
    <n v="2184"/>
    <n v="0.84"/>
    <n v="0.94"/>
  </r>
  <r>
    <x v="1"/>
    <s v="Hypermarkets"/>
    <x v="14"/>
    <s v="Rana"/>
    <s v="|29/02/15|"/>
    <n v="2316"/>
    <n v="0.78"/>
    <n v="0.9"/>
  </r>
  <r>
    <x v="1"/>
    <s v="Hypermarkets"/>
    <x v="14"/>
    <s v="Rana"/>
    <s v="|29/02/16|"/>
    <n v="1428"/>
    <n v="0.9"/>
    <n v="0.91"/>
  </r>
  <r>
    <x v="1"/>
    <s v="Hypermarkets"/>
    <x v="14"/>
    <s v="Rana"/>
    <s v="|29/02/17|"/>
    <n v="1992"/>
    <n v="0.75"/>
    <n v="1"/>
  </r>
  <r>
    <x v="1"/>
    <s v="Hypermarkets"/>
    <x v="14"/>
    <s v="Rana"/>
    <s v="|29/02/18|"/>
    <n v="1656"/>
    <n v="0.89"/>
    <n v="0.91"/>
  </r>
  <r>
    <x v="1"/>
    <s v="Hypermarkets"/>
    <x v="14"/>
    <s v="Rana"/>
    <s v="|29/02/19|"/>
    <n v="2232"/>
    <n v="0.83"/>
    <n v="0.92"/>
  </r>
  <r>
    <x v="1"/>
    <s v="Hypermarkets"/>
    <x v="14"/>
    <s v="Rana"/>
    <s v="|29/02/20|"/>
    <n v="1524"/>
    <n v="0.75"/>
    <n v="1"/>
  </r>
  <r>
    <x v="1"/>
    <s v="Hypermarkets"/>
    <x v="14"/>
    <s v="Rana"/>
    <s v="|29/02/21|"/>
    <n v="1380"/>
    <n v="0.73"/>
    <n v="0.97"/>
  </r>
  <r>
    <x v="1"/>
    <s v="Hypermarkets"/>
    <x v="14"/>
    <s v="Rana"/>
    <s v="|29/02/22|"/>
    <n v="1956"/>
    <n v="0.78"/>
    <n v="0.9"/>
  </r>
  <r>
    <x v="1"/>
    <s v="Hypermarkets"/>
    <x v="14"/>
    <s v="Rana"/>
    <s v="|29/02/23|"/>
    <n v="2388"/>
    <n v="0.73"/>
    <n v="0.92"/>
  </r>
  <r>
    <x v="1"/>
    <s v="Hypermarkets"/>
    <x v="14"/>
    <s v="Rana"/>
    <s v="|29/02/24|"/>
    <n v="1344"/>
    <n v="0.76"/>
    <n v="0.99"/>
  </r>
  <r>
    <x v="1"/>
    <s v="Hypermarkets"/>
    <x v="14"/>
    <s v="Rana"/>
    <s v="|29/02/25|"/>
    <n v="1404"/>
    <n v="0.81"/>
    <n v="0.92"/>
  </r>
  <r>
    <x v="1"/>
    <s v="Hypermarkets"/>
    <x v="14"/>
    <s v="Rana"/>
    <s v="|29/02/26|"/>
    <n v="1920"/>
    <n v="0.72"/>
    <n v="0.93"/>
  </r>
  <r>
    <x v="1"/>
    <s v="Hypermarkets"/>
    <x v="14"/>
    <s v="Rana"/>
    <s v="|29/02/27|"/>
    <n v="1680"/>
    <n v="0.79"/>
    <n v="0.92"/>
  </r>
  <r>
    <x v="1"/>
    <s v="Hypermarkets"/>
    <x v="14"/>
    <s v="Rana"/>
    <s v="|29/02/30|"/>
    <n v="1428"/>
    <n v="0.77"/>
    <n v="0.9"/>
  </r>
  <r>
    <x v="1"/>
    <s v="Hypermarkets"/>
    <x v="14"/>
    <s v="Rana"/>
    <s v="|29/02/31|"/>
    <n v="1212"/>
    <n v="0.81"/>
    <n v="0.91"/>
  </r>
  <r>
    <x v="1"/>
    <s v="Hypermarkets"/>
    <x v="14"/>
    <s v="Rana"/>
    <s v="|29/02/32|"/>
    <n v="2052"/>
    <n v="0.85"/>
    <n v="1"/>
  </r>
  <r>
    <x v="1"/>
    <s v="Hypermarkets"/>
    <x v="14"/>
    <s v="Rana"/>
    <s v="|29/02/33|"/>
    <n v="2376"/>
    <n v="0.89"/>
    <n v="0.95"/>
  </r>
  <r>
    <x v="1"/>
    <s v="Hypermarkets"/>
    <x v="14"/>
    <s v="Rana"/>
    <s v="|29/02/34|"/>
    <n v="2196"/>
    <n v="0.86"/>
    <n v="0.91"/>
  </r>
  <r>
    <x v="1"/>
    <s v="Hypermarkets"/>
    <x v="14"/>
    <s v="Rana"/>
    <s v="|29/02/35|"/>
    <n v="1620"/>
    <n v="0.72"/>
    <n v="0.97"/>
  </r>
  <r>
    <x v="1"/>
    <s v="Hypermarkets"/>
    <x v="14"/>
    <s v="Rana"/>
    <s v="|29/02/36|"/>
    <n v="1368"/>
    <n v="0.87"/>
    <n v="0.99"/>
  </r>
  <r>
    <x v="1"/>
    <s v="Hypermarkets"/>
    <x v="14"/>
    <s v="Rana"/>
    <s v="|29/02/38|"/>
    <n v="1728"/>
    <n v="0.86"/>
    <n v="1"/>
  </r>
  <r>
    <x v="1"/>
    <s v="Hypermarkets"/>
    <x v="14"/>
    <s v="Rana"/>
    <s v="|29/02/39|"/>
    <n v="1752"/>
    <n v="0.82"/>
    <n v="0.91"/>
  </r>
  <r>
    <x v="1"/>
    <s v="Hypermarkets"/>
    <x v="14"/>
    <s v="Rana"/>
    <s v="|29/02/40|"/>
    <n v="1824"/>
    <n v="0.81"/>
    <n v="0.94"/>
  </r>
  <r>
    <x v="1"/>
    <s v="Hypermarkets"/>
    <x v="14"/>
    <s v="Rana"/>
    <s v="|29/02/41|"/>
    <n v="1788"/>
    <n v="0.73"/>
    <n v="0.93"/>
  </r>
  <r>
    <x v="1"/>
    <s v="Hypermarkets"/>
    <x v="14"/>
    <s v="Rana"/>
    <s v="|29/02/42|"/>
    <n v="2016"/>
    <n v="0.87"/>
    <n v="0.96"/>
  </r>
  <r>
    <x v="1"/>
    <s v="Hypermarkets"/>
    <x v="12"/>
    <s v="Real quality"/>
    <s v="|132/01/01|"/>
    <n v="132"/>
    <n v="2.5333333333333332"/>
    <n v="2.9333333333333331"/>
  </r>
  <r>
    <x v="1"/>
    <s v="Hypermarkets"/>
    <x v="13"/>
    <s v="Lactalis"/>
    <s v="|54/01/01|"/>
    <n v="576"/>
    <n v="2.5299999999999998"/>
    <n v="3.34"/>
  </r>
  <r>
    <x v="1"/>
    <s v="Hypermarkets"/>
    <x v="13"/>
    <s v="Lactalis"/>
    <s v="|54/01/02|"/>
    <n v="168"/>
    <n v="2.5299999999999998"/>
    <n v="3.34"/>
  </r>
  <r>
    <x v="1"/>
    <s v="Hypermarkets"/>
    <x v="13"/>
    <s v="Lactalis"/>
    <s v="|54/01/03|"/>
    <n v="504"/>
    <n v="2.8"/>
    <n v="3.14"/>
  </r>
  <r>
    <x v="1"/>
    <s v="Hypermarkets"/>
    <x v="13"/>
    <s v="Lactalis"/>
    <s v="|54/01/04|"/>
    <n v="348"/>
    <n v="2.42"/>
    <n v="3.74"/>
  </r>
  <r>
    <x v="1"/>
    <s v="Hypermarkets"/>
    <x v="13"/>
    <s v="Lactalis"/>
    <s v="|54/01/05|"/>
    <n v="372"/>
    <n v="2.17"/>
    <n v="3.76"/>
  </r>
  <r>
    <x v="1"/>
    <s v="Hypermarkets"/>
    <x v="13"/>
    <s v="Lactalis"/>
    <s v="|54/01/06|"/>
    <n v="120"/>
    <n v="2"/>
    <n v="3.26"/>
  </r>
  <r>
    <x v="1"/>
    <s v="Hypermarkets"/>
    <x v="13"/>
    <s v="Lactalis"/>
    <s v="|54/01/07|"/>
    <n v="480"/>
    <n v="2.11"/>
    <n v="3.66"/>
  </r>
  <r>
    <x v="1"/>
    <s v="Hypermarkets"/>
    <x v="13"/>
    <s v="Lactalis"/>
    <s v="|54/01/08|"/>
    <n v="216"/>
    <n v="2.41"/>
    <n v="3.48"/>
  </r>
  <r>
    <x v="1"/>
    <s v="Hypermarkets"/>
    <x v="13"/>
    <s v="Lactalis"/>
    <s v="|54/01/09|"/>
    <n v="240"/>
    <n v="2.5499999999999998"/>
    <n v="3.27"/>
  </r>
  <r>
    <x v="1"/>
    <s v="Hypermarkets"/>
    <x v="13"/>
    <s v="Lactalis"/>
    <s v="|54/01/10|"/>
    <n v="420"/>
    <n v="2.25"/>
    <n v="3.43"/>
  </r>
  <r>
    <x v="1"/>
    <s v="Hypermarkets"/>
    <x v="13"/>
    <s v="Lactalis"/>
    <s v="|54/01/11|"/>
    <n v="540"/>
    <n v="2.2200000000000002"/>
    <n v="3.74"/>
  </r>
  <r>
    <x v="1"/>
    <s v="Hypermarkets"/>
    <x v="13"/>
    <s v="Lactalis"/>
    <s v="|54/01/12|"/>
    <n v="228"/>
    <n v="2.78"/>
    <n v="3.04"/>
  </r>
  <r>
    <x v="1"/>
    <s v="Hypermarkets"/>
    <x v="13"/>
    <s v="Lactalis"/>
    <s v="|54/01/13|"/>
    <n v="264"/>
    <n v="2.65"/>
    <n v="3.47"/>
  </r>
  <r>
    <x v="1"/>
    <s v="Hypermarkets"/>
    <x v="13"/>
    <s v="Lactalis"/>
    <s v="|54/01/14|"/>
    <n v="552"/>
    <n v="2.1"/>
    <n v="3.68"/>
  </r>
  <r>
    <x v="1"/>
    <s v="Hypermarkets"/>
    <x v="13"/>
    <s v="Lactalis"/>
    <s v="|54/01/15|"/>
    <n v="528"/>
    <n v="2.38"/>
    <n v="3.28"/>
  </r>
  <r>
    <x v="1"/>
    <s v="Hypermarkets"/>
    <x v="13"/>
    <s v="Lactalis"/>
    <s v="|54/01/16|"/>
    <n v="312"/>
    <n v="2.2200000000000002"/>
    <n v="3.62"/>
  </r>
  <r>
    <x v="1"/>
    <s v="Hypermarkets"/>
    <x v="13"/>
    <s v="Lactalis"/>
    <s v="|54/01/17|"/>
    <n v="540"/>
    <n v="2.2999999999999998"/>
    <n v="3.04"/>
  </r>
  <r>
    <x v="1"/>
    <s v="Hypermarkets"/>
    <x v="13"/>
    <s v="Lactalis"/>
    <s v="|54/01/18|"/>
    <n v="216"/>
    <n v="2.1800000000000002"/>
    <n v="3.69"/>
  </r>
  <r>
    <x v="1"/>
    <s v="Hypermarkets"/>
    <x v="13"/>
    <s v="Lactalis"/>
    <s v="|54/01/19|"/>
    <n v="420"/>
    <n v="2.77"/>
    <n v="3.28"/>
  </r>
  <r>
    <x v="1"/>
    <s v="Hypermarkets"/>
    <x v="13"/>
    <s v="Lactalis"/>
    <s v="|54/01/20|"/>
    <n v="600"/>
    <n v="2.2400000000000002"/>
    <n v="3.03"/>
  </r>
  <r>
    <x v="1"/>
    <s v="Hypermarkets"/>
    <x v="13"/>
    <s v="Lactalis"/>
    <s v="|54/01/21|"/>
    <n v="576"/>
    <n v="2.37"/>
    <n v="3.1"/>
  </r>
  <r>
    <x v="1"/>
    <s v="Hypermarkets"/>
    <x v="13"/>
    <s v="Lactalis"/>
    <s v="|54/01/22|"/>
    <n v="516"/>
    <n v="2.31"/>
    <n v="3.11"/>
  </r>
  <r>
    <x v="1"/>
    <s v="Hypermarkets"/>
    <x v="13"/>
    <s v="Lactalis"/>
    <s v="|54/01/23|"/>
    <n v="300"/>
    <n v="2.66"/>
    <n v="3.2"/>
  </r>
  <r>
    <x v="1"/>
    <s v="Hypermarkets"/>
    <x v="13"/>
    <s v="Lactalis"/>
    <s v="|54/01/24|"/>
    <n v="300"/>
    <n v="2.23"/>
    <n v="3.12"/>
  </r>
  <r>
    <x v="1"/>
    <s v="Hypermarkets"/>
    <x v="13"/>
    <s v="Lactalis"/>
    <s v="|54/01/25|"/>
    <n v="420"/>
    <n v="2.21"/>
    <n v="3.58"/>
  </r>
  <r>
    <x v="1"/>
    <s v="Hypermarkets"/>
    <x v="13"/>
    <s v="Lactalis"/>
    <s v="|54/01/26|"/>
    <n v="576"/>
    <n v="2.3199999999999998"/>
    <n v="3.58"/>
  </r>
  <r>
    <x v="1"/>
    <s v="Hypermarkets"/>
    <x v="13"/>
    <s v="Lactalis"/>
    <s v="|54/01/27|"/>
    <n v="204"/>
    <n v="2.0699999999999998"/>
    <n v="3.68"/>
  </r>
  <r>
    <x v="1"/>
    <s v="Hypermarkets"/>
    <x v="13"/>
    <s v="Lactalis"/>
    <s v="|54/01/28|"/>
    <n v="192"/>
    <n v="2.5299999999999998"/>
    <n v="3.51"/>
  </r>
  <r>
    <x v="1"/>
    <s v="Hypermarkets"/>
    <x v="13"/>
    <s v="Lactalis"/>
    <s v="|54/01/29|"/>
    <n v="516"/>
    <n v="2.58"/>
    <n v="3.18"/>
  </r>
  <r>
    <x v="1"/>
    <s v="Hypermarkets"/>
    <x v="13"/>
    <s v="Lactalis"/>
    <s v="|54/01/30|"/>
    <n v="432"/>
    <n v="2.2400000000000002"/>
    <n v="3.23"/>
  </r>
  <r>
    <x v="1"/>
    <s v="Hypermarkets"/>
    <x v="13"/>
    <s v="Lactalis"/>
    <s v="|54/01/31|"/>
    <n v="240"/>
    <n v="2.46"/>
    <n v="3.35"/>
  </r>
  <r>
    <x v="1"/>
    <s v="Hypermarkets"/>
    <x v="13"/>
    <s v="Lactalis"/>
    <s v="|54/01/32|"/>
    <n v="384"/>
    <n v="2.68"/>
    <n v="3.23"/>
  </r>
  <r>
    <x v="1"/>
    <s v="Hypermarkets"/>
    <x v="13"/>
    <s v="Lactalis"/>
    <s v="|54/01/33|"/>
    <n v="384"/>
    <n v="2.2200000000000002"/>
    <n v="3.16"/>
  </r>
  <r>
    <x v="1"/>
    <s v="Hypermarkets"/>
    <x v="13"/>
    <s v="Lactalis"/>
    <s v="|54/01/34|"/>
    <n v="324"/>
    <n v="2.2799999999999998"/>
    <n v="3.59"/>
  </r>
  <r>
    <x v="1"/>
    <s v="Hypermarkets"/>
    <x v="13"/>
    <s v="Lactalis"/>
    <s v="|54/01/35|"/>
    <n v="252"/>
    <n v="2.0499999999999998"/>
    <n v="3.24"/>
  </r>
  <r>
    <x v="1"/>
    <s v="Hypermarkets"/>
    <x v="13"/>
    <s v="Lactalis"/>
    <s v="|54/01/36|"/>
    <n v="276"/>
    <n v="2.8"/>
    <n v="3.15"/>
  </r>
  <r>
    <x v="1"/>
    <s v="Hypermarkets"/>
    <x v="13"/>
    <s v="Lactalis"/>
    <s v="|54/01/37|"/>
    <n v="156"/>
    <n v="2.1800000000000002"/>
    <n v="3.19"/>
  </r>
  <r>
    <x v="1"/>
    <s v="Hypermarkets"/>
    <x v="12"/>
    <s v="Lactalis"/>
    <s v="|54/01/38|"/>
    <n v="156"/>
    <n v="2.3533333333333335"/>
    <n v="2.8733333333333335"/>
  </r>
  <r>
    <x v="1"/>
    <s v="Hypermarkets"/>
    <x v="12"/>
    <s v="Lactalis"/>
    <s v="|54/01/41|"/>
    <n v="180"/>
    <n v="2.46"/>
    <n v="2.9733333333333332"/>
  </r>
  <r>
    <x v="1"/>
    <s v="Hypermarkets"/>
    <x v="12"/>
    <s v="Lactalis"/>
    <s v="|54/01/42|"/>
    <n v="180"/>
    <n v="2.46"/>
    <n v="2.96"/>
  </r>
  <r>
    <x v="1"/>
    <s v="Hypermarkets"/>
    <x v="12"/>
    <s v="Lactalis"/>
    <s v="|54/01/43|"/>
    <n v="120"/>
    <n v="2.5866666666666664"/>
    <n v="2.8933333333333335"/>
  </r>
  <r>
    <x v="1"/>
    <s v="Hypermarkets"/>
    <x v="12"/>
    <s v="Lactalis"/>
    <s v="|54/01/44|"/>
    <n v="156"/>
    <n v="2.3066666666666666"/>
    <n v="2.9933333333333332"/>
  </r>
  <r>
    <x v="1"/>
    <s v="Hypermarkets"/>
    <x v="13"/>
    <s v="Lactalis"/>
    <s v="|54/01/90|"/>
    <n v="528"/>
    <n v="2.5299999999999998"/>
    <n v="3.51"/>
  </r>
  <r>
    <x v="1"/>
    <s v="Hypermarkets"/>
    <x v="12"/>
    <s v="Bella's"/>
    <s v="|35/01/01|"/>
    <n v="180"/>
    <n v="2.3666666666666667"/>
    <n v="2.8866666666666667"/>
  </r>
  <r>
    <x v="1"/>
    <s v="Hypermarkets"/>
    <x v="12"/>
    <s v="Bella's"/>
    <s v="|35/01/02|"/>
    <n v="168"/>
    <n v="2.56"/>
    <n v="2.9733333333333332"/>
  </r>
  <r>
    <x v="1"/>
    <s v="Hypermarkets"/>
    <x v="12"/>
    <s v="Bella's"/>
    <s v="|35/01/03|"/>
    <n v="144"/>
    <n v="2.34"/>
    <n v="2.9333333333333331"/>
  </r>
  <r>
    <x v="1"/>
    <s v="Hypermarkets"/>
    <x v="12"/>
    <s v="Bella's"/>
    <s v="|35/01/04|"/>
    <n v="168"/>
    <n v="2.4133333333333336"/>
    <n v="2.9533333333333331"/>
  </r>
  <r>
    <x v="1"/>
    <s v="Hypermarkets"/>
    <x v="12"/>
    <s v="Bella's"/>
    <s v="|35/01/05|"/>
    <n v="144"/>
    <n v="2.36"/>
    <n v="2.92"/>
  </r>
  <r>
    <x v="1"/>
    <s v="Hypermarkets"/>
    <x v="12"/>
    <s v="Bella's"/>
    <s v="|35/01/06|"/>
    <n v="144"/>
    <n v="2.6"/>
    <n v="2.9266666666666667"/>
  </r>
  <r>
    <x v="1"/>
    <s v="Hypermarkets"/>
    <x v="12"/>
    <s v="Bella's"/>
    <s v="|35/01/07|"/>
    <n v="120"/>
    <n v="2.3733333333333335"/>
    <n v="3"/>
  </r>
  <r>
    <x v="1"/>
    <s v="Hypermarkets"/>
    <x v="12"/>
    <s v="Bella's"/>
    <s v="|35/01/08|"/>
    <n v="168"/>
    <n v="2.2933333333333334"/>
    <n v="2.8933333333333335"/>
  </r>
  <r>
    <x v="1"/>
    <s v="Hypermarkets"/>
    <x v="12"/>
    <s v="Bella's"/>
    <s v="|35/01/09|"/>
    <n v="156"/>
    <n v="2.6466666666666665"/>
    <n v="2.8666666666666667"/>
  </r>
  <r>
    <x v="1"/>
    <s v="Hypermarkets"/>
    <x v="12"/>
    <s v="Bella's"/>
    <s v="|35/01/10|"/>
    <n v="156"/>
    <n v="2.5133333333333332"/>
    <n v="2.9866666666666668"/>
  </r>
  <r>
    <x v="1"/>
    <s v="Hypermarkets"/>
    <x v="12"/>
    <s v="Bella's"/>
    <s v="|35/01/11|"/>
    <n v="132"/>
    <n v="2.72"/>
    <n v="2.9866666666666668"/>
  </r>
  <r>
    <x v="1"/>
    <s v="Hypermarkets"/>
    <x v="12"/>
    <s v="Bella's"/>
    <s v="|35/01/12|"/>
    <n v="180"/>
    <n v="2.6933333333333334"/>
    <n v="2.9533333333333331"/>
  </r>
  <r>
    <x v="1"/>
    <s v="Hypermarkets"/>
    <x v="12"/>
    <s v="Bella's"/>
    <s v="|35/01/13|"/>
    <n v="156"/>
    <n v="2.3933333333333335"/>
    <n v="2.9866666666666668"/>
  </r>
  <r>
    <x v="1"/>
    <s v="Hypermarkets"/>
    <x v="12"/>
    <s v="Bella's"/>
    <s v="|35/01/14|"/>
    <n v="120"/>
    <n v="2.2999999999999998"/>
    <n v="2.96"/>
  </r>
  <r>
    <x v="1"/>
    <s v="Hypermarkets"/>
    <x v="12"/>
    <s v="Bella's"/>
    <s v="|35/01/20|"/>
    <n v="168"/>
    <n v="2.4666666666666668"/>
    <n v="2.9666666666666668"/>
  </r>
  <r>
    <x v="1"/>
    <s v="Hypermarkets"/>
    <x v="12"/>
    <s v="Bella's"/>
    <s v="|35/01/21|"/>
    <n v="180"/>
    <n v="2.2866666666666666"/>
    <n v="2.8866666666666667"/>
  </r>
  <r>
    <x v="1"/>
    <s v="Hypermarkets"/>
    <x v="12"/>
    <s v="Bella's"/>
    <s v="|35/01/22|"/>
    <n v="156"/>
    <n v="2.2666666666666666"/>
    <n v="2.9066666666666667"/>
  </r>
  <r>
    <x v="1"/>
    <s v="Hypermarkets"/>
    <x v="12"/>
    <s v="Bella's"/>
    <s v="|35/01/23|"/>
    <n v="144"/>
    <n v="2.42"/>
    <n v="2.8933333333333335"/>
  </r>
  <r>
    <x v="1"/>
    <s v="Hypermarkets"/>
    <x v="12"/>
    <s v="Bella's"/>
    <s v="|35/01/24|"/>
    <n v="132"/>
    <n v="2.56"/>
    <n v="2.8933333333333335"/>
  </r>
  <r>
    <x v="1"/>
    <s v="Hypermarkets"/>
    <x v="12"/>
    <s v="Bella's"/>
    <s v="|35/01/31|"/>
    <n v="120"/>
    <n v="2.5"/>
    <n v="2.9733333333333332"/>
  </r>
  <r>
    <x v="1"/>
    <s v="Hypermarkets"/>
    <x v="12"/>
    <s v="Bella's"/>
    <s v="|35/01/32|"/>
    <n v="180"/>
    <n v="2.3866666666666667"/>
    <n v="2.92"/>
  </r>
  <r>
    <x v="1"/>
    <s v="Hypermarkets"/>
    <x v="12"/>
    <s v="Bella's"/>
    <s v="|35/01/33|"/>
    <n v="132"/>
    <n v="2.76"/>
    <n v="2.8666666666666667"/>
  </r>
  <r>
    <x v="1"/>
    <s v="Hypermarkets"/>
    <x v="12"/>
    <s v="Bella's"/>
    <s v="|35/01/34|"/>
    <n v="144"/>
    <n v="2.4266666666666667"/>
    <n v="2.94"/>
  </r>
  <r>
    <x v="1"/>
    <s v="Hypermarkets"/>
    <x v="12"/>
    <s v="Bella's"/>
    <s v="|35/01/35|"/>
    <n v="180"/>
    <n v="2.3666666666666667"/>
    <n v="2.96"/>
  </r>
  <r>
    <x v="1"/>
    <s v="Hypermarkets"/>
    <x v="12"/>
    <s v="Heinz"/>
    <s v="|35/01/40|"/>
    <n v="144"/>
    <n v="2.54"/>
    <n v="2.94"/>
  </r>
  <r>
    <x v="1"/>
    <s v="Hypermarkets"/>
    <x v="12"/>
    <s v="Heinz"/>
    <s v="|35/01/41|"/>
    <n v="132"/>
    <n v="2.6933333333333334"/>
    <n v="3"/>
  </r>
  <r>
    <x v="1"/>
    <s v="Hypermarkets"/>
    <x v="12"/>
    <s v="Heinz"/>
    <s v="|35/01/42|"/>
    <n v="168"/>
    <n v="2.5266666666666668"/>
    <n v="2.8733333333333335"/>
  </r>
  <r>
    <x v="1"/>
    <s v="Hypermarkets"/>
    <x v="12"/>
    <s v="Bella's"/>
    <s v="|35/01/50|"/>
    <n v="132"/>
    <n v="2.64"/>
    <n v="2.92"/>
  </r>
  <r>
    <x v="1"/>
    <s v="Hypermarkets"/>
    <x v="12"/>
    <s v="Bella's"/>
    <s v="|35/01/51|"/>
    <n v="168"/>
    <n v="2.8"/>
    <n v="2.98"/>
  </r>
  <r>
    <x v="1"/>
    <s v="Hypermarkets"/>
    <x v="12"/>
    <s v="Bella's"/>
    <s v="|35/01/52|"/>
    <n v="120"/>
    <n v="2.3533333333333335"/>
    <n v="2.98"/>
  </r>
  <r>
    <x v="1"/>
    <s v="Hypermarkets"/>
    <x v="12"/>
    <s v="Bella's"/>
    <s v="|35/01/53|"/>
    <n v="132"/>
    <n v="2.68"/>
    <n v="2.9266666666666667"/>
  </r>
  <r>
    <x v="1"/>
    <s v="Hypermarkets"/>
    <x v="12"/>
    <s v="Bella's"/>
    <s v="|35/01/54|"/>
    <n v="168"/>
    <n v="2.68"/>
    <n v="2.92"/>
  </r>
  <r>
    <x v="1"/>
    <s v="Hypermarkets"/>
    <x v="12"/>
    <s v="Bella's"/>
    <s v="|35/01/60|"/>
    <n v="180"/>
    <n v="2.42"/>
    <n v="3"/>
  </r>
  <r>
    <x v="1"/>
    <s v="Hypermarkets"/>
    <x v="12"/>
    <s v="Bella's"/>
    <s v="|35/01/61|"/>
    <n v="144"/>
    <n v="2.5333333333333332"/>
    <n v="2.8733333333333335"/>
  </r>
  <r>
    <x v="1"/>
    <s v="Hypermarkets"/>
    <x v="12"/>
    <s v="Bella's"/>
    <s v="|35/01/62|"/>
    <n v="156"/>
    <n v="2.7066666666666666"/>
    <n v="2.9333333333333331"/>
  </r>
  <r>
    <x v="1"/>
    <s v="Hypermarkets"/>
    <x v="12"/>
    <s v="Bella's"/>
    <s v="|35/01/63|"/>
    <n v="120"/>
    <n v="2.4"/>
    <n v="2.9333333333333331"/>
  </r>
  <r>
    <x v="1"/>
    <s v="Hypermarkets"/>
    <x v="12"/>
    <s v="Bella's"/>
    <s v="|35/01/70|"/>
    <n v="132"/>
    <n v="2.5733333333333333"/>
    <n v="2.88"/>
  </r>
  <r>
    <x v="1"/>
    <s v="Hypermarkets"/>
    <x v="12"/>
    <s v="Bella's"/>
    <s v="|35/01/71|"/>
    <n v="132"/>
    <n v="2.6333333333333333"/>
    <n v="2.9866666666666668"/>
  </r>
  <r>
    <x v="1"/>
    <s v="Hypermarkets"/>
    <x v="12"/>
    <s v="Bella's"/>
    <s v="|35/01/72|"/>
    <n v="156"/>
    <n v="2.4466666666666668"/>
    <n v="2.9666666666666668"/>
  </r>
  <r>
    <x v="1"/>
    <s v="Hypermarkets"/>
    <x v="12"/>
    <s v="Bella's"/>
    <s v="|35/01/73|"/>
    <n v="168"/>
    <n v="2.7066666666666666"/>
    <n v="2.8666666666666667"/>
  </r>
  <r>
    <x v="1"/>
    <s v="Hypermarkets"/>
    <x v="12"/>
    <s v="Bella's"/>
    <s v="|35/01/74|"/>
    <n v="168"/>
    <n v="2.7266666666666666"/>
    <n v="2.9533333333333331"/>
  </r>
  <r>
    <x v="1"/>
    <s v="Hypermarkets"/>
    <x v="12"/>
    <s v="Bella's"/>
    <s v="|35/01/75|"/>
    <n v="144"/>
    <n v="2.6"/>
    <n v="2.94"/>
  </r>
  <r>
    <x v="1"/>
    <s v="Hypermarkets"/>
    <x v="12"/>
    <s v="Bella's"/>
    <s v="|35/01/76|"/>
    <n v="168"/>
    <n v="2.3533333333333335"/>
    <n v="2.88"/>
  </r>
  <r>
    <x v="1"/>
    <s v="Hypermarkets"/>
    <x v="12"/>
    <s v="Bella's"/>
    <s v="|35/01/80|"/>
    <n v="168"/>
    <n v="2.52"/>
    <n v="2.9066666666666667"/>
  </r>
  <r>
    <x v="1"/>
    <s v="Hypermarkets"/>
    <x v="12"/>
    <s v="Bella's"/>
    <s v="|35/01/81|"/>
    <n v="132"/>
    <n v="2.7866666666666666"/>
    <n v="2.9733333333333332"/>
  </r>
  <r>
    <x v="1"/>
    <s v="Hypermarkets"/>
    <x v="12"/>
    <s v="Bella's"/>
    <s v="|35/01/82|"/>
    <n v="168"/>
    <n v="2.2799999999999998"/>
    <n v="2.96"/>
  </r>
  <r>
    <x v="1"/>
    <s v="Hypermarkets"/>
    <x v="12"/>
    <s v="Bella's"/>
    <s v="|35/01/83|"/>
    <n v="156"/>
    <n v="2.6866666666666665"/>
    <n v="2.94"/>
  </r>
  <r>
    <x v="1"/>
    <s v="Hypermarkets"/>
    <x v="12"/>
    <s v="Bella's"/>
    <s v="|35/01/84|"/>
    <n v="156"/>
    <n v="2.3066666666666666"/>
    <n v="2.94"/>
  </r>
  <r>
    <x v="1"/>
    <s v="Hypermarkets"/>
    <x v="12"/>
    <s v="Bella's"/>
    <s v="|35/01/85|"/>
    <n v="144"/>
    <n v="2.4066666666666667"/>
    <n v="3"/>
  </r>
  <r>
    <x v="1"/>
    <s v="Hypermarkets"/>
    <x v="12"/>
    <s v="Bella's"/>
    <s v="|35/01/86|"/>
    <n v="168"/>
    <n v="2.2999999999999998"/>
    <n v="2.96"/>
  </r>
  <r>
    <x v="1"/>
    <s v="Hypermarkets"/>
    <x v="12"/>
    <s v="Bella's"/>
    <s v="|35/01/87|"/>
    <n v="120"/>
    <n v="2.3266666666666667"/>
    <n v="2.8733333333333335"/>
  </r>
  <r>
    <x v="1"/>
    <s v="Hypermarkets"/>
    <x v="12"/>
    <s v="Heinz"/>
    <s v="|35/01/88|"/>
    <n v="180"/>
    <n v="2.7933333333333334"/>
    <n v="2.94"/>
  </r>
  <r>
    <x v="1"/>
    <s v="Hypermarkets"/>
    <x v="12"/>
    <s v="Heinz"/>
    <s v="|35/01/89|"/>
    <n v="120"/>
    <n v="2.2666666666666666"/>
    <n v="2.9733333333333332"/>
  </r>
  <r>
    <x v="1"/>
    <s v="Hypermarkets"/>
    <x v="12"/>
    <s v="Bella's"/>
    <s v="|35/01/90|"/>
    <n v="144"/>
    <n v="2.66"/>
    <n v="2.9533333333333331"/>
  </r>
  <r>
    <x v="1"/>
    <s v="Hypermarkets"/>
    <x v="12"/>
    <s v="Bella's"/>
    <s v="|35/01/90a|"/>
    <n v="168"/>
    <n v="2.6266666666666665"/>
    <n v="2.94"/>
  </r>
  <r>
    <x v="1"/>
    <s v="Hypermarkets"/>
    <x v="12"/>
    <s v="Bella's"/>
    <s v="|35/01/91|"/>
    <n v="156"/>
    <n v="2.78"/>
    <n v="2.98"/>
  </r>
  <r>
    <x v="1"/>
    <s v="Hypermarkets"/>
    <x v="12"/>
    <s v="Bella's"/>
    <s v="|35/01/91a|"/>
    <n v="132"/>
    <n v="2.58"/>
    <n v="2.8733333333333335"/>
  </r>
  <r>
    <x v="1"/>
    <s v="Hypermarkets"/>
    <x v="12"/>
    <s v="Bella's"/>
    <s v="|35/01/92|"/>
    <n v="120"/>
    <n v="2.6866666666666665"/>
    <n v="2.9066666666666667"/>
  </r>
  <r>
    <x v="1"/>
    <s v="Hypermarkets"/>
    <x v="12"/>
    <s v="Bella's"/>
    <s v="|35/01/92a|"/>
    <n v="120"/>
    <n v="2.5466666666666669"/>
    <n v="2.9266666666666667"/>
  </r>
  <r>
    <x v="1"/>
    <s v="Hypermarkets"/>
    <x v="12"/>
    <s v="Bella's"/>
    <s v="|35/01/93|"/>
    <n v="156"/>
    <n v="2.52"/>
    <n v="2.9866666666666668"/>
  </r>
  <r>
    <x v="1"/>
    <s v="Hypermarkets"/>
    <x v="12"/>
    <s v="Bella's"/>
    <s v="|35/01/93a|"/>
    <n v="144"/>
    <n v="2.3266666666666667"/>
    <n v="2.9066666666666667"/>
  </r>
  <r>
    <x v="1"/>
    <s v="Hypermarkets"/>
    <x v="12"/>
    <s v="Bella's"/>
    <s v="|35/01/94|"/>
    <n v="144"/>
    <n v="2.6466666666666665"/>
    <n v="2.9"/>
  </r>
  <r>
    <x v="1"/>
    <s v="Supermarkets"/>
    <x v="1"/>
    <s v="Mindi"/>
    <s v="|106/02/07|"/>
    <n v="612"/>
    <n v="5.2666666666666666"/>
    <n v="8.36"/>
  </r>
  <r>
    <x v="1"/>
    <s v="Supermarkets"/>
    <x v="15"/>
    <s v="Mindi"/>
    <s v="|79/01/01|"/>
    <n v="1440"/>
    <n v="0.61"/>
    <n v="0.98"/>
  </r>
  <r>
    <x v="1"/>
    <s v="Supermarkets"/>
    <x v="15"/>
    <s v="Mindi"/>
    <s v="|79/01/02|"/>
    <n v="1644"/>
    <n v="0.83"/>
    <n v="1.1599999999999999"/>
  </r>
  <r>
    <x v="1"/>
    <s v="Supermarkets"/>
    <x v="15"/>
    <s v="Mindi"/>
    <s v="|79/01/03|"/>
    <n v="1212"/>
    <n v="0.82"/>
    <n v="1.08"/>
  </r>
  <r>
    <x v="1"/>
    <s v="Supermarkets"/>
    <x v="15"/>
    <s v="Mindi"/>
    <s v="|79/01/04|"/>
    <n v="1248"/>
    <n v="0.79"/>
    <n v="1.03"/>
  </r>
  <r>
    <x v="1"/>
    <s v="Supermarkets"/>
    <x v="15"/>
    <s v="Mindi"/>
    <s v="|79/01/05|"/>
    <n v="1440"/>
    <n v="0.8"/>
    <n v="1"/>
  </r>
  <r>
    <x v="1"/>
    <s v="Supermarkets"/>
    <x v="15"/>
    <s v="Mindi"/>
    <s v="|79/01/06|"/>
    <n v="1272"/>
    <n v="0.68"/>
    <n v="0.97"/>
  </r>
  <r>
    <x v="1"/>
    <s v="Supermarkets"/>
    <x v="15"/>
    <s v="Mindi"/>
    <s v="|79/01/07|"/>
    <n v="1332"/>
    <n v="0.8"/>
    <n v="1.07"/>
  </r>
  <r>
    <x v="1"/>
    <s v="Supermarkets"/>
    <x v="15"/>
    <s v="Mindi"/>
    <s v="|79/01/08|"/>
    <n v="1512"/>
    <n v="0.79"/>
    <n v="0.98"/>
  </r>
  <r>
    <x v="1"/>
    <s v="Supermarkets"/>
    <x v="15"/>
    <s v="Mindi"/>
    <s v="|79/01/09|"/>
    <n v="1500"/>
    <n v="0.61"/>
    <n v="1.07"/>
  </r>
  <r>
    <x v="1"/>
    <s v="Supermarkets"/>
    <x v="15"/>
    <s v="Mindi"/>
    <s v="|79/01/10|"/>
    <n v="1584"/>
    <n v="0.77"/>
    <n v="0.94"/>
  </r>
  <r>
    <x v="1"/>
    <s v="Supermarkets"/>
    <x v="15"/>
    <s v="Mindi"/>
    <s v="|79/01/100|"/>
    <n v="1572"/>
    <n v="0.71"/>
    <n v="1.1399999999999999"/>
  </r>
  <r>
    <x v="1"/>
    <s v="Supermarkets"/>
    <x v="15"/>
    <s v="Mindi"/>
    <s v="|79/01/102|"/>
    <n v="1284"/>
    <n v="0.66"/>
    <n v="1.18"/>
  </r>
  <r>
    <x v="1"/>
    <s v="Supermarkets"/>
    <x v="15"/>
    <s v="Mindi"/>
    <s v="|79/01/103|"/>
    <n v="1644"/>
    <n v="0.81"/>
    <n v="1.0900000000000001"/>
  </r>
  <r>
    <x v="1"/>
    <s v="Supermarkets"/>
    <x v="15"/>
    <s v="Mindi"/>
    <s v="|79/01/104|"/>
    <n v="1644"/>
    <n v="0.85"/>
    <n v="1.07"/>
  </r>
  <r>
    <x v="1"/>
    <s v="Supermarkets"/>
    <x v="15"/>
    <s v="Mindi"/>
    <s v="|79/01/105|"/>
    <n v="1596"/>
    <n v="0.81"/>
    <n v="1.05"/>
  </r>
  <r>
    <x v="1"/>
    <s v="Supermarkets"/>
    <x v="15"/>
    <s v="Mindi"/>
    <s v="|79/01/106|"/>
    <n v="1356"/>
    <n v="0.66"/>
    <n v="1.17"/>
  </r>
  <r>
    <x v="1"/>
    <s v="Supermarkets"/>
    <x v="15"/>
    <s v="Mindi"/>
    <s v="|79/01/107|"/>
    <n v="1620"/>
    <n v="0.6"/>
    <n v="0.91"/>
  </r>
  <r>
    <x v="1"/>
    <s v="Supermarkets"/>
    <x v="15"/>
    <s v="Mindi"/>
    <s v="|79/01/108|"/>
    <n v="1500"/>
    <n v="0.73"/>
    <n v="0.95"/>
  </r>
  <r>
    <x v="1"/>
    <s v="Supermarkets"/>
    <x v="15"/>
    <s v="Mindi"/>
    <s v="|79/01/109|"/>
    <n v="1500"/>
    <n v="0.69"/>
    <n v="0.93"/>
  </r>
  <r>
    <x v="1"/>
    <s v="Supermarkets"/>
    <x v="15"/>
    <s v="Mindi"/>
    <s v="|79/01/11|"/>
    <n v="1476"/>
    <n v="0.6"/>
    <n v="0.93"/>
  </r>
  <r>
    <x v="1"/>
    <s v="Supermarkets"/>
    <x v="15"/>
    <s v="Mindi"/>
    <s v="|79/01/110|"/>
    <n v="1332"/>
    <n v="0.68"/>
    <n v="0.99"/>
  </r>
  <r>
    <x v="1"/>
    <s v="Supermarkets"/>
    <x v="15"/>
    <s v="Mindi"/>
    <s v="|79/01/111|"/>
    <n v="1560"/>
    <n v="0.78"/>
    <n v="1.06"/>
  </r>
  <r>
    <x v="1"/>
    <s v="Supermarkets"/>
    <x v="15"/>
    <s v="Mindi"/>
    <s v="|79/01/112|"/>
    <n v="1308"/>
    <n v="0.84"/>
    <n v="0.95"/>
  </r>
  <r>
    <x v="1"/>
    <s v="Supermarkets"/>
    <x v="15"/>
    <s v="Mindi"/>
    <s v="|79/01/113|"/>
    <n v="1536"/>
    <n v="0.78"/>
    <n v="1.01"/>
  </r>
  <r>
    <x v="1"/>
    <s v="Supermarkets"/>
    <x v="15"/>
    <s v="Mindi"/>
    <s v="|79/01/114|"/>
    <n v="1512"/>
    <n v="0.66"/>
    <n v="1.2"/>
  </r>
  <r>
    <x v="1"/>
    <s v="Supermarkets"/>
    <x v="15"/>
    <s v="Mindi"/>
    <s v="|79/01/115|"/>
    <n v="1620"/>
    <n v="0.67"/>
    <n v="1.07"/>
  </r>
  <r>
    <x v="1"/>
    <s v="Supermarkets"/>
    <x v="15"/>
    <s v="Mindi"/>
    <s v="|79/01/116|"/>
    <n v="1392"/>
    <n v="0.85"/>
    <n v="1.06"/>
  </r>
  <r>
    <x v="1"/>
    <s v="Supermarkets"/>
    <x v="15"/>
    <s v="Mindi"/>
    <s v="|79/01/117|"/>
    <n v="1644"/>
    <n v="0.79"/>
    <n v="1.02"/>
  </r>
  <r>
    <x v="1"/>
    <s v="Supermarkets"/>
    <x v="15"/>
    <s v="Mindi"/>
    <s v="|79/01/118|"/>
    <n v="1404"/>
    <n v="0.71"/>
    <n v="1.03"/>
  </r>
  <r>
    <x v="1"/>
    <s v="Supermarkets"/>
    <x v="15"/>
    <s v="Mindi"/>
    <s v="|79/01/119|"/>
    <n v="1332"/>
    <n v="0.65"/>
    <n v="1.1599999999999999"/>
  </r>
  <r>
    <x v="1"/>
    <s v="Supermarkets"/>
    <x v="15"/>
    <s v="Mindi"/>
    <s v="|79/01/12|"/>
    <n v="1248"/>
    <n v="0.61"/>
    <n v="0.98"/>
  </r>
  <r>
    <x v="1"/>
    <s v="Supermarkets"/>
    <x v="15"/>
    <s v="Mindi"/>
    <s v="|79/01/120|"/>
    <n v="1404"/>
    <n v="0.84"/>
    <n v="1.05"/>
  </r>
  <r>
    <x v="1"/>
    <s v="Supermarkets"/>
    <x v="15"/>
    <s v="Mindi"/>
    <s v="|79/01/13|"/>
    <n v="1668"/>
    <n v="0.79"/>
    <n v="1.01"/>
  </r>
  <r>
    <x v="1"/>
    <s v="Supermarkets"/>
    <x v="15"/>
    <s v="Mindi"/>
    <s v="|79/01/14|"/>
    <n v="1524"/>
    <n v="0.83"/>
    <n v="1.06"/>
  </r>
  <r>
    <x v="1"/>
    <s v="Supermarkets"/>
    <x v="15"/>
    <s v="Mindi"/>
    <s v="|79/01/15|"/>
    <n v="1416"/>
    <n v="0.8"/>
    <n v="1.06"/>
  </r>
  <r>
    <x v="1"/>
    <s v="Supermarkets"/>
    <x v="15"/>
    <s v="Mindi"/>
    <s v="|79/01/16|"/>
    <n v="1512"/>
    <n v="0.8"/>
    <n v="0.97"/>
  </r>
  <r>
    <x v="1"/>
    <s v="Supermarkets"/>
    <x v="15"/>
    <s v="Mindi"/>
    <s v="|79/01/17|"/>
    <n v="1560"/>
    <n v="0.81"/>
    <n v="1.1000000000000001"/>
  </r>
  <r>
    <x v="1"/>
    <s v="Supermarkets"/>
    <x v="15"/>
    <s v="Mindi"/>
    <s v="|79/01/18|"/>
    <n v="1536"/>
    <n v="0.62"/>
    <n v="0.91"/>
  </r>
  <r>
    <x v="1"/>
    <s v="Supermarkets"/>
    <x v="15"/>
    <s v="Mindi"/>
    <s v="|79/01/19|"/>
    <n v="1200"/>
    <n v="0.82"/>
    <n v="1.2"/>
  </r>
  <r>
    <x v="1"/>
    <s v="Supermarkets"/>
    <x v="15"/>
    <s v="Mindi"/>
    <s v="|79/01/20|"/>
    <n v="1500"/>
    <n v="0.65"/>
    <n v="1.1499999999999999"/>
  </r>
  <r>
    <x v="1"/>
    <s v="Supermarkets"/>
    <x v="15"/>
    <s v="Mindi"/>
    <s v="|79/01/21|"/>
    <n v="1656"/>
    <n v="0.75"/>
    <n v="1.1000000000000001"/>
  </r>
  <r>
    <x v="1"/>
    <s v="Supermarkets"/>
    <x v="15"/>
    <s v="Mindi"/>
    <s v="|79/01/22|"/>
    <n v="1488"/>
    <n v="0.76"/>
    <n v="0.93"/>
  </r>
  <r>
    <x v="1"/>
    <s v="Supermarkets"/>
    <x v="15"/>
    <s v="Mindi"/>
    <s v="|79/01/23|"/>
    <n v="1416"/>
    <n v="0.89"/>
    <n v="1.01"/>
  </r>
  <r>
    <x v="1"/>
    <s v="Supermarkets"/>
    <x v="15"/>
    <s v="Mindi"/>
    <s v="|79/01/24|"/>
    <n v="1236"/>
    <n v="0.75"/>
    <n v="1"/>
  </r>
  <r>
    <x v="1"/>
    <s v="Supermarkets"/>
    <x v="15"/>
    <s v="Mindi"/>
    <s v="|79/01/25|"/>
    <n v="1212"/>
    <n v="0.88"/>
    <n v="0.93"/>
  </r>
  <r>
    <x v="1"/>
    <s v="Supermarkets"/>
    <x v="15"/>
    <s v="Mindi"/>
    <s v="|79/01/26|"/>
    <n v="1224"/>
    <n v="0.67"/>
    <n v="1.1499999999999999"/>
  </r>
  <r>
    <x v="1"/>
    <s v="Supermarkets"/>
    <x v="15"/>
    <s v="Mindi"/>
    <s v="|79/01/27|"/>
    <n v="1404"/>
    <n v="0.81"/>
    <n v="1.1499999999999999"/>
  </r>
  <r>
    <x v="1"/>
    <s v="Supermarkets"/>
    <x v="15"/>
    <s v="Mindi"/>
    <s v="|79/01/28|"/>
    <n v="1440"/>
    <n v="0.86"/>
    <n v="1.01"/>
  </r>
  <r>
    <x v="1"/>
    <s v="Supermarkets"/>
    <x v="15"/>
    <s v="Mindi"/>
    <s v="|79/01/29|"/>
    <n v="1596"/>
    <n v="0.63"/>
    <n v="0.98"/>
  </r>
  <r>
    <x v="1"/>
    <s v="Supermarkets"/>
    <x v="15"/>
    <s v="Mindi"/>
    <s v="|79/01/30|"/>
    <n v="1596"/>
    <n v="0.6"/>
    <n v="1.18"/>
  </r>
  <r>
    <x v="1"/>
    <s v="Supermarkets"/>
    <x v="15"/>
    <s v="Mindi"/>
    <s v="|79/01/31|"/>
    <n v="1404"/>
    <n v="0.66"/>
    <n v="1.05"/>
  </r>
  <r>
    <x v="1"/>
    <s v="Supermarkets"/>
    <x v="15"/>
    <s v="Mindi"/>
    <s v="|79/01/32|"/>
    <n v="1608"/>
    <n v="0.66"/>
    <n v="1.0900000000000001"/>
  </r>
  <r>
    <x v="1"/>
    <s v="Supermarkets"/>
    <x v="15"/>
    <s v="Mindi"/>
    <s v="|79/01/33|"/>
    <n v="1440"/>
    <n v="0.87"/>
    <n v="1.03"/>
  </r>
  <r>
    <x v="1"/>
    <s v="Supermarkets"/>
    <x v="15"/>
    <s v="Mindi"/>
    <s v="|79/01/34|"/>
    <n v="1524"/>
    <n v="0.78"/>
    <n v="0.98"/>
  </r>
  <r>
    <x v="1"/>
    <s v="Supermarkets"/>
    <x v="15"/>
    <s v="Mindi"/>
    <s v="|79/01/35|"/>
    <n v="1632"/>
    <n v="0.72"/>
    <n v="0.96"/>
  </r>
  <r>
    <x v="1"/>
    <s v="Supermarkets"/>
    <x v="15"/>
    <s v="Mindi"/>
    <s v="|79/01/36|"/>
    <n v="1248"/>
    <n v="0.65"/>
    <n v="1.1000000000000001"/>
  </r>
  <r>
    <x v="1"/>
    <s v="Supermarkets"/>
    <x v="15"/>
    <s v="Mindi"/>
    <s v="|79/01/37|"/>
    <n v="1308"/>
    <n v="0.81"/>
    <n v="1.06"/>
  </r>
  <r>
    <x v="1"/>
    <s v="Supermarkets"/>
    <x v="15"/>
    <s v="Mindi"/>
    <s v="|79/01/38|"/>
    <n v="1452"/>
    <n v="0.75"/>
    <n v="0.99"/>
  </r>
  <r>
    <x v="1"/>
    <s v="Supermarkets"/>
    <x v="15"/>
    <s v="Mindi"/>
    <s v="|79/01/39|"/>
    <n v="1548"/>
    <n v="0.82"/>
    <n v="0.93"/>
  </r>
  <r>
    <x v="1"/>
    <s v="Supermarkets"/>
    <x v="15"/>
    <s v="Mindi"/>
    <s v="|79/01/40|"/>
    <n v="1428"/>
    <n v="0.9"/>
    <n v="1.03"/>
  </r>
  <r>
    <x v="1"/>
    <s v="Supermarkets"/>
    <x v="15"/>
    <s v="Mindi"/>
    <s v="|79/01/41|"/>
    <n v="1572"/>
    <n v="0.83"/>
    <n v="0.91"/>
  </r>
  <r>
    <x v="1"/>
    <s v="Supermarkets"/>
    <x v="15"/>
    <s v="Mindi"/>
    <s v="|79/01/42|"/>
    <n v="1296"/>
    <n v="0.71"/>
    <n v="1.04"/>
  </r>
  <r>
    <x v="1"/>
    <s v="Supermarkets"/>
    <x v="15"/>
    <s v="Mindi"/>
    <s v="|79/01/43|"/>
    <n v="1212"/>
    <n v="0.84"/>
    <n v="0.98"/>
  </r>
  <r>
    <x v="1"/>
    <s v="Supermarkets"/>
    <x v="15"/>
    <s v="Mindi"/>
    <s v="|79/01/44|"/>
    <n v="1320"/>
    <n v="0.69"/>
    <n v="1.04"/>
  </r>
  <r>
    <x v="1"/>
    <s v="Supermarkets"/>
    <x v="15"/>
    <s v="Mindi"/>
    <s v="|79/01/45|"/>
    <n v="1320"/>
    <n v="0.7"/>
    <n v="1.08"/>
  </r>
  <r>
    <x v="1"/>
    <s v="Supermarkets"/>
    <x v="15"/>
    <s v="Mindi"/>
    <s v="|79/01/46|"/>
    <n v="1248"/>
    <n v="0.9"/>
    <n v="1.1100000000000001"/>
  </r>
  <r>
    <x v="1"/>
    <s v="Supermarkets"/>
    <x v="15"/>
    <s v="Mindi"/>
    <s v="|79/01/47|"/>
    <n v="1668"/>
    <n v="0.66"/>
    <n v="1.1299999999999999"/>
  </r>
  <r>
    <x v="1"/>
    <s v="Supermarkets"/>
    <x v="15"/>
    <s v="Mindi"/>
    <s v="|79/01/50|"/>
    <n v="1536"/>
    <n v="0.86"/>
    <n v="1.04"/>
  </r>
  <r>
    <x v="1"/>
    <s v="Supermarkets"/>
    <x v="15"/>
    <s v="Mindi"/>
    <s v="|79/01/51|"/>
    <n v="1404"/>
    <n v="0.71"/>
    <n v="0.93"/>
  </r>
  <r>
    <x v="1"/>
    <s v="Supermarkets"/>
    <x v="15"/>
    <s v="Mindi"/>
    <s v="|79/01/52|"/>
    <n v="1332"/>
    <n v="0.61"/>
    <n v="1.1000000000000001"/>
  </r>
  <r>
    <x v="1"/>
    <s v="Supermarkets"/>
    <x v="15"/>
    <s v="Mindi"/>
    <s v="|79/01/53|"/>
    <n v="1584"/>
    <n v="0.81"/>
    <n v="1.17"/>
  </r>
  <r>
    <x v="1"/>
    <s v="Supermarkets"/>
    <x v="15"/>
    <s v="Mindi"/>
    <s v="|79/01/54|"/>
    <n v="1476"/>
    <n v="0.9"/>
    <n v="0.99"/>
  </r>
  <r>
    <x v="1"/>
    <s v="Supermarkets"/>
    <x v="15"/>
    <s v="Mindi"/>
    <s v="|79/01/55|"/>
    <n v="1488"/>
    <n v="0.76"/>
    <n v="1.1499999999999999"/>
  </r>
  <r>
    <x v="1"/>
    <s v="Supermarkets"/>
    <x v="15"/>
    <s v="Mindi"/>
    <s v="|79/01/56|"/>
    <n v="1644"/>
    <n v="0.79"/>
    <n v="1.08"/>
  </r>
  <r>
    <x v="1"/>
    <s v="Supermarkets"/>
    <x v="15"/>
    <s v="Mindi"/>
    <s v="|79/01/57|"/>
    <n v="1248"/>
    <n v="0.81"/>
    <n v="0.93"/>
  </r>
  <r>
    <x v="1"/>
    <s v="Supermarkets"/>
    <x v="15"/>
    <s v="Mindi"/>
    <s v="|79/01/58|"/>
    <n v="1512"/>
    <n v="0.77"/>
    <n v="1.07"/>
  </r>
  <r>
    <x v="1"/>
    <s v="Supermarkets"/>
    <x v="15"/>
    <s v="Mindi"/>
    <s v="|79/01/59|"/>
    <n v="1332"/>
    <n v="0.63"/>
    <n v="0.96"/>
  </r>
  <r>
    <x v="1"/>
    <s v="Supermarkets"/>
    <x v="15"/>
    <s v="Mindi"/>
    <s v="|79/01/60|"/>
    <n v="1308"/>
    <n v="0.9"/>
    <n v="0.96"/>
  </r>
  <r>
    <x v="1"/>
    <s v="Supermarkets"/>
    <x v="15"/>
    <s v="Mindi"/>
    <s v="|79/01/61|"/>
    <n v="1524"/>
    <n v="0.64"/>
    <n v="1"/>
  </r>
  <r>
    <x v="1"/>
    <s v="Supermarkets"/>
    <x v="15"/>
    <s v="Mindi"/>
    <s v="|79/01/62|"/>
    <n v="1464"/>
    <n v="0.81"/>
    <n v="1.19"/>
  </r>
  <r>
    <x v="1"/>
    <s v="Supermarkets"/>
    <x v="15"/>
    <s v="Mindi"/>
    <s v="|79/01/63|"/>
    <n v="1524"/>
    <n v="0.9"/>
    <n v="1.1499999999999999"/>
  </r>
  <r>
    <x v="1"/>
    <s v="Supermarkets"/>
    <x v="15"/>
    <s v="Mindi"/>
    <s v="|79/01/64|"/>
    <n v="1392"/>
    <n v="0.61"/>
    <n v="1.1499999999999999"/>
  </r>
  <r>
    <x v="1"/>
    <s v="Supermarkets"/>
    <x v="15"/>
    <s v="Mindi"/>
    <s v="|79/01/65|"/>
    <n v="1512"/>
    <n v="0.79"/>
    <n v="1.1000000000000001"/>
  </r>
  <r>
    <x v="1"/>
    <s v="Supermarkets"/>
    <x v="15"/>
    <s v="Mindi"/>
    <s v="|79/01/66|"/>
    <n v="1284"/>
    <n v="0.9"/>
    <n v="0.99"/>
  </r>
  <r>
    <x v="1"/>
    <s v="Supermarkets"/>
    <x v="15"/>
    <s v="Mindi"/>
    <s v="|79/01/67|"/>
    <n v="1512"/>
    <n v="0.78"/>
    <n v="1.2"/>
  </r>
  <r>
    <x v="1"/>
    <s v="Supermarkets"/>
    <x v="15"/>
    <s v="Mindi"/>
    <s v="|79/01/68|"/>
    <n v="1656"/>
    <n v="0.71"/>
    <n v="1.1399999999999999"/>
  </r>
  <r>
    <x v="1"/>
    <s v="Supermarkets"/>
    <x v="15"/>
    <s v="Mindi"/>
    <s v="|79/01/69|"/>
    <n v="1584"/>
    <n v="0.83"/>
    <n v="0.91"/>
  </r>
  <r>
    <x v="1"/>
    <s v="Supermarkets"/>
    <x v="15"/>
    <s v="Mindi"/>
    <s v="|79/01/70|"/>
    <n v="1464"/>
    <n v="0.79"/>
    <n v="1.1100000000000001"/>
  </r>
  <r>
    <x v="1"/>
    <s v="Supermarkets"/>
    <x v="15"/>
    <s v="Mindi"/>
    <s v="|79/01/71|"/>
    <n v="1404"/>
    <n v="0.75"/>
    <n v="1.1000000000000001"/>
  </r>
  <r>
    <x v="1"/>
    <s v="Supermarkets"/>
    <x v="15"/>
    <s v="Mindi"/>
    <s v="|79/01/72|"/>
    <n v="1572"/>
    <n v="0.86"/>
    <n v="0.97"/>
  </r>
  <r>
    <x v="1"/>
    <s v="Supermarkets"/>
    <x v="15"/>
    <s v="Mindi"/>
    <s v="|79/01/73|"/>
    <n v="1404"/>
    <n v="0.75"/>
    <n v="0.96"/>
  </r>
  <r>
    <x v="1"/>
    <s v="Supermarkets"/>
    <x v="15"/>
    <s v="Mindi"/>
    <s v="|79/01/74|"/>
    <n v="1320"/>
    <n v="0.76"/>
    <n v="0.94"/>
  </r>
  <r>
    <x v="1"/>
    <s v="Supermarkets"/>
    <x v="15"/>
    <s v="Mindi"/>
    <s v="|79/01/75|"/>
    <n v="1284"/>
    <n v="0.66"/>
    <n v="1.1100000000000001"/>
  </r>
  <r>
    <x v="1"/>
    <s v="Supermarkets"/>
    <x v="15"/>
    <s v="Mindi"/>
    <s v="|79/01/76|"/>
    <n v="1524"/>
    <n v="0.74"/>
    <n v="0.98"/>
  </r>
  <r>
    <x v="1"/>
    <s v="Supermarkets"/>
    <x v="15"/>
    <s v="Mindi"/>
    <s v="|79/01/77|"/>
    <n v="1536"/>
    <n v="0.65"/>
    <n v="0.98"/>
  </r>
  <r>
    <x v="1"/>
    <s v="Supermarkets"/>
    <x v="15"/>
    <s v="Mindi"/>
    <s v="|79/01/78|"/>
    <n v="1236"/>
    <n v="0.72"/>
    <n v="1.2"/>
  </r>
  <r>
    <x v="1"/>
    <s v="Supermarkets"/>
    <x v="15"/>
    <s v="Mindi"/>
    <s v="|79/01/80|"/>
    <n v="1464"/>
    <n v="0.89"/>
    <n v="1.02"/>
  </r>
  <r>
    <x v="1"/>
    <s v="Supermarkets"/>
    <x v="15"/>
    <s v="Mindi"/>
    <s v="|79/01/81|"/>
    <n v="1404"/>
    <n v="0.83"/>
    <n v="0.98"/>
  </r>
  <r>
    <x v="1"/>
    <s v="Supermarkets"/>
    <x v="15"/>
    <s v="Mindi"/>
    <s v="|79/01/82|"/>
    <n v="1260"/>
    <n v="0.83"/>
    <n v="0.91"/>
  </r>
  <r>
    <x v="1"/>
    <s v="Supermarkets"/>
    <x v="15"/>
    <s v="Mindi"/>
    <s v="|79/01/83|"/>
    <n v="1368"/>
    <n v="0.64"/>
    <n v="1.05"/>
  </r>
  <r>
    <x v="1"/>
    <s v="Supermarkets"/>
    <x v="15"/>
    <s v="Mindi"/>
    <s v="|79/01/84|"/>
    <n v="1344"/>
    <n v="0.66"/>
    <n v="0.94"/>
  </r>
  <r>
    <x v="1"/>
    <s v="Supermarkets"/>
    <x v="15"/>
    <s v="Mindi"/>
    <s v="|79/01/85|"/>
    <n v="1452"/>
    <n v="0.77"/>
    <n v="1.01"/>
  </r>
  <r>
    <x v="1"/>
    <s v="Supermarkets"/>
    <x v="15"/>
    <s v="Mindi"/>
    <s v="|79/01/86|"/>
    <n v="1320"/>
    <n v="0.74"/>
    <n v="0.94"/>
  </r>
  <r>
    <x v="1"/>
    <s v="Supermarkets"/>
    <x v="15"/>
    <s v="Mindi"/>
    <s v="|79/01/87|"/>
    <n v="1344"/>
    <n v="0.65"/>
    <n v="1.08"/>
  </r>
  <r>
    <x v="1"/>
    <s v="Supermarkets"/>
    <x v="15"/>
    <s v="Mindi"/>
    <s v="|79/01/88|"/>
    <n v="1392"/>
    <n v="0.7"/>
    <n v="1.1599999999999999"/>
  </r>
  <r>
    <x v="1"/>
    <s v="Supermarkets"/>
    <x v="15"/>
    <s v="Mindi"/>
    <s v="|79/01/89|"/>
    <n v="1356"/>
    <n v="0.86"/>
    <n v="1.1399999999999999"/>
  </r>
  <r>
    <x v="1"/>
    <s v="Supermarkets"/>
    <x v="15"/>
    <s v="Mindi"/>
    <s v="|79/01/90|"/>
    <n v="1536"/>
    <n v="0.64"/>
    <n v="1.03"/>
  </r>
  <r>
    <x v="1"/>
    <s v="Supermarkets"/>
    <x v="15"/>
    <s v="Mindi"/>
    <s v="|79/01/91|"/>
    <n v="1428"/>
    <n v="0.8"/>
    <n v="1"/>
  </r>
  <r>
    <x v="1"/>
    <s v="Supermarkets"/>
    <x v="15"/>
    <s v="Mindi"/>
    <s v="|79/01/92|"/>
    <n v="1572"/>
    <n v="0.76"/>
    <n v="1.1200000000000001"/>
  </r>
  <r>
    <x v="1"/>
    <s v="Supermarkets"/>
    <x v="15"/>
    <s v="Mindi"/>
    <s v="|79/01/93|"/>
    <n v="1476"/>
    <n v="0.66"/>
    <n v="1.0900000000000001"/>
  </r>
  <r>
    <x v="1"/>
    <s v="Supermarkets"/>
    <x v="15"/>
    <s v="Mindi"/>
    <s v="|79/01/94|"/>
    <n v="1356"/>
    <n v="0.8"/>
    <n v="1.03"/>
  </r>
  <r>
    <x v="1"/>
    <s v="Supermarkets"/>
    <x v="15"/>
    <s v="Mindi"/>
    <s v="|79/01/95|"/>
    <n v="1500"/>
    <n v="0.62"/>
    <n v="0.91"/>
  </r>
  <r>
    <x v="1"/>
    <s v="Supermarkets"/>
    <x v="15"/>
    <s v="Mindi"/>
    <s v="|79/01/96|"/>
    <n v="1524"/>
    <n v="0.65"/>
    <n v="1.1499999999999999"/>
  </r>
  <r>
    <x v="1"/>
    <s v="Supermarkets"/>
    <x v="15"/>
    <s v="Mindi"/>
    <s v="|79/01/97|"/>
    <n v="1452"/>
    <n v="0.7"/>
    <n v="1.2"/>
  </r>
  <r>
    <x v="1"/>
    <s v="Supermarkets"/>
    <x v="15"/>
    <s v="Mindi"/>
    <s v="|79/01/98|"/>
    <n v="1212"/>
    <n v="0.83"/>
    <n v="1.1000000000000001"/>
  </r>
  <r>
    <x v="1"/>
    <s v="Supermarkets"/>
    <x v="15"/>
    <s v="Mindi"/>
    <s v="|79/02/01|"/>
    <n v="1416"/>
    <n v="0.62"/>
    <n v="1.1299999999999999"/>
  </r>
  <r>
    <x v="1"/>
    <s v="Supermarkets"/>
    <x v="15"/>
    <s v="Mindi"/>
    <s v="|79/02/02|"/>
    <n v="1332"/>
    <n v="0.79"/>
    <n v="1.03"/>
  </r>
  <r>
    <x v="1"/>
    <s v="Supermarkets"/>
    <x v="15"/>
    <s v="Mindi"/>
    <s v="|79/02/03|"/>
    <n v="1428"/>
    <n v="0.83"/>
    <n v="0.95"/>
  </r>
  <r>
    <x v="1"/>
    <s v="Supermarkets"/>
    <x v="15"/>
    <s v="Mindi"/>
    <s v="|79/02/04|"/>
    <n v="1608"/>
    <n v="0.68"/>
    <n v="0.98"/>
  </r>
  <r>
    <x v="1"/>
    <s v="Supermarkets"/>
    <x v="15"/>
    <s v="Mindi"/>
    <s v="|79/02/05|"/>
    <n v="1392"/>
    <n v="0.6"/>
    <n v="0.99"/>
  </r>
  <r>
    <x v="1"/>
    <s v="Supermarkets"/>
    <x v="15"/>
    <s v="Mindi"/>
    <s v="|79/02/06|"/>
    <n v="1248"/>
    <n v="0.62"/>
    <n v="1.02"/>
  </r>
  <r>
    <x v="1"/>
    <s v="Supermarkets"/>
    <x v="15"/>
    <s v="Mindi"/>
    <s v="|79/02/07|"/>
    <n v="1344"/>
    <n v="0.87"/>
    <n v="1.05"/>
  </r>
  <r>
    <x v="1"/>
    <s v="Supermarkets"/>
    <x v="15"/>
    <s v="Mindi"/>
    <s v="|79/02/08|"/>
    <n v="1272"/>
    <n v="0.73"/>
    <n v="1.19"/>
  </r>
  <r>
    <x v="1"/>
    <s v="Supermarkets"/>
    <x v="15"/>
    <s v="Mindi"/>
    <s v="|79/02/09|"/>
    <n v="1596"/>
    <n v="0.87"/>
    <n v="1.1399999999999999"/>
  </r>
  <r>
    <x v="1"/>
    <s v="Supermarkets"/>
    <x v="15"/>
    <s v="Mindi"/>
    <s v="|79/02/10|"/>
    <n v="1500"/>
    <n v="0.6"/>
    <n v="1.06"/>
  </r>
  <r>
    <x v="1"/>
    <s v="Supermarkets"/>
    <x v="15"/>
    <s v="Mindi"/>
    <s v="|79/02/11|"/>
    <n v="1644"/>
    <n v="0.85"/>
    <n v="1.1399999999999999"/>
  </r>
  <r>
    <x v="1"/>
    <s v="Supermarkets"/>
    <x v="15"/>
    <s v="Mindi"/>
    <s v="|79/02/12|"/>
    <n v="1380"/>
    <n v="0.83"/>
    <n v="1.08"/>
  </r>
  <r>
    <x v="1"/>
    <s v="Supermarkets"/>
    <x v="15"/>
    <s v="Mindi"/>
    <s v="|79/02/13|"/>
    <n v="1488"/>
    <n v="0.73"/>
    <n v="1.2"/>
  </r>
  <r>
    <x v="1"/>
    <s v="Supermarkets"/>
    <x v="15"/>
    <s v="Mindi"/>
    <s v="|79/02/15|"/>
    <n v="1212"/>
    <n v="0.6"/>
    <n v="0.94"/>
  </r>
  <r>
    <x v="1"/>
    <s v="Supermarkets"/>
    <x v="15"/>
    <s v="Star foods"/>
    <s v="|108/01/01|"/>
    <n v="1248"/>
    <n v="0.67"/>
    <n v="1.07"/>
  </r>
  <r>
    <x v="1"/>
    <s v="Supermarkets"/>
    <x v="15"/>
    <s v="Star foods"/>
    <s v="|108/01/02|"/>
    <n v="1212"/>
    <n v="0.9"/>
    <n v="1.1399999999999999"/>
  </r>
  <r>
    <x v="1"/>
    <s v="Supermarkets"/>
    <x v="15"/>
    <s v="Star foods"/>
    <s v="|108/01/03|"/>
    <n v="1308"/>
    <n v="0.9"/>
    <n v="1.1200000000000001"/>
  </r>
  <r>
    <x v="1"/>
    <s v="Supermarkets"/>
    <x v="15"/>
    <s v="Star foods"/>
    <s v="|108/01/04|"/>
    <n v="1680"/>
    <n v="0.78"/>
    <n v="1.0900000000000001"/>
  </r>
  <r>
    <x v="1"/>
    <s v="Supermarkets"/>
    <x v="15"/>
    <s v="Star foods"/>
    <s v="|108/01/05|"/>
    <n v="1236"/>
    <n v="0.9"/>
    <n v="0.99"/>
  </r>
  <r>
    <x v="1"/>
    <s v="Supermarkets"/>
    <x v="15"/>
    <s v="Star foods"/>
    <s v="|108/01/06|"/>
    <n v="1440"/>
    <n v="0.8"/>
    <n v="1.19"/>
  </r>
  <r>
    <x v="1"/>
    <s v="Supermarkets"/>
    <x v="15"/>
    <s v="Star foods"/>
    <s v="|108/01/07|"/>
    <n v="1668"/>
    <n v="0.79"/>
    <n v="1.1100000000000001"/>
  </r>
  <r>
    <x v="1"/>
    <s v="Supermarkets"/>
    <x v="15"/>
    <s v="Star foods"/>
    <s v="|108/01/08|"/>
    <n v="1476"/>
    <n v="0.71"/>
    <n v="1.1100000000000001"/>
  </r>
  <r>
    <x v="1"/>
    <s v="Supermarkets"/>
    <x v="15"/>
    <s v="Star foods"/>
    <s v="|108/01/09|"/>
    <n v="1488"/>
    <n v="0.83"/>
    <n v="0.96"/>
  </r>
  <r>
    <x v="1"/>
    <s v="Supermarkets"/>
    <x v="15"/>
    <s v="Star foods"/>
    <s v="|108/01/10|"/>
    <n v="1248"/>
    <n v="0.6"/>
    <n v="1"/>
  </r>
  <r>
    <x v="1"/>
    <s v="Supermarkets"/>
    <x v="15"/>
    <s v="Kronos"/>
    <s v="|87/00/01|"/>
    <n v="1392"/>
    <n v="0.62"/>
    <n v="1.18"/>
  </r>
  <r>
    <x v="1"/>
    <s v="Supermarkets"/>
    <x v="15"/>
    <s v="Kronos"/>
    <s v="|87/00/02|"/>
    <n v="1248"/>
    <n v="0.65"/>
    <n v="0.95"/>
  </r>
  <r>
    <x v="1"/>
    <s v="Supermarkets"/>
    <x v="15"/>
    <s v="Kronos"/>
    <s v="|87/00/03|"/>
    <n v="1560"/>
    <n v="0.83"/>
    <n v="1.0900000000000001"/>
  </r>
  <r>
    <x v="1"/>
    <s v="Supermarkets"/>
    <x v="15"/>
    <s v="Kronos"/>
    <s v="|87/00/04|"/>
    <n v="1680"/>
    <n v="0.87"/>
    <n v="0.95"/>
  </r>
  <r>
    <x v="1"/>
    <s v="Supermarkets"/>
    <x v="15"/>
    <s v="Kronos"/>
    <s v="|87/00/05|"/>
    <n v="1464"/>
    <n v="0.75"/>
    <n v="1.19"/>
  </r>
  <r>
    <x v="1"/>
    <s v="Supermarkets"/>
    <x v="15"/>
    <s v="Kronos"/>
    <s v="|87/00/06|"/>
    <n v="1464"/>
    <n v="0.68"/>
    <n v="1.1599999999999999"/>
  </r>
  <r>
    <x v="1"/>
    <s v="Supermarkets"/>
    <x v="15"/>
    <s v="Kronos"/>
    <s v="|87/00/07|"/>
    <n v="1656"/>
    <n v="0.74"/>
    <n v="0.92"/>
  </r>
  <r>
    <x v="1"/>
    <s v="Supermarkets"/>
    <x v="15"/>
    <s v="Kronos"/>
    <s v="|87/00/08|"/>
    <n v="1212"/>
    <n v="0.85"/>
    <n v="0.93"/>
  </r>
  <r>
    <x v="1"/>
    <s v="Supermarkets"/>
    <x v="15"/>
    <s v="Kronos"/>
    <s v="|87/00/09|"/>
    <n v="1404"/>
    <n v="0.88"/>
    <n v="1.02"/>
  </r>
  <r>
    <x v="1"/>
    <s v="Supermarkets"/>
    <x v="15"/>
    <s v="Kronos"/>
    <s v="|87/00/10|"/>
    <n v="1344"/>
    <n v="0.64"/>
    <n v="0.96"/>
  </r>
  <r>
    <x v="1"/>
    <s v="Supermarkets"/>
    <x v="15"/>
    <s v="Kronos"/>
    <s v="|87/00/20|"/>
    <n v="1680"/>
    <n v="0.79"/>
    <n v="0.94"/>
  </r>
  <r>
    <x v="1"/>
    <s v="Supermarkets"/>
    <x v="15"/>
    <s v="Kronos"/>
    <s v="|87/00/21|"/>
    <n v="1500"/>
    <n v="0.83"/>
    <n v="0.98"/>
  </r>
  <r>
    <x v="1"/>
    <s v="Supermarkets"/>
    <x v="15"/>
    <s v="Kronos"/>
    <s v="|87/00/22|"/>
    <n v="1332"/>
    <n v="0.66"/>
    <n v="1"/>
  </r>
  <r>
    <x v="1"/>
    <s v="Supermarkets"/>
    <x v="15"/>
    <s v="Kronos"/>
    <s v="|87/00/23|"/>
    <n v="1416"/>
    <n v="0.8"/>
    <n v="1.17"/>
  </r>
  <r>
    <x v="1"/>
    <s v="Supermarkets"/>
    <x v="15"/>
    <s v="Kronos"/>
    <s v="|87/00/24|"/>
    <n v="1416"/>
    <n v="0.74"/>
    <n v="0.99"/>
  </r>
  <r>
    <x v="1"/>
    <s v="Supermarkets"/>
    <x v="15"/>
    <s v="Corosina"/>
    <s v="|115/01/01|"/>
    <n v="1200"/>
    <n v="0.84"/>
    <n v="0.98"/>
  </r>
  <r>
    <x v="1"/>
    <s v="Supermarkets"/>
    <x v="15"/>
    <s v="Corosina"/>
    <s v="|115/01/03|"/>
    <n v="1296"/>
    <n v="0.7"/>
    <n v="0.99"/>
  </r>
  <r>
    <x v="1"/>
    <s v="Supermarkets"/>
    <x v="15"/>
    <s v="Corosina"/>
    <s v="|115/01/04|"/>
    <n v="1476"/>
    <n v="0.64"/>
    <n v="1.1499999999999999"/>
  </r>
  <r>
    <x v="1"/>
    <s v="Supermarkets"/>
    <x v="15"/>
    <s v="Corosina"/>
    <s v="|115/01/05|"/>
    <n v="1224"/>
    <n v="0.67"/>
    <n v="1"/>
  </r>
  <r>
    <x v="1"/>
    <s v="Supermarkets"/>
    <x v="15"/>
    <s v="Corosina"/>
    <s v="|115/01/06|"/>
    <n v="1644"/>
    <n v="0.81"/>
    <n v="1.04"/>
  </r>
  <r>
    <x v="1"/>
    <s v="Supermarkets"/>
    <x v="15"/>
    <s v="Corosina"/>
    <s v="|115/01/07|"/>
    <n v="1332"/>
    <n v="0.66"/>
    <n v="0.99"/>
  </r>
  <r>
    <x v="1"/>
    <s v="Supermarkets"/>
    <x v="15"/>
    <s v="Corosina"/>
    <s v="|115/01/08|"/>
    <n v="1428"/>
    <n v="0.77"/>
    <n v="1.0900000000000001"/>
  </r>
  <r>
    <x v="1"/>
    <s v="Supermarkets"/>
    <x v="15"/>
    <s v="Corosina"/>
    <s v="|115/01/09|"/>
    <n v="1464"/>
    <n v="0.84"/>
    <n v="1.05"/>
  </r>
  <r>
    <x v="1"/>
    <s v="Supermarkets"/>
    <x v="15"/>
    <s v="Corosina"/>
    <s v="|115/01/10|"/>
    <n v="1596"/>
    <n v="0.83"/>
    <n v="1.1100000000000001"/>
  </r>
  <r>
    <x v="1"/>
    <s v="Supermarkets"/>
    <x v="15"/>
    <s v="Corosina"/>
    <s v="|115/01/11|"/>
    <n v="1284"/>
    <n v="0.87"/>
    <n v="1.1399999999999999"/>
  </r>
  <r>
    <x v="1"/>
    <s v="Supermarkets"/>
    <x v="15"/>
    <s v="Corosina"/>
    <s v="|115/01/12|"/>
    <n v="1332"/>
    <n v="0.63"/>
    <n v="1.04"/>
  </r>
  <r>
    <x v="1"/>
    <s v="Supermarkets"/>
    <x v="15"/>
    <s v="Corosina"/>
    <s v="|115/01/13|"/>
    <n v="1296"/>
    <n v="0.68"/>
    <n v="1.1299999999999999"/>
  </r>
  <r>
    <x v="1"/>
    <s v="Supermarkets"/>
    <x v="15"/>
    <s v="Corosina"/>
    <s v="|115/01/14|"/>
    <n v="1368"/>
    <n v="0.76"/>
    <n v="0.94"/>
  </r>
  <r>
    <x v="1"/>
    <s v="Supermarkets"/>
    <x v="15"/>
    <s v="Corosina"/>
    <s v="|115/01/15|"/>
    <n v="1284"/>
    <n v="0.88"/>
    <n v="1.18"/>
  </r>
  <r>
    <x v="1"/>
    <s v="Supermarkets"/>
    <x v="15"/>
    <s v="Surgital"/>
    <s v="|03/01/03|"/>
    <n v="1548"/>
    <n v="0.8"/>
    <n v="1.1599999999999999"/>
  </r>
  <r>
    <x v="1"/>
    <s v="Supermarkets"/>
    <x v="15"/>
    <s v="Surgital"/>
    <s v="|03/01/04|"/>
    <n v="1404"/>
    <n v="0.88"/>
    <n v="1.03"/>
  </r>
  <r>
    <x v="1"/>
    <s v="Supermarkets"/>
    <x v="15"/>
    <s v="Surgital"/>
    <s v="|03/01/05|"/>
    <n v="1368"/>
    <n v="0.77"/>
    <n v="0.95"/>
  </r>
  <r>
    <x v="1"/>
    <s v="Supermarkets"/>
    <x v="15"/>
    <s v="Surgital"/>
    <s v="|03/01/06|"/>
    <n v="1344"/>
    <n v="0.67"/>
    <n v="1.18"/>
  </r>
  <r>
    <x v="1"/>
    <s v="Supermarkets"/>
    <x v="15"/>
    <s v="Surgital"/>
    <s v="|03/01/07|"/>
    <n v="1584"/>
    <n v="0.71"/>
    <n v="1.18"/>
  </r>
  <r>
    <x v="1"/>
    <s v="Supermarkets"/>
    <x v="15"/>
    <s v="Surgital"/>
    <s v="|03/01/08|"/>
    <n v="1440"/>
    <n v="0.87"/>
    <n v="1.07"/>
  </r>
  <r>
    <x v="1"/>
    <s v="Supermarkets"/>
    <x v="15"/>
    <s v="Surgital"/>
    <s v="|03/01/09|"/>
    <n v="1248"/>
    <n v="0.84"/>
    <n v="1.1599999999999999"/>
  </r>
  <r>
    <x v="1"/>
    <s v="Supermarkets"/>
    <x v="15"/>
    <s v="Surgital"/>
    <s v="|03/01/10|"/>
    <n v="1644"/>
    <n v="0.82"/>
    <n v="1"/>
  </r>
  <r>
    <x v="1"/>
    <s v="Supermarkets"/>
    <x v="15"/>
    <s v="Surgital"/>
    <s v="|03/01/11|"/>
    <n v="1260"/>
    <n v="0.66"/>
    <n v="1.02"/>
  </r>
  <r>
    <x v="1"/>
    <s v="Supermarkets"/>
    <x v="15"/>
    <s v="Surgital"/>
    <s v="|03/01/12|"/>
    <n v="1320"/>
    <n v="0.64"/>
    <n v="0.94"/>
  </r>
  <r>
    <x v="1"/>
    <s v="Supermarkets"/>
    <x v="15"/>
    <s v="Surgital"/>
    <s v="|03/01/13|"/>
    <n v="1272"/>
    <n v="0.9"/>
    <n v="1.19"/>
  </r>
  <r>
    <x v="1"/>
    <s v="Supermarkets"/>
    <x v="15"/>
    <s v="Surgital"/>
    <s v="|03/01/14|"/>
    <n v="1296"/>
    <n v="0.85"/>
    <n v="1.0900000000000001"/>
  </r>
  <r>
    <x v="1"/>
    <s v="Supermarkets"/>
    <x v="15"/>
    <s v="Surgital"/>
    <s v="|03/01/15|"/>
    <n v="1320"/>
    <n v="0.61"/>
    <n v="0.92"/>
  </r>
  <r>
    <x v="1"/>
    <s v="Supermarkets"/>
    <x v="15"/>
    <s v="Surgital"/>
    <s v="|03/01/16|"/>
    <n v="1572"/>
    <n v="0.83"/>
    <n v="0.99"/>
  </r>
  <r>
    <x v="1"/>
    <s v="Supermarkets"/>
    <x v="15"/>
    <s v="Surgital"/>
    <s v="|03/01/17|"/>
    <n v="1500"/>
    <n v="0.76"/>
    <n v="1.1200000000000001"/>
  </r>
  <r>
    <x v="1"/>
    <s v="Supermarkets"/>
    <x v="15"/>
    <s v="Surgital"/>
    <s v="|03/01/18|"/>
    <n v="1428"/>
    <n v="0.72"/>
    <n v="1.0900000000000001"/>
  </r>
  <r>
    <x v="1"/>
    <s v="Supermarkets"/>
    <x v="15"/>
    <s v="Surgital"/>
    <s v="|03/01/19|"/>
    <n v="1284"/>
    <n v="0.78"/>
    <n v="1.18"/>
  </r>
  <r>
    <x v="1"/>
    <s v="Supermarkets"/>
    <x v="15"/>
    <s v="Surgital"/>
    <s v="|03/01/20|"/>
    <n v="1248"/>
    <n v="0.64"/>
    <n v="1.05"/>
  </r>
  <r>
    <x v="1"/>
    <s v="Supermarkets"/>
    <x v="15"/>
    <s v="Surgital"/>
    <s v="|03/01/21|"/>
    <n v="1644"/>
    <n v="0.74"/>
    <n v="1.1599999999999999"/>
  </r>
  <r>
    <x v="1"/>
    <s v="Supermarkets"/>
    <x v="15"/>
    <s v="Surgital"/>
    <s v="|03/01/22|"/>
    <n v="1584"/>
    <n v="0.78"/>
    <n v="0.99"/>
  </r>
  <r>
    <x v="1"/>
    <s v="Supermarkets"/>
    <x v="15"/>
    <s v="Surgital"/>
    <s v="|03/01/23|"/>
    <n v="1512"/>
    <n v="0.68"/>
    <n v="0.92"/>
  </r>
  <r>
    <x v="1"/>
    <s v="Supermarkets"/>
    <x v="15"/>
    <s v="Surgital"/>
    <s v="|03/01/24|"/>
    <n v="1572"/>
    <n v="0.75"/>
    <n v="1.06"/>
  </r>
  <r>
    <x v="1"/>
    <s v="Supermarkets"/>
    <x v="15"/>
    <s v="Surgital"/>
    <s v="|03/01/25|"/>
    <n v="1212"/>
    <n v="0.71"/>
    <n v="1.1399999999999999"/>
  </r>
  <r>
    <x v="1"/>
    <s v="Supermarkets"/>
    <x v="15"/>
    <s v="Surgital"/>
    <s v="|03/01/26|"/>
    <n v="1344"/>
    <n v="0.68"/>
    <n v="1.01"/>
  </r>
  <r>
    <x v="1"/>
    <s v="Supermarkets"/>
    <x v="15"/>
    <s v="Surgital"/>
    <s v="|03/01/27|"/>
    <n v="1500"/>
    <n v="0.77"/>
    <n v="0.94"/>
  </r>
  <r>
    <x v="1"/>
    <s v="Supermarkets"/>
    <x v="15"/>
    <s v="Surgital"/>
    <s v="|03/01/28|"/>
    <n v="1596"/>
    <n v="0.86"/>
    <n v="1.08"/>
  </r>
  <r>
    <x v="1"/>
    <s v="Supermarkets"/>
    <x v="15"/>
    <s v="Surgital"/>
    <s v="|03/01/29|"/>
    <n v="1332"/>
    <n v="0.69"/>
    <n v="1.08"/>
  </r>
  <r>
    <x v="1"/>
    <s v="Supermarkets"/>
    <x v="15"/>
    <s v="Surgital"/>
    <s v="|03/01/30|"/>
    <n v="1284"/>
    <n v="0.84"/>
    <n v="1.1000000000000001"/>
  </r>
  <r>
    <x v="1"/>
    <s v="Supermarkets"/>
    <x v="15"/>
    <s v="Surgital"/>
    <s v="|03/01/31|"/>
    <n v="1344"/>
    <n v="0.67"/>
    <n v="1.03"/>
  </r>
  <r>
    <x v="1"/>
    <s v="Supermarkets"/>
    <x v="15"/>
    <s v="Surgital"/>
    <s v="|03/01/32|"/>
    <n v="1632"/>
    <n v="0.6"/>
    <n v="1.19"/>
  </r>
  <r>
    <x v="1"/>
    <s v="Supermarkets"/>
    <x v="15"/>
    <s v="Surgital"/>
    <s v="|03/01/33|"/>
    <n v="1452"/>
    <n v="0.7"/>
    <n v="0.92"/>
  </r>
  <r>
    <x v="1"/>
    <s v="Supermarkets"/>
    <x v="15"/>
    <s v="Surgital"/>
    <s v="|03/01/34|"/>
    <n v="1284"/>
    <n v="0.78"/>
    <n v="0.99"/>
  </r>
  <r>
    <x v="1"/>
    <s v="Supermarkets"/>
    <x v="15"/>
    <s v="Surgital"/>
    <s v="|03/01/35|"/>
    <n v="1368"/>
    <n v="0.62"/>
    <n v="1.1499999999999999"/>
  </r>
  <r>
    <x v="1"/>
    <s v="Supermarkets"/>
    <x v="15"/>
    <s v="Surgital"/>
    <s v="|03/01/36|"/>
    <n v="1320"/>
    <n v="0.64"/>
    <n v="0.91"/>
  </r>
  <r>
    <x v="1"/>
    <s v="Supermarkets"/>
    <x v="15"/>
    <s v="Surgital"/>
    <s v="|03/01/37|"/>
    <n v="1620"/>
    <n v="0.87"/>
    <n v="1.06"/>
  </r>
  <r>
    <x v="1"/>
    <s v="Supermarkets"/>
    <x v="15"/>
    <s v="Surgital"/>
    <s v="|03/01/38|"/>
    <n v="1656"/>
    <n v="0.65"/>
    <n v="1.1599999999999999"/>
  </r>
  <r>
    <x v="1"/>
    <s v="Supermarkets"/>
    <x v="15"/>
    <s v="Surgital"/>
    <s v="|03/01/39|"/>
    <n v="1260"/>
    <n v="0.67"/>
    <n v="1.17"/>
  </r>
  <r>
    <x v="1"/>
    <s v="Supermarkets"/>
    <x v="15"/>
    <s v="Surgital"/>
    <s v="|03/01/40|"/>
    <n v="1620"/>
    <n v="0.69"/>
    <n v="1.04"/>
  </r>
  <r>
    <x v="1"/>
    <s v="Supermarkets"/>
    <x v="15"/>
    <s v="Surgital"/>
    <s v="|03/01/41|"/>
    <n v="1272"/>
    <n v="0.79"/>
    <n v="1.03"/>
  </r>
  <r>
    <x v="1"/>
    <s v="Supermarkets"/>
    <x v="15"/>
    <s v="Surgital"/>
    <s v="|03/01/43|"/>
    <n v="1548"/>
    <n v="0.63"/>
    <n v="0.91"/>
  </r>
  <r>
    <x v="1"/>
    <s v="Supermarkets"/>
    <x v="15"/>
    <s v="Surgital"/>
    <s v="|03/01/44|"/>
    <n v="1440"/>
    <n v="0.9"/>
    <n v="1.1000000000000001"/>
  </r>
  <r>
    <x v="1"/>
    <s v="Supermarkets"/>
    <x v="15"/>
    <s v="Surgital"/>
    <s v="|03/01/45|"/>
    <n v="1524"/>
    <n v="0.89"/>
    <n v="0.92"/>
  </r>
  <r>
    <x v="1"/>
    <s v="Supermarkets"/>
    <x v="15"/>
    <s v="Surgital"/>
    <s v="|03/01/46|"/>
    <n v="1272"/>
    <n v="0.81"/>
    <n v="0.97"/>
  </r>
  <r>
    <x v="1"/>
    <s v="Supermarkets"/>
    <x v="15"/>
    <s v="Surgital"/>
    <s v="|03/01/47|"/>
    <n v="1608"/>
    <n v="0.9"/>
    <n v="1.18"/>
  </r>
  <r>
    <x v="1"/>
    <s v="Supermarkets"/>
    <x v="15"/>
    <s v="Surgital"/>
    <s v="|03/01/48|"/>
    <n v="1536"/>
    <n v="0.79"/>
    <n v="1.02"/>
  </r>
  <r>
    <x v="1"/>
    <s v="Supermarkets"/>
    <x v="15"/>
    <s v="Surgital"/>
    <s v="|03/01/49|"/>
    <n v="1320"/>
    <n v="0.85"/>
    <n v="1.18"/>
  </r>
  <r>
    <x v="1"/>
    <s v="Supermarkets"/>
    <x v="15"/>
    <s v="Surgital"/>
    <s v="|03/01/50|"/>
    <n v="1416"/>
    <n v="0.75"/>
    <n v="1.05"/>
  </r>
  <r>
    <x v="1"/>
    <s v="Supermarkets"/>
    <x v="15"/>
    <s v="Surgital"/>
    <s v="|03/01/51|"/>
    <n v="1224"/>
    <n v="0.83"/>
    <n v="1.1299999999999999"/>
  </r>
  <r>
    <x v="1"/>
    <s v="Supermarkets"/>
    <x v="15"/>
    <s v="Surgital"/>
    <s v="|03/01/52|"/>
    <n v="1608"/>
    <n v="0.7"/>
    <n v="1.05"/>
  </r>
  <r>
    <x v="1"/>
    <s v="Supermarkets"/>
    <x v="15"/>
    <s v="Surgital"/>
    <s v="|03/01/53|"/>
    <n v="1296"/>
    <n v="0.89"/>
    <n v="0.96"/>
  </r>
  <r>
    <x v="1"/>
    <s v="Supermarkets"/>
    <x v="15"/>
    <s v="Surgital"/>
    <s v="|03/01/54|"/>
    <n v="1464"/>
    <n v="0.77"/>
    <n v="1"/>
  </r>
  <r>
    <x v="1"/>
    <s v="Supermarkets"/>
    <x v="15"/>
    <s v="Surgital"/>
    <s v="|03/01/55|"/>
    <n v="1668"/>
    <n v="0.71"/>
    <n v="1.1100000000000001"/>
  </r>
  <r>
    <x v="1"/>
    <s v="Supermarkets"/>
    <x v="15"/>
    <s v="Surgital"/>
    <s v="|03/01/56|"/>
    <n v="1476"/>
    <n v="0.81"/>
    <n v="1.2"/>
  </r>
  <r>
    <x v="1"/>
    <s v="Supermarkets"/>
    <x v="15"/>
    <s v="Surgital"/>
    <s v="|03/01/57|"/>
    <n v="1428"/>
    <n v="0.72"/>
    <n v="1.1200000000000001"/>
  </r>
  <r>
    <x v="1"/>
    <s v="Supermarkets"/>
    <x v="15"/>
    <s v="Surgital"/>
    <s v="|03/01/58|"/>
    <n v="1560"/>
    <n v="0.75"/>
    <n v="1.1499999999999999"/>
  </r>
  <r>
    <x v="1"/>
    <s v="Supermarkets"/>
    <x v="15"/>
    <s v="Surgital"/>
    <s v="|03/01/59|"/>
    <n v="1452"/>
    <n v="0.79"/>
    <n v="1.1499999999999999"/>
  </r>
  <r>
    <x v="1"/>
    <s v="Supermarkets"/>
    <x v="15"/>
    <s v="Surgital"/>
    <s v="|03/01/60|"/>
    <n v="1236"/>
    <n v="0.68"/>
    <n v="1.19"/>
  </r>
  <r>
    <x v="1"/>
    <s v="Supermarkets"/>
    <x v="15"/>
    <s v="Surgital"/>
    <s v="|03/01/62|"/>
    <n v="1308"/>
    <n v="0.84"/>
    <n v="1.01"/>
  </r>
  <r>
    <x v="1"/>
    <s v="Supermarkets"/>
    <x v="15"/>
    <s v="Surgital"/>
    <s v="|03/01/63|"/>
    <n v="1560"/>
    <n v="0.72"/>
    <n v="1.1200000000000001"/>
  </r>
  <r>
    <x v="1"/>
    <s v="Supermarkets"/>
    <x v="15"/>
    <s v="Surgital"/>
    <s v="|03/01/64|"/>
    <n v="1464"/>
    <n v="0.89"/>
    <n v="0.93"/>
  </r>
  <r>
    <x v="1"/>
    <s v="Supermarkets"/>
    <x v="15"/>
    <s v="Surgital"/>
    <s v="|03/01/65|"/>
    <n v="1680"/>
    <n v="0.6"/>
    <n v="1.1599999999999999"/>
  </r>
  <r>
    <x v="1"/>
    <s v="Supermarkets"/>
    <x v="15"/>
    <s v="Surgital"/>
    <s v="|03/01/66|"/>
    <n v="1668"/>
    <n v="0.8"/>
    <n v="1.07"/>
  </r>
  <r>
    <x v="1"/>
    <s v="Supermarkets"/>
    <x v="15"/>
    <s v="Surgital"/>
    <s v="|03/01/67|"/>
    <n v="1584"/>
    <n v="0.82"/>
    <n v="1"/>
  </r>
  <r>
    <x v="1"/>
    <s v="Supermarkets"/>
    <x v="15"/>
    <s v="Surgital"/>
    <s v="|03/01/69|"/>
    <n v="1536"/>
    <n v="0.88"/>
    <n v="1.06"/>
  </r>
  <r>
    <x v="1"/>
    <s v="Supermarkets"/>
    <x v="15"/>
    <s v="Surgital"/>
    <s v="|03/01/70|"/>
    <n v="1200"/>
    <n v="0.85"/>
    <n v="0.91"/>
  </r>
  <r>
    <x v="1"/>
    <s v="Supermarkets"/>
    <x v="15"/>
    <s v="Surgital"/>
    <s v="|03/01/71|"/>
    <n v="1380"/>
    <n v="0.72"/>
    <n v="1.02"/>
  </r>
  <r>
    <x v="1"/>
    <s v="Supermarkets"/>
    <x v="15"/>
    <s v="Surgital"/>
    <s v="|03/01/72|"/>
    <n v="1212"/>
    <n v="0.64"/>
    <n v="1.1499999999999999"/>
  </r>
  <r>
    <x v="1"/>
    <s v="Supermarkets"/>
    <x v="15"/>
    <s v="Surgital"/>
    <s v="|03/01/73|"/>
    <n v="1212"/>
    <n v="0.84"/>
    <n v="1.0900000000000001"/>
  </r>
  <r>
    <x v="1"/>
    <s v="Supermarkets"/>
    <x v="15"/>
    <s v="Surgital"/>
    <s v="|03/01/75|"/>
    <n v="1272"/>
    <n v="0.68"/>
    <n v="1.0900000000000001"/>
  </r>
  <r>
    <x v="1"/>
    <s v="Supermarkets"/>
    <x v="15"/>
    <s v="Surgital"/>
    <s v="|03/01/76|"/>
    <n v="1512"/>
    <n v="0.73"/>
    <n v="1.19"/>
  </r>
  <r>
    <x v="1"/>
    <s v="Supermarkets"/>
    <x v="15"/>
    <s v="Surgital"/>
    <s v="|03/02/01|"/>
    <n v="1404"/>
    <n v="0.72"/>
    <n v="0.95"/>
  </r>
  <r>
    <x v="1"/>
    <s v="Supermarkets"/>
    <x v="15"/>
    <s v="Surgital"/>
    <s v="|03/02/02|"/>
    <n v="1536"/>
    <n v="0.74"/>
    <n v="1.07"/>
  </r>
  <r>
    <x v="1"/>
    <s v="Supermarkets"/>
    <x v="15"/>
    <s v="Surgital"/>
    <s v="|03/02/03|"/>
    <n v="1308"/>
    <n v="0.68"/>
    <n v="1.2"/>
  </r>
  <r>
    <x v="1"/>
    <s v="Supermarkets"/>
    <x v="15"/>
    <s v="Surgital"/>
    <s v="|03/02/04|"/>
    <n v="1392"/>
    <n v="0.82"/>
    <n v="1.1000000000000001"/>
  </r>
  <r>
    <x v="1"/>
    <s v="Supermarkets"/>
    <x v="15"/>
    <s v="Surgital"/>
    <s v="|03/02/05|"/>
    <n v="1308"/>
    <n v="0.66"/>
    <n v="1"/>
  </r>
  <r>
    <x v="1"/>
    <s v="Supermarkets"/>
    <x v="15"/>
    <s v="Surgital"/>
    <s v="|03/02/06|"/>
    <n v="1656"/>
    <n v="0.78"/>
    <n v="1.07"/>
  </r>
  <r>
    <x v="1"/>
    <s v="Supermarkets"/>
    <x v="15"/>
    <s v="Surgital"/>
    <s v="|03/02/07|"/>
    <n v="1464"/>
    <n v="0.85"/>
    <n v="0.99"/>
  </r>
  <r>
    <x v="1"/>
    <s v="Supermarkets"/>
    <x v="15"/>
    <s v="Surgital"/>
    <s v="|03/02/08|"/>
    <n v="1476"/>
    <n v="0.62"/>
    <n v="1.1599999999999999"/>
  </r>
  <r>
    <x v="1"/>
    <s v="Supermarkets"/>
    <x v="15"/>
    <s v="Surgital"/>
    <s v="|03/02/09|"/>
    <n v="1356"/>
    <n v="0.68"/>
    <n v="1.02"/>
  </r>
  <r>
    <x v="1"/>
    <s v="Supermarkets"/>
    <x v="15"/>
    <s v="Surgital"/>
    <s v="|03/02/10|"/>
    <n v="1356"/>
    <n v="0.77"/>
    <n v="1.1399999999999999"/>
  </r>
  <r>
    <x v="1"/>
    <s v="Supermarkets"/>
    <x v="15"/>
    <s v="Surgital"/>
    <s v="|03/02/11|"/>
    <n v="1656"/>
    <n v="0.67"/>
    <n v="0.93"/>
  </r>
  <r>
    <x v="1"/>
    <s v="Supermarkets"/>
    <x v="15"/>
    <s v="Surgital"/>
    <s v="|03/02/12|"/>
    <n v="1680"/>
    <n v="0.87"/>
    <n v="1.17"/>
  </r>
  <r>
    <x v="1"/>
    <s v="Supermarkets"/>
    <x v="15"/>
    <s v="Surgital"/>
    <s v="|03/02/13|"/>
    <n v="1584"/>
    <n v="0.63"/>
    <n v="1.1299999999999999"/>
  </r>
  <r>
    <x v="1"/>
    <s v="Supermarkets"/>
    <x v="15"/>
    <s v="Surgital"/>
    <s v="|03/02/14|"/>
    <n v="1248"/>
    <n v="0.73"/>
    <n v="0.97"/>
  </r>
  <r>
    <x v="1"/>
    <s v="Supermarkets"/>
    <x v="15"/>
    <s v="Surgital"/>
    <s v="|03/02/15|"/>
    <n v="1356"/>
    <n v="0.6"/>
    <n v="1.1299999999999999"/>
  </r>
  <r>
    <x v="1"/>
    <s v="Supermarkets"/>
    <x v="15"/>
    <s v="Surgital"/>
    <s v="|03/02/16|"/>
    <n v="1644"/>
    <n v="0.87"/>
    <n v="1.07"/>
  </r>
  <r>
    <x v="1"/>
    <s v="Supermarkets"/>
    <x v="15"/>
    <s v="Surgital"/>
    <s v="|03/02/17|"/>
    <n v="1632"/>
    <n v="0.66"/>
    <n v="1.17"/>
  </r>
  <r>
    <x v="1"/>
    <s v="Convenience stores"/>
    <x v="10"/>
    <s v="Aqua"/>
    <s v="|38/01/01|"/>
    <n v="444"/>
    <n v="4.7699999999999996"/>
    <n v="5.79"/>
  </r>
  <r>
    <x v="1"/>
    <s v="Convenience stores"/>
    <x v="10"/>
    <s v="Aqua"/>
    <s v="|38/01/02|"/>
    <n v="360"/>
    <n v="3.75"/>
    <n v="5.8"/>
  </r>
  <r>
    <x v="1"/>
    <s v="Convenience stores"/>
    <x v="10"/>
    <s v="Aqua"/>
    <s v="|38/01/03|"/>
    <n v="408"/>
    <n v="4.6500000000000004"/>
    <n v="6.41"/>
  </r>
  <r>
    <x v="1"/>
    <s v="Convenience stores"/>
    <x v="10"/>
    <s v="Aqua"/>
    <s v="|38/01/04|"/>
    <n v="540"/>
    <n v="3.59"/>
    <n v="6.77"/>
  </r>
  <r>
    <x v="1"/>
    <s v="Convenience stores"/>
    <x v="10"/>
    <s v="Aqua"/>
    <s v="|38/01/05|"/>
    <n v="420"/>
    <n v="3.82"/>
    <n v="5.27"/>
  </r>
  <r>
    <x v="1"/>
    <s v="Convenience stores"/>
    <x v="10"/>
    <s v="Aqua"/>
    <s v="|38/01/06|"/>
    <n v="444"/>
    <n v="3.32"/>
    <n v="5.29"/>
  </r>
  <r>
    <x v="1"/>
    <s v="Convenience stores"/>
    <x v="10"/>
    <s v="Aqua"/>
    <s v="|38/01/07|"/>
    <n v="432"/>
    <n v="3.17"/>
    <n v="5.26"/>
  </r>
  <r>
    <x v="1"/>
    <s v="Convenience stores"/>
    <x v="10"/>
    <s v="Aqua"/>
    <s v="|38/01/08|"/>
    <n v="492"/>
    <n v="4.5999999999999996"/>
    <n v="5.31"/>
  </r>
  <r>
    <x v="1"/>
    <s v="Convenience stores"/>
    <x v="10"/>
    <s v="Aqua"/>
    <s v="|38/01/09|"/>
    <n v="504"/>
    <n v="4.8099999999999996"/>
    <n v="5.42"/>
  </r>
  <r>
    <x v="1"/>
    <s v="Convenience stores"/>
    <x v="7"/>
    <s v="Cibo italiano"/>
    <s v="|59/01/01|"/>
    <n v="804"/>
    <n v="2.76"/>
    <n v="3.28"/>
  </r>
  <r>
    <x v="1"/>
    <s v="Convenience stores"/>
    <x v="7"/>
    <s v="Cibo italiano"/>
    <s v="|59/01/02|"/>
    <n v="1056"/>
    <n v="2.79"/>
    <n v="3.46"/>
  </r>
  <r>
    <x v="1"/>
    <s v="Convenience stores"/>
    <x v="7"/>
    <s v="Cibo italiano"/>
    <s v="|59/01/03|"/>
    <n v="972"/>
    <n v="2.5499999999999998"/>
    <n v="3.44"/>
  </r>
  <r>
    <x v="1"/>
    <s v="Convenience stores"/>
    <x v="7"/>
    <s v="Cibo italiano"/>
    <s v="|59/01/04|"/>
    <n v="1032"/>
    <n v="2.79"/>
    <n v="3.73"/>
  </r>
  <r>
    <x v="1"/>
    <s v="Convenience stores"/>
    <x v="7"/>
    <s v="Cibo italiano"/>
    <s v="|59/01/05|"/>
    <n v="720"/>
    <n v="2.09"/>
    <n v="3.93"/>
  </r>
  <r>
    <x v="1"/>
    <s v="Convenience stores"/>
    <x v="7"/>
    <s v="Cibo italiano"/>
    <s v="|59/01/06|"/>
    <n v="684"/>
    <n v="2.92"/>
    <n v="3.87"/>
  </r>
  <r>
    <x v="1"/>
    <s v="Convenience stores"/>
    <x v="7"/>
    <s v="Cibo italiano"/>
    <s v="|59/01/07|"/>
    <n v="1080"/>
    <n v="2.11"/>
    <n v="3.76"/>
  </r>
  <r>
    <x v="1"/>
    <s v="Convenience stores"/>
    <x v="7"/>
    <s v="Cibo italiano"/>
    <s v="|59/01/08|"/>
    <n v="876"/>
    <n v="2"/>
    <n v="4"/>
  </r>
  <r>
    <x v="1"/>
    <s v="Convenience stores"/>
    <x v="7"/>
    <s v="Cibo italiano"/>
    <s v="|59/01/09|"/>
    <n v="624"/>
    <n v="2.88"/>
    <n v="3.52"/>
  </r>
  <r>
    <x v="1"/>
    <s v="Convenience stores"/>
    <x v="7"/>
    <s v="Cibo italiano"/>
    <s v="|59/01/10|"/>
    <n v="1140"/>
    <n v="2.31"/>
    <n v="3.96"/>
  </r>
  <r>
    <x v="1"/>
    <s v="Convenience stores"/>
    <x v="7"/>
    <s v="Cibo italiano"/>
    <s v="|59/01/11|"/>
    <n v="1092"/>
    <n v="2.13"/>
    <n v="3.69"/>
  </r>
  <r>
    <x v="1"/>
    <s v="Convenience stores"/>
    <x v="7"/>
    <s v="Cibo italiano"/>
    <s v="|59/01/12|"/>
    <n v="660"/>
    <n v="2.12"/>
    <n v="3.45"/>
  </r>
  <r>
    <x v="1"/>
    <s v="Convenience stores"/>
    <x v="7"/>
    <s v="Cibo italiano"/>
    <s v="|59/01/13|"/>
    <n v="948"/>
    <n v="2.34"/>
    <n v="3.5"/>
  </r>
  <r>
    <x v="1"/>
    <s v="Convenience stores"/>
    <x v="7"/>
    <s v="Cibo italiano"/>
    <s v="|59/01/14|"/>
    <n v="1104"/>
    <n v="2.2799999999999998"/>
    <n v="3.82"/>
  </r>
  <r>
    <x v="1"/>
    <s v="Convenience stores"/>
    <x v="7"/>
    <s v="Cibo italiano"/>
    <s v="|59/01/15|"/>
    <n v="1188"/>
    <n v="2.52"/>
    <n v="3.25"/>
  </r>
  <r>
    <x v="1"/>
    <s v="Convenience stores"/>
    <x v="7"/>
    <s v="Cibo italiano"/>
    <s v="|59/01/16|"/>
    <n v="996"/>
    <n v="2.46"/>
    <n v="3.83"/>
  </r>
  <r>
    <x v="1"/>
    <s v="Convenience stores"/>
    <x v="7"/>
    <s v="Cibo italiano"/>
    <s v="|59/01/17|"/>
    <n v="1152"/>
    <n v="2.06"/>
    <n v="3.61"/>
  </r>
  <r>
    <x v="1"/>
    <s v="Convenience stores"/>
    <x v="7"/>
    <s v="Cibo italiano"/>
    <s v="|59/01/18|"/>
    <n v="1128"/>
    <n v="2.4300000000000002"/>
    <n v="3.37"/>
  </r>
  <r>
    <x v="1"/>
    <s v="Convenience stores"/>
    <x v="7"/>
    <s v="Cibo italiano"/>
    <s v="|59/01/19|"/>
    <n v="960"/>
    <n v="2.11"/>
    <n v="3.63"/>
  </r>
  <r>
    <x v="1"/>
    <s v="Convenience stores"/>
    <x v="7"/>
    <s v="Cibo italiano"/>
    <s v="|59/01/20|"/>
    <n v="816"/>
    <n v="2.99"/>
    <n v="3.5"/>
  </r>
  <r>
    <x v="1"/>
    <s v="Convenience stores"/>
    <x v="7"/>
    <s v="Cibo italiano"/>
    <s v="|59/01/21|"/>
    <n v="720"/>
    <n v="2.37"/>
    <n v="3.36"/>
  </r>
  <r>
    <x v="1"/>
    <s v="Convenience stores"/>
    <x v="7"/>
    <s v="Cibo italiano"/>
    <s v="|59/01/22|"/>
    <n v="936"/>
    <n v="2.15"/>
    <n v="3.73"/>
  </r>
  <r>
    <x v="1"/>
    <s v="Convenience stores"/>
    <x v="7"/>
    <s v="Cibo italiano"/>
    <s v="|59/01/23|"/>
    <n v="1164"/>
    <n v="2.64"/>
    <n v="3.49"/>
  </r>
  <r>
    <x v="1"/>
    <s v="Convenience stores"/>
    <x v="7"/>
    <s v="Cibo italiano"/>
    <s v="|59/01/24|"/>
    <n v="1200"/>
    <n v="2.0299999999999998"/>
    <n v="3.62"/>
  </r>
  <r>
    <x v="1"/>
    <s v="Convenience stores"/>
    <x v="7"/>
    <s v="Cibo italiano"/>
    <s v="|59/01/25|"/>
    <n v="600"/>
    <n v="2.44"/>
    <n v="3.45"/>
  </r>
  <r>
    <x v="1"/>
    <s v="Convenience stores"/>
    <x v="7"/>
    <s v="Cibo italiano"/>
    <s v="|59/01/26|"/>
    <n v="768"/>
    <n v="2.02"/>
    <n v="3.44"/>
  </r>
  <r>
    <x v="1"/>
    <s v="Convenience stores"/>
    <x v="7"/>
    <s v="Cibo italiano"/>
    <s v="|59/01/27|"/>
    <n v="792"/>
    <n v="2.7"/>
    <n v="3.53"/>
  </r>
  <r>
    <x v="1"/>
    <s v="Convenience stores"/>
    <x v="7"/>
    <s v="Cibo italiano"/>
    <s v="|59/01/28|"/>
    <n v="912"/>
    <n v="2.3199999999999998"/>
    <n v="3.26"/>
  </r>
  <r>
    <x v="1"/>
    <s v="Convenience stores"/>
    <x v="7"/>
    <s v="Cibo italiano"/>
    <s v="|59/01/29|"/>
    <n v="720"/>
    <n v="2.91"/>
    <n v="3.92"/>
  </r>
  <r>
    <x v="1"/>
    <s v="Convenience stores"/>
    <x v="7"/>
    <s v="Cibo italiano"/>
    <s v="|59/01/30|"/>
    <n v="672"/>
    <n v="2.25"/>
    <n v="3.42"/>
  </r>
  <r>
    <x v="1"/>
    <s v="Convenience stores"/>
    <x v="7"/>
    <s v="Cibo italiano"/>
    <s v="|59/01/31|"/>
    <n v="1152"/>
    <n v="2.4300000000000002"/>
    <n v="3.87"/>
  </r>
  <r>
    <x v="1"/>
    <s v="Convenience stores"/>
    <x v="7"/>
    <s v="Cibo italiano"/>
    <s v="|59/01/32|"/>
    <n v="768"/>
    <n v="2.16"/>
    <n v="3.3"/>
  </r>
  <r>
    <x v="1"/>
    <s v="Convenience stores"/>
    <x v="7"/>
    <s v="Cibo italiano"/>
    <s v="|59/01/33|"/>
    <n v="648"/>
    <n v="2.9"/>
    <n v="3.46"/>
  </r>
  <r>
    <x v="1"/>
    <s v="Convenience stores"/>
    <x v="7"/>
    <s v="Cibo italiano"/>
    <s v="|59/01/34|"/>
    <n v="612"/>
    <n v="2.36"/>
    <n v="3.74"/>
  </r>
  <r>
    <x v="1"/>
    <s v="Convenience stores"/>
    <x v="7"/>
    <s v="Cibo italiano"/>
    <s v="|59/01/35|"/>
    <n v="1152"/>
    <n v="2.93"/>
    <n v="3.79"/>
  </r>
  <r>
    <x v="1"/>
    <s v="Convenience stores"/>
    <x v="7"/>
    <s v="Cibo italiano"/>
    <s v="|59/01/36|"/>
    <n v="1152"/>
    <n v="2.09"/>
    <n v="3.95"/>
  </r>
  <r>
    <x v="1"/>
    <s v="Convenience stores"/>
    <x v="7"/>
    <s v="Cibo italiano"/>
    <s v="|59/01/37|"/>
    <n v="876"/>
    <n v="2.76"/>
    <n v="3.62"/>
  </r>
  <r>
    <x v="1"/>
    <s v="Convenience stores"/>
    <x v="7"/>
    <s v="Cibo italiano"/>
    <s v="|59/01/38|"/>
    <n v="840"/>
    <n v="2.42"/>
    <n v="3.42"/>
  </r>
  <r>
    <x v="1"/>
    <s v="Convenience stores"/>
    <x v="7"/>
    <s v="Cibo italiano"/>
    <s v="|59/01/39|"/>
    <n v="636"/>
    <n v="2.61"/>
    <n v="3.3"/>
  </r>
  <r>
    <x v="1"/>
    <s v="Convenience stores"/>
    <x v="7"/>
    <s v="Cibo italiano"/>
    <s v="|59/01/40|"/>
    <n v="708"/>
    <n v="2.04"/>
    <n v="3.76"/>
  </r>
  <r>
    <x v="1"/>
    <s v="Convenience stores"/>
    <x v="7"/>
    <s v="Cibo italiano"/>
    <s v="|59/01/41|"/>
    <n v="936"/>
    <n v="2.69"/>
    <n v="3.75"/>
  </r>
  <r>
    <x v="1"/>
    <s v="Convenience stores"/>
    <x v="7"/>
    <s v="Cibo italiano"/>
    <s v="|59/01/42|"/>
    <n v="660"/>
    <n v="2.23"/>
    <n v="3.36"/>
  </r>
  <r>
    <x v="1"/>
    <s v="Convenience stores"/>
    <x v="7"/>
    <s v="Cibo italiano"/>
    <s v="|59/01/43|"/>
    <n v="816"/>
    <n v="2.25"/>
    <n v="3.43"/>
  </r>
  <r>
    <x v="1"/>
    <s v="Convenience stores"/>
    <x v="7"/>
    <s v="Cibo italiano"/>
    <s v="|59/01/44|"/>
    <n v="684"/>
    <n v="2.46"/>
    <n v="3.55"/>
  </r>
  <r>
    <x v="1"/>
    <s v="Convenience stores"/>
    <x v="7"/>
    <s v="Cibo italiano"/>
    <s v="|59/01/45|"/>
    <n v="768"/>
    <n v="2.54"/>
    <n v="3.97"/>
  </r>
  <r>
    <x v="1"/>
    <s v="Convenience stores"/>
    <x v="7"/>
    <s v="Cibo italiano"/>
    <s v="|59/01/46|"/>
    <n v="840"/>
    <n v="2.4500000000000002"/>
    <n v="3.32"/>
  </r>
  <r>
    <x v="1"/>
    <s v="Convenience stores"/>
    <x v="7"/>
    <s v="Cibo italiano"/>
    <s v="|59/01/47|"/>
    <n v="612"/>
    <n v="2.72"/>
    <n v="3.23"/>
  </r>
  <r>
    <x v="1"/>
    <s v="Convenience stores"/>
    <x v="7"/>
    <s v="Cibo italiano"/>
    <s v="|59/01/48|"/>
    <n v="1020"/>
    <n v="2.67"/>
    <n v="3.83"/>
  </r>
  <r>
    <x v="1"/>
    <s v="Convenience stores"/>
    <x v="7"/>
    <s v="Cibo italiano"/>
    <s v="|59/01/49|"/>
    <n v="984"/>
    <n v="2.3199999999999998"/>
    <n v="3.29"/>
  </r>
  <r>
    <x v="1"/>
    <s v="Convenience stores"/>
    <x v="7"/>
    <s v="Cibo italiano"/>
    <s v="|59/01/50|"/>
    <n v="1104"/>
    <n v="2.8"/>
    <n v="3.77"/>
  </r>
  <r>
    <x v="1"/>
    <s v="Convenience stores"/>
    <x v="7"/>
    <s v="Cibo italiano"/>
    <s v="|59/01/51|"/>
    <n v="996"/>
    <n v="2.6"/>
    <n v="3.95"/>
  </r>
  <r>
    <x v="1"/>
    <s v="Convenience stores"/>
    <x v="7"/>
    <s v="Cibo italiano"/>
    <s v="|59/01/52|"/>
    <n v="948"/>
    <n v="2.77"/>
    <n v="3.47"/>
  </r>
  <r>
    <x v="1"/>
    <s v="Convenience stores"/>
    <x v="7"/>
    <s v="Cibo italiano"/>
    <s v="|59/01/53|"/>
    <n v="720"/>
    <n v="2.91"/>
    <n v="4"/>
  </r>
  <r>
    <x v="1"/>
    <s v="Convenience stores"/>
    <x v="7"/>
    <s v="Cibo italiano"/>
    <s v="|59/01/54|"/>
    <n v="1080"/>
    <n v="2.72"/>
    <n v="3.56"/>
  </r>
  <r>
    <x v="1"/>
    <s v="Convenience stores"/>
    <x v="7"/>
    <s v="Cibo italiano"/>
    <s v="|59/01/55|"/>
    <n v="828"/>
    <n v="2.52"/>
    <n v="3.42"/>
  </r>
  <r>
    <x v="1"/>
    <s v="Convenience stores"/>
    <x v="7"/>
    <s v="Cibo italiano"/>
    <s v="|59/01/56|"/>
    <n v="756"/>
    <n v="2.75"/>
    <n v="3.24"/>
  </r>
  <r>
    <x v="1"/>
    <s v="Convenience stores"/>
    <x v="7"/>
    <s v="Cibo italiano"/>
    <s v="|59/01/57|"/>
    <n v="624"/>
    <n v="2.67"/>
    <n v="3.3"/>
  </r>
  <r>
    <x v="1"/>
    <s v="Convenience stores"/>
    <x v="7"/>
    <s v="Cibo italiano"/>
    <s v="|59/01/58|"/>
    <n v="792"/>
    <n v="2.86"/>
    <n v="3.32"/>
  </r>
  <r>
    <x v="1"/>
    <s v="Convenience stores"/>
    <x v="7"/>
    <s v="Cibo italiano"/>
    <s v="|59/01/59|"/>
    <n v="1152"/>
    <n v="2.92"/>
    <n v="3.22"/>
  </r>
  <r>
    <x v="1"/>
    <s v="Convenience stores"/>
    <x v="7"/>
    <s v="Cibo italiano"/>
    <s v="|59/01/60|"/>
    <n v="1056"/>
    <n v="2.62"/>
    <n v="3.49"/>
  </r>
  <r>
    <x v="1"/>
    <s v="Convenience stores"/>
    <x v="7"/>
    <s v="Cibo italiano"/>
    <s v="|59/01/61|"/>
    <n v="1188"/>
    <n v="2.41"/>
    <n v="3.93"/>
  </r>
  <r>
    <x v="1"/>
    <s v="Convenience stores"/>
    <x v="7"/>
    <s v="Cibo italiano"/>
    <s v="|59/01/62|"/>
    <n v="816"/>
    <n v="2.13"/>
    <n v="3.34"/>
  </r>
  <r>
    <x v="1"/>
    <s v="Convenience stores"/>
    <x v="7"/>
    <s v="Cibo italiano"/>
    <s v="|59/01/63|"/>
    <n v="1200"/>
    <n v="2.98"/>
    <n v="3.38"/>
  </r>
  <r>
    <x v="1"/>
    <s v="Convenience stores"/>
    <x v="7"/>
    <s v="Cibo italiano"/>
    <s v="|59/01/64|"/>
    <n v="1116"/>
    <n v="2.42"/>
    <n v="3.32"/>
  </r>
  <r>
    <x v="1"/>
    <s v="Convenience stores"/>
    <x v="7"/>
    <s v="Cibo italiano"/>
    <s v="|59/01/65|"/>
    <n v="1140"/>
    <n v="2.83"/>
    <n v="3.35"/>
  </r>
  <r>
    <x v="1"/>
    <s v="Convenience stores"/>
    <x v="7"/>
    <s v="Cibo italiano"/>
    <s v="|59/01/66|"/>
    <n v="660"/>
    <n v="2.71"/>
    <n v="3.38"/>
  </r>
  <r>
    <x v="1"/>
    <s v="Convenience stores"/>
    <x v="7"/>
    <s v="Cibo italiano"/>
    <s v="|59/01/67|"/>
    <n v="828"/>
    <n v="2.72"/>
    <n v="3.78"/>
  </r>
  <r>
    <x v="1"/>
    <s v="Convenience stores"/>
    <x v="7"/>
    <s v="Cibo italiano"/>
    <s v="|59/01/68|"/>
    <n v="996"/>
    <n v="2.11"/>
    <n v="3.59"/>
  </r>
  <r>
    <x v="1"/>
    <s v="Convenience stores"/>
    <x v="7"/>
    <s v="Cibo italiano"/>
    <s v="|59/01/69|"/>
    <n v="600"/>
    <n v="2.37"/>
    <n v="3.34"/>
  </r>
  <r>
    <x v="1"/>
    <s v="Convenience stores"/>
    <x v="7"/>
    <s v="Cibo italiano"/>
    <s v="|59/02/01|"/>
    <n v="1056"/>
    <n v="2.4700000000000002"/>
    <n v="3.47"/>
  </r>
  <r>
    <x v="1"/>
    <s v="Convenience stores"/>
    <x v="7"/>
    <s v="Cibo italiano"/>
    <s v="|59/02/02|"/>
    <n v="780"/>
    <n v="2.25"/>
    <n v="3.63"/>
  </r>
  <r>
    <x v="1"/>
    <s v="Convenience stores"/>
    <x v="7"/>
    <s v="Cibo italiano"/>
    <s v="|59/02/03|"/>
    <n v="1176"/>
    <n v="2.74"/>
    <n v="3.27"/>
  </r>
  <r>
    <x v="1"/>
    <s v="Convenience stores"/>
    <x v="7"/>
    <s v="Cibo italiano"/>
    <s v="|59/02/04|"/>
    <n v="828"/>
    <n v="2.0499999999999998"/>
    <n v="3.37"/>
  </r>
  <r>
    <x v="1"/>
    <s v="Convenience stores"/>
    <x v="7"/>
    <s v="Cibo italiano"/>
    <s v="|59/02/05|"/>
    <n v="1164"/>
    <n v="2.52"/>
    <n v="3.82"/>
  </r>
  <r>
    <x v="1"/>
    <s v="Convenience stores"/>
    <x v="7"/>
    <s v="Cibo italiano"/>
    <s v="|59/02/06|"/>
    <n v="1044"/>
    <n v="2.0499999999999998"/>
    <n v="3.67"/>
  </r>
  <r>
    <x v="1"/>
    <s v="Convenience stores"/>
    <x v="7"/>
    <s v="Cibo italiano"/>
    <s v="|59/02/07|"/>
    <n v="1068"/>
    <n v="2.2599999999999998"/>
    <n v="3.5"/>
  </r>
  <r>
    <x v="1"/>
    <s v="Convenience stores"/>
    <x v="7"/>
    <s v="Cibo italiano"/>
    <s v="|59/02/08|"/>
    <n v="1056"/>
    <n v="2.2999999999999998"/>
    <n v="3.24"/>
  </r>
  <r>
    <x v="1"/>
    <s v="Convenience stores"/>
    <x v="7"/>
    <s v="Cibo italiano"/>
    <s v="|59/02/09|"/>
    <n v="600"/>
    <n v="2.13"/>
    <n v="3.3"/>
  </r>
  <r>
    <x v="1"/>
    <s v="Convenience stores"/>
    <x v="7"/>
    <s v="Cibo italiano"/>
    <s v="|59/02/10|"/>
    <n v="648"/>
    <n v="2.96"/>
    <n v="3.53"/>
  </r>
  <r>
    <x v="1"/>
    <s v="Convenience stores"/>
    <x v="7"/>
    <s v="Cibo italiano"/>
    <s v="|59/02/11|"/>
    <n v="924"/>
    <n v="2.65"/>
    <n v="3.34"/>
  </r>
  <r>
    <x v="1"/>
    <s v="Convenience stores"/>
    <x v="7"/>
    <s v="Cibo italiano"/>
    <s v="|59/02/12|"/>
    <n v="936"/>
    <n v="2.0099999999999998"/>
    <n v="3.25"/>
  </r>
  <r>
    <x v="1"/>
    <s v="Convenience stores"/>
    <x v="7"/>
    <s v="Cibo italiano"/>
    <s v="|59/02/13|"/>
    <n v="1044"/>
    <n v="2.9"/>
    <n v="3.88"/>
  </r>
  <r>
    <x v="1"/>
    <s v="Convenience stores"/>
    <x v="7"/>
    <s v="Cibo italiano"/>
    <s v="|59/02/14|"/>
    <n v="708"/>
    <n v="2.27"/>
    <n v="3.96"/>
  </r>
  <r>
    <x v="1"/>
    <s v="Convenience stores"/>
    <x v="7"/>
    <s v="Cibo italiano"/>
    <s v="|59/02/15|"/>
    <n v="1056"/>
    <n v="2.86"/>
    <n v="3.77"/>
  </r>
  <r>
    <x v="1"/>
    <s v="Convenience stores"/>
    <x v="7"/>
    <s v="Cibo italiano"/>
    <s v="|59/02/16|"/>
    <n v="888"/>
    <n v="2.84"/>
    <n v="3.41"/>
  </r>
  <r>
    <x v="1"/>
    <s v="Convenience stores"/>
    <x v="7"/>
    <s v="Cibo italiano"/>
    <s v="|59/02/17|"/>
    <n v="756"/>
    <n v="2.4900000000000002"/>
    <n v="3.21"/>
  </r>
  <r>
    <x v="1"/>
    <s v="Convenience stores"/>
    <x v="7"/>
    <s v="Cibo italiano"/>
    <s v="|59/02/18|"/>
    <n v="984"/>
    <n v="2.14"/>
    <n v="3.65"/>
  </r>
  <r>
    <x v="1"/>
    <s v="Convenience stores"/>
    <x v="7"/>
    <s v="Cibo italiano"/>
    <s v="|59/02/19|"/>
    <n v="936"/>
    <n v="2.97"/>
    <n v="3.91"/>
  </r>
  <r>
    <x v="1"/>
    <s v="Convenience stores"/>
    <x v="7"/>
    <s v="Cibo italiano"/>
    <s v="|59/02/20|"/>
    <n v="744"/>
    <n v="2.15"/>
    <n v="3.73"/>
  </r>
  <r>
    <x v="1"/>
    <s v="Convenience stores"/>
    <x v="7"/>
    <s v="Cibo italiano"/>
    <s v="|59/02/21|"/>
    <n v="648"/>
    <n v="2.8"/>
    <n v="3.57"/>
  </r>
  <r>
    <x v="1"/>
    <s v="Convenience stores"/>
    <x v="7"/>
    <s v="Cibo italiano"/>
    <s v="|59/02/22|"/>
    <n v="936"/>
    <n v="2.59"/>
    <n v="3.74"/>
  </r>
  <r>
    <x v="1"/>
    <s v="Convenience stores"/>
    <x v="7"/>
    <s v="Cibo italiano"/>
    <s v="|59/02/23|"/>
    <n v="1068"/>
    <n v="2.92"/>
    <n v="3.81"/>
  </r>
  <r>
    <x v="1"/>
    <s v="Convenience stores"/>
    <x v="7"/>
    <s v="Cibo italiano"/>
    <s v="|59/02/24|"/>
    <n v="1056"/>
    <n v="2.36"/>
    <n v="3.92"/>
  </r>
  <r>
    <x v="1"/>
    <s v="Convenience stores"/>
    <x v="7"/>
    <s v="Cibo italiano"/>
    <s v="|59/02/25|"/>
    <n v="780"/>
    <n v="2.2000000000000002"/>
    <n v="3.6"/>
  </r>
  <r>
    <x v="1"/>
    <s v="Convenience stores"/>
    <x v="7"/>
    <s v="Cibo italiano"/>
    <s v="|59/02/26|"/>
    <n v="1200"/>
    <n v="2.92"/>
    <n v="3.64"/>
  </r>
  <r>
    <x v="1"/>
    <s v="Convenience stores"/>
    <x v="7"/>
    <s v="Cibo italiano"/>
    <s v="|59/02/27|"/>
    <n v="648"/>
    <n v="2.76"/>
    <n v="3.65"/>
  </r>
  <r>
    <x v="1"/>
    <s v="Convenience stores"/>
    <x v="7"/>
    <s v="Cibo italiano"/>
    <s v="|59/02/28|"/>
    <n v="1044"/>
    <n v="2.5099999999999998"/>
    <n v="3.84"/>
  </r>
  <r>
    <x v="1"/>
    <s v="Convenience stores"/>
    <x v="7"/>
    <s v="Cibo italiano"/>
    <s v="|59/02/29|"/>
    <n v="1200"/>
    <n v="2.54"/>
    <n v="3.53"/>
  </r>
  <r>
    <x v="1"/>
    <s v="Convenience stores"/>
    <x v="7"/>
    <s v="Cibo italiano"/>
    <s v="|59/02/30|"/>
    <n v="924"/>
    <n v="2.0099999999999998"/>
    <n v="3.71"/>
  </r>
  <r>
    <x v="1"/>
    <s v="Convenience stores"/>
    <x v="7"/>
    <s v="Cibo italiano"/>
    <s v="|59/03/01|"/>
    <n v="648"/>
    <n v="2.84"/>
    <n v="3.63"/>
  </r>
  <r>
    <x v="1"/>
    <s v="Convenience stores"/>
    <x v="7"/>
    <s v="Cibo italiano"/>
    <s v="|59/03/02|"/>
    <n v="1080"/>
    <n v="2.1"/>
    <n v="3.96"/>
  </r>
  <r>
    <x v="1"/>
    <s v="Convenience stores"/>
    <x v="7"/>
    <s v="Cibo italiano"/>
    <s v="|59/03/03|"/>
    <n v="636"/>
    <n v="2.97"/>
    <n v="3.32"/>
  </r>
  <r>
    <x v="1"/>
    <s v="Convenience stores"/>
    <x v="7"/>
    <s v="Cibo italiano"/>
    <s v="|59/03/04|"/>
    <n v="684"/>
    <n v="2.85"/>
    <n v="3.44"/>
  </r>
  <r>
    <x v="1"/>
    <s v="Convenience stores"/>
    <x v="7"/>
    <s v="Cibo italiano"/>
    <s v="|59/03/05|"/>
    <n v="960"/>
    <n v="2.11"/>
    <n v="3.59"/>
  </r>
  <r>
    <x v="1"/>
    <s v="Convenience stores"/>
    <x v="7"/>
    <s v="Cibo italiano"/>
    <s v="|59/03/06|"/>
    <n v="1044"/>
    <n v="2.13"/>
    <n v="3.93"/>
  </r>
  <r>
    <x v="1"/>
    <s v="Convenience stores"/>
    <x v="7"/>
    <s v="Cibo italiano"/>
    <s v="|59/03/07|"/>
    <n v="1140"/>
    <n v="2.09"/>
    <n v="3.59"/>
  </r>
  <r>
    <x v="1"/>
    <s v="Convenience stores"/>
    <x v="7"/>
    <s v="Cibo italiano"/>
    <s v="|59/03/08|"/>
    <n v="600"/>
    <n v="2.1800000000000002"/>
    <n v="3.97"/>
  </r>
  <r>
    <x v="1"/>
    <s v="Convenience stores"/>
    <x v="5"/>
    <s v="Haribo"/>
    <s v="|121/01/01|"/>
    <n v="612"/>
    <n v="1.2"/>
    <n v="1.69"/>
  </r>
  <r>
    <x v="1"/>
    <s v="Convenience stores"/>
    <x v="5"/>
    <s v="Haribo"/>
    <s v="|121/01/02|"/>
    <n v="792"/>
    <n v="1.44"/>
    <n v="1.89"/>
  </r>
  <r>
    <x v="1"/>
    <s v="Convenience stores"/>
    <x v="5"/>
    <s v="Haribo"/>
    <s v="|121/01/03|"/>
    <n v="1104"/>
    <n v="1.37"/>
    <n v="1.79"/>
  </r>
  <r>
    <x v="1"/>
    <s v="Convenience stores"/>
    <x v="5"/>
    <s v="Haribo"/>
    <s v="|121/01/04|"/>
    <n v="768"/>
    <n v="1.26"/>
    <n v="1.69"/>
  </r>
  <r>
    <x v="1"/>
    <s v="Convenience stores"/>
    <x v="5"/>
    <s v="Haribo"/>
    <s v="|121/01/05|"/>
    <n v="1056"/>
    <n v="1.27"/>
    <n v="1.85"/>
  </r>
  <r>
    <x v="1"/>
    <s v="Convenience stores"/>
    <x v="5"/>
    <s v="Haribo"/>
    <s v="|121/01/06|"/>
    <n v="768"/>
    <n v="1.41"/>
    <n v="1.8"/>
  </r>
  <r>
    <x v="1"/>
    <s v="Convenience stores"/>
    <x v="5"/>
    <s v="Haribo"/>
    <s v="|121/01/07|"/>
    <n v="888"/>
    <n v="1.48"/>
    <n v="1.65"/>
  </r>
  <r>
    <x v="1"/>
    <s v="Convenience stores"/>
    <x v="5"/>
    <s v="Haribo"/>
    <s v="|121/01/08|"/>
    <n v="1200"/>
    <n v="1.38"/>
    <n v="1.67"/>
  </r>
  <r>
    <x v="1"/>
    <s v="Convenience stores"/>
    <x v="5"/>
    <s v="Haribo"/>
    <s v="|121/01/09|"/>
    <n v="792"/>
    <n v="1.31"/>
    <n v="1.8"/>
  </r>
  <r>
    <x v="1"/>
    <s v="Convenience stores"/>
    <x v="5"/>
    <s v="Haribo"/>
    <s v="|121/01/10|"/>
    <n v="588"/>
    <n v="1.38"/>
    <n v="1.79"/>
  </r>
  <r>
    <x v="1"/>
    <s v="Convenience stores"/>
    <x v="5"/>
    <s v="Haribo"/>
    <s v="|121/01/11|"/>
    <n v="1116"/>
    <n v="1.35"/>
    <n v="1.68"/>
  </r>
  <r>
    <x v="1"/>
    <s v="Convenience stores"/>
    <x v="5"/>
    <s v="Lindt"/>
    <s v="|74/01/01|"/>
    <n v="1128"/>
    <n v="1.2"/>
    <n v="1.65"/>
  </r>
  <r>
    <x v="1"/>
    <s v="Convenience stores"/>
    <x v="5"/>
    <s v="Lindt"/>
    <s v="|74/01/02|"/>
    <n v="1056"/>
    <n v="1.5"/>
    <n v="1.76"/>
  </r>
  <r>
    <x v="1"/>
    <s v="Convenience stores"/>
    <x v="5"/>
    <s v="Lindt"/>
    <s v="|74/01/03|"/>
    <n v="792"/>
    <n v="1.1100000000000001"/>
    <n v="1.71"/>
  </r>
  <r>
    <x v="1"/>
    <s v="Convenience stores"/>
    <x v="5"/>
    <s v="Lindt"/>
    <s v="|74/01/04|"/>
    <n v="756"/>
    <n v="1.32"/>
    <n v="1.85"/>
  </r>
  <r>
    <x v="1"/>
    <s v="Convenience stores"/>
    <x v="5"/>
    <s v="Lindt"/>
    <s v="|74/01/05|"/>
    <n v="948"/>
    <n v="1.26"/>
    <n v="1.87"/>
  </r>
  <r>
    <x v="1"/>
    <s v="Convenience stores"/>
    <x v="5"/>
    <s v="Lindt"/>
    <s v="|74/01/06|"/>
    <n v="1008"/>
    <n v="1.35"/>
    <n v="1.88"/>
  </r>
  <r>
    <x v="1"/>
    <s v="Convenience stores"/>
    <x v="5"/>
    <s v="Lindt"/>
    <s v="|74/02/01|"/>
    <n v="1104"/>
    <n v="1.35"/>
    <n v="1.62"/>
  </r>
  <r>
    <x v="1"/>
    <s v="Convenience stores"/>
    <x v="5"/>
    <s v="Lindt"/>
    <s v="|74/02/02|"/>
    <n v="1236"/>
    <n v="1.42"/>
    <n v="1.87"/>
  </r>
  <r>
    <x v="1"/>
    <s v="Convenience stores"/>
    <x v="5"/>
    <s v="Lindt"/>
    <s v="|74/02/03|"/>
    <n v="1308"/>
    <n v="1.17"/>
    <n v="1.67"/>
  </r>
  <r>
    <x v="1"/>
    <s v="Convenience stores"/>
    <x v="5"/>
    <s v="Lindt"/>
    <s v="|74/02/04|"/>
    <n v="1128"/>
    <n v="1.39"/>
    <n v="1.61"/>
  </r>
  <r>
    <x v="1"/>
    <s v="Convenience stores"/>
    <x v="5"/>
    <s v="Lindt"/>
    <s v="|74/02/05|"/>
    <n v="672"/>
    <n v="1.22"/>
    <n v="1.9"/>
  </r>
  <r>
    <x v="1"/>
    <s v="Convenience stores"/>
    <x v="5"/>
    <s v="Lindt"/>
    <s v="|74/02/06|"/>
    <n v="984"/>
    <n v="1.19"/>
    <n v="1.72"/>
  </r>
  <r>
    <x v="1"/>
    <s v="Convenience stores"/>
    <x v="5"/>
    <s v="Lindt"/>
    <s v="|74/02/07|"/>
    <n v="1248"/>
    <n v="1.34"/>
    <n v="1.63"/>
  </r>
  <r>
    <x v="1"/>
    <s v="Convenience stores"/>
    <x v="5"/>
    <s v="Lindt"/>
    <s v="|74/02/08|"/>
    <n v="1284"/>
    <n v="1.38"/>
    <n v="1.8"/>
  </r>
  <r>
    <x v="1"/>
    <s v="Convenience stores"/>
    <x v="5"/>
    <s v="Lindt"/>
    <s v="|74/02/09|"/>
    <n v="912"/>
    <n v="1.38"/>
    <n v="1.6"/>
  </r>
  <r>
    <x v="1"/>
    <s v="Convenience stores"/>
    <x v="5"/>
    <s v="Lindt"/>
    <s v="|74/02/10|"/>
    <n v="1224"/>
    <n v="1.46"/>
    <n v="1.88"/>
  </r>
  <r>
    <x v="1"/>
    <s v="Convenience stores"/>
    <x v="5"/>
    <s v="Lindt"/>
    <s v="|74/02/11|"/>
    <n v="780"/>
    <n v="1.24"/>
    <n v="1.83"/>
  </r>
  <r>
    <x v="1"/>
    <s v="Convenience stores"/>
    <x v="5"/>
    <s v="Lindt"/>
    <s v="|74/02/12|"/>
    <n v="948"/>
    <n v="1.44"/>
    <n v="1.79"/>
  </r>
  <r>
    <x v="1"/>
    <s v="Convenience stores"/>
    <x v="5"/>
    <s v="Lindt"/>
    <s v="|74/03/01|"/>
    <n v="1296"/>
    <n v="1.33"/>
    <n v="1.7"/>
  </r>
  <r>
    <x v="1"/>
    <s v="Convenience stores"/>
    <x v="5"/>
    <s v="Lindt"/>
    <s v="|74/03/02|"/>
    <n v="804"/>
    <n v="1.36"/>
    <n v="1.84"/>
  </r>
  <r>
    <x v="1"/>
    <s v="Convenience stores"/>
    <x v="5"/>
    <s v="Lindt"/>
    <s v="|74/03/03|"/>
    <n v="1308"/>
    <n v="1.28"/>
    <n v="1.8"/>
  </r>
  <r>
    <x v="1"/>
    <s v="Convenience stores"/>
    <x v="5"/>
    <s v="Lindt"/>
    <s v="|74/03/04|"/>
    <n v="588"/>
    <n v="1.1000000000000001"/>
    <n v="1.86"/>
  </r>
  <r>
    <x v="1"/>
    <s v="Convenience stores"/>
    <x v="5"/>
    <s v="Lindt"/>
    <s v="|74/04/01|"/>
    <n v="852"/>
    <n v="1.28"/>
    <n v="1.89"/>
  </r>
  <r>
    <x v="1"/>
    <s v="Convenience stores"/>
    <x v="5"/>
    <s v="Lindt"/>
    <s v="|74/05/01|"/>
    <n v="1008"/>
    <n v="1.1599999999999999"/>
    <n v="1.88"/>
  </r>
  <r>
    <x v="1"/>
    <s v="Convenience stores"/>
    <x v="5"/>
    <s v="Lindt"/>
    <s v="|74/05/02|"/>
    <n v="1152"/>
    <n v="1.1299999999999999"/>
    <n v="1.87"/>
  </r>
  <r>
    <x v="1"/>
    <s v="Convenience stores"/>
    <x v="5"/>
    <s v="Lindt"/>
    <s v="|74/06/00|"/>
    <n v="1248"/>
    <n v="1.42"/>
    <n v="1.75"/>
  </r>
  <r>
    <x v="1"/>
    <s v="Convenience stores"/>
    <x v="5"/>
    <s v="Lindt"/>
    <s v="|74/06/01|"/>
    <n v="1212"/>
    <n v="1.47"/>
    <n v="1.75"/>
  </r>
  <r>
    <x v="1"/>
    <s v="Convenience stores"/>
    <x v="5"/>
    <s v="Lindt"/>
    <s v="|74/06/02|"/>
    <n v="1128"/>
    <n v="1.1299999999999999"/>
    <n v="1.71"/>
  </r>
  <r>
    <x v="1"/>
    <s v="Convenience stores"/>
    <x v="5"/>
    <s v="Lindt"/>
    <s v="|74/06/03|"/>
    <n v="1092"/>
    <n v="1.1399999999999999"/>
    <n v="1.82"/>
  </r>
  <r>
    <x v="1"/>
    <s v="Convenience stores"/>
    <x v="5"/>
    <s v="Lindt"/>
    <s v="|74/06/04|"/>
    <n v="852"/>
    <n v="1.4"/>
    <n v="1.83"/>
  </r>
  <r>
    <x v="1"/>
    <s v="Convenience stores"/>
    <x v="5"/>
    <s v="Lindt"/>
    <s v="|74/06/05|"/>
    <n v="1224"/>
    <n v="1.49"/>
    <n v="1.84"/>
  </r>
  <r>
    <x v="1"/>
    <s v="Convenience stores"/>
    <x v="5"/>
    <s v="Lindt"/>
    <s v="|74/06/06|"/>
    <n v="1248"/>
    <n v="1.1100000000000001"/>
    <n v="1.83"/>
  </r>
  <r>
    <x v="1"/>
    <s v="Convenience stores"/>
    <x v="5"/>
    <s v="Lindt"/>
    <s v="|74/06/07|"/>
    <n v="1140"/>
    <n v="1.44"/>
    <n v="1.76"/>
  </r>
  <r>
    <x v="1"/>
    <s v="Convenience stores"/>
    <x v="5"/>
    <s v="Lindt"/>
    <s v="|74/06/08|"/>
    <n v="1224"/>
    <n v="1.23"/>
    <n v="1.7"/>
  </r>
  <r>
    <x v="1"/>
    <s v="Convenience stores"/>
    <x v="5"/>
    <s v="Lindt"/>
    <s v="|74/06/09|"/>
    <n v="732"/>
    <n v="1.27"/>
    <n v="1.75"/>
  </r>
  <r>
    <x v="1"/>
    <s v="Convenience stores"/>
    <x v="5"/>
    <s v="Lindt"/>
    <s v="|74/06/10|"/>
    <n v="840"/>
    <n v="1.1200000000000001"/>
    <n v="1.71"/>
  </r>
  <r>
    <x v="1"/>
    <s v="Convenience stores"/>
    <x v="5"/>
    <s v="Lindt"/>
    <s v="|74/06/11|"/>
    <n v="840"/>
    <n v="1.1000000000000001"/>
    <n v="1.88"/>
  </r>
  <r>
    <x v="1"/>
    <s v="Convenience stores"/>
    <x v="5"/>
    <s v="Lindt"/>
    <s v="|74/06/12|"/>
    <n v="708"/>
    <n v="1.43"/>
    <n v="1.65"/>
  </r>
  <r>
    <x v="1"/>
    <s v="Convenience stores"/>
    <x v="7"/>
    <s v="Maxi Fresh"/>
    <s v="|81/01/01|"/>
    <n v="912"/>
    <n v="2.1"/>
    <n v="3.62"/>
  </r>
  <r>
    <x v="1"/>
    <s v="Convenience stores"/>
    <x v="7"/>
    <s v="Maxi Fresh"/>
    <s v="|81/01/02|"/>
    <n v="840"/>
    <n v="2.14"/>
    <n v="3.2"/>
  </r>
  <r>
    <x v="1"/>
    <s v="Convenience stores"/>
    <x v="7"/>
    <s v="Maxi Fresh"/>
    <s v="|81/01/03|"/>
    <n v="1200"/>
    <n v="2.98"/>
    <n v="3.52"/>
  </r>
  <r>
    <x v="1"/>
    <s v="Convenience stores"/>
    <x v="7"/>
    <s v="Maxi Fresh"/>
    <s v="|81/01/04|"/>
    <n v="1056"/>
    <n v="2.69"/>
    <n v="3.51"/>
  </r>
  <r>
    <x v="1"/>
    <s v="Convenience stores"/>
    <x v="7"/>
    <s v="Maxi Fresh"/>
    <s v="|81/01/05|"/>
    <n v="744"/>
    <n v="2"/>
    <n v="3.61"/>
  </r>
  <r>
    <x v="1"/>
    <s v="Convenience stores"/>
    <x v="7"/>
    <s v="Maxi Fresh"/>
    <s v="|81/01/06|"/>
    <n v="756"/>
    <n v="2.68"/>
    <n v="3.93"/>
  </r>
  <r>
    <x v="1"/>
    <s v="Convenience stores"/>
    <x v="7"/>
    <s v="Maxi Fresh"/>
    <s v="|81/01/07|"/>
    <n v="1092"/>
    <n v="2.68"/>
    <n v="3.78"/>
  </r>
  <r>
    <x v="1"/>
    <s v="Convenience stores"/>
    <x v="7"/>
    <s v="Maxi Fresh"/>
    <s v="|81/01/08|"/>
    <n v="1164"/>
    <n v="2.04"/>
    <n v="3.92"/>
  </r>
  <r>
    <x v="1"/>
    <s v="Convenience stores"/>
    <x v="7"/>
    <s v="Maxi Fresh"/>
    <s v="|81/01/09|"/>
    <n v="1044"/>
    <n v="2.11"/>
    <n v="3.28"/>
  </r>
  <r>
    <x v="1"/>
    <s v="Convenience stores"/>
    <x v="7"/>
    <s v="Maxi Fresh"/>
    <s v="|81/01/10|"/>
    <n v="1116"/>
    <n v="2.85"/>
    <n v="3.33"/>
  </r>
  <r>
    <x v="1"/>
    <s v="Convenience stores"/>
    <x v="7"/>
    <s v="Maxi Fresh"/>
    <s v="|81/01/11|"/>
    <n v="624"/>
    <n v="2.82"/>
    <n v="3.71"/>
  </r>
  <r>
    <x v="1"/>
    <s v="Convenience stores"/>
    <x v="7"/>
    <s v="Maxi Fresh"/>
    <s v="|81/01/12|"/>
    <n v="1140"/>
    <n v="2.62"/>
    <n v="3.82"/>
  </r>
  <r>
    <x v="1"/>
    <s v="Convenience stores"/>
    <x v="7"/>
    <s v="Maxi Fresh"/>
    <s v="|81/01/13|"/>
    <n v="1080"/>
    <n v="2.88"/>
    <n v="3.53"/>
  </r>
  <r>
    <x v="1"/>
    <s v="Convenience stores"/>
    <x v="7"/>
    <s v="Maxi Fresh"/>
    <s v="|81/01/14|"/>
    <n v="768"/>
    <n v="2.61"/>
    <n v="3.78"/>
  </r>
  <r>
    <x v="1"/>
    <s v="Convenience stores"/>
    <x v="7"/>
    <s v="Maxi Fresh"/>
    <s v="|81/01/15|"/>
    <n v="984"/>
    <n v="2.17"/>
    <n v="3.4"/>
  </r>
  <r>
    <x v="1"/>
    <s v="Convenience stores"/>
    <x v="7"/>
    <s v="Maxi Fresh"/>
    <s v="|81/01/16|"/>
    <n v="984"/>
    <n v="2.34"/>
    <n v="3.32"/>
  </r>
  <r>
    <x v="1"/>
    <s v="Convenience stores"/>
    <x v="7"/>
    <s v="Maxi Fresh"/>
    <s v="|81/01/17|"/>
    <n v="1164"/>
    <n v="2.4"/>
    <n v="3.72"/>
  </r>
  <r>
    <x v="1"/>
    <s v="Convenience stores"/>
    <x v="7"/>
    <s v="Maxi Fresh"/>
    <s v="|81/01/18|"/>
    <n v="696"/>
    <n v="2.75"/>
    <n v="3.48"/>
  </r>
  <r>
    <x v="1"/>
    <s v="Convenience stores"/>
    <x v="7"/>
    <s v="Maxi Fresh"/>
    <s v="|81/01/19|"/>
    <n v="1044"/>
    <n v="2.0699999999999998"/>
    <n v="3.74"/>
  </r>
  <r>
    <x v="1"/>
    <s v="Convenience stores"/>
    <x v="7"/>
    <s v="Maxi Fresh"/>
    <s v="|81/01/20|"/>
    <n v="828"/>
    <n v="2.54"/>
    <n v="3.47"/>
  </r>
  <r>
    <x v="1"/>
    <s v="Convenience stores"/>
    <x v="7"/>
    <s v="Maxi Fresh"/>
    <s v="|81/01/21|"/>
    <n v="828"/>
    <n v="2.23"/>
    <n v="3.56"/>
  </r>
  <r>
    <x v="1"/>
    <s v="Convenience stores"/>
    <x v="7"/>
    <s v="Maxi Fresh"/>
    <s v="|81/01/22|"/>
    <n v="660"/>
    <n v="2.2799999999999998"/>
    <n v="3.76"/>
  </r>
  <r>
    <x v="1"/>
    <s v="Convenience stores"/>
    <x v="7"/>
    <s v="Maxi Fresh"/>
    <s v="|81/01/23|"/>
    <n v="828"/>
    <n v="2.14"/>
    <n v="3.22"/>
  </r>
  <r>
    <x v="1"/>
    <s v="Convenience stores"/>
    <x v="7"/>
    <s v="Maxi Fresh"/>
    <s v="|81/01/24|"/>
    <n v="648"/>
    <n v="2.29"/>
    <n v="3.82"/>
  </r>
  <r>
    <x v="1"/>
    <s v="Convenience stores"/>
    <x v="7"/>
    <s v="Maxi Fresh"/>
    <s v="|81/01/25|"/>
    <n v="1068"/>
    <n v="2.5499999999999998"/>
    <n v="3.27"/>
  </r>
  <r>
    <x v="1"/>
    <s v="Convenience stores"/>
    <x v="7"/>
    <s v="Maxi Fresh"/>
    <s v="|81/01/26|"/>
    <n v="612"/>
    <n v="2.95"/>
    <n v="3.86"/>
  </r>
  <r>
    <x v="1"/>
    <s v="Convenience stores"/>
    <x v="7"/>
    <s v="Maxi Fresh"/>
    <s v="|81/01/27|"/>
    <n v="1104"/>
    <n v="2.5499999999999998"/>
    <n v="3.73"/>
  </r>
  <r>
    <x v="1"/>
    <s v="Convenience stores"/>
    <x v="7"/>
    <s v="Maxi Fresh"/>
    <s v="|81/01/28|"/>
    <n v="864"/>
    <n v="2.0699999999999998"/>
    <n v="4"/>
  </r>
  <r>
    <x v="1"/>
    <s v="Convenience stores"/>
    <x v="7"/>
    <s v="Maxi Fresh"/>
    <s v="|81/01/29|"/>
    <n v="720"/>
    <n v="2.9"/>
    <n v="3.27"/>
  </r>
  <r>
    <x v="1"/>
    <s v="Convenience stores"/>
    <x v="7"/>
    <s v="Maxi Fresh"/>
    <s v="|81/01/30|"/>
    <n v="804"/>
    <n v="2.16"/>
    <n v="3.57"/>
  </r>
  <r>
    <x v="1"/>
    <s v="Convenience stores"/>
    <x v="7"/>
    <s v="Maxi Fresh"/>
    <s v="|81/01/31|"/>
    <n v="972"/>
    <n v="2.69"/>
    <n v="3.91"/>
  </r>
  <r>
    <x v="1"/>
    <s v="Convenience stores"/>
    <x v="7"/>
    <s v="Maxi Fresh"/>
    <s v="|81/01/32|"/>
    <n v="600"/>
    <n v="2.5"/>
    <n v="3.51"/>
  </r>
  <r>
    <x v="1"/>
    <s v="Convenience stores"/>
    <x v="7"/>
    <s v="Maxi Fresh"/>
    <s v="|81/01/33|"/>
    <n v="912"/>
    <n v="2.64"/>
    <n v="3.82"/>
  </r>
  <r>
    <x v="1"/>
    <s v="Convenience stores"/>
    <x v="7"/>
    <s v="Maxi Fresh"/>
    <s v="|81/01/34|"/>
    <n v="672"/>
    <n v="2.52"/>
    <n v="3.98"/>
  </r>
  <r>
    <x v="1"/>
    <s v="Convenience stores"/>
    <x v="7"/>
    <s v="Maxi Fresh"/>
    <s v="|81/01/35|"/>
    <n v="660"/>
    <n v="2.52"/>
    <n v="3.99"/>
  </r>
  <r>
    <x v="1"/>
    <s v="Convenience stores"/>
    <x v="7"/>
    <s v="Maxi Fresh"/>
    <s v="|81/01/36|"/>
    <n v="756"/>
    <n v="2.93"/>
    <n v="3.26"/>
  </r>
  <r>
    <x v="1"/>
    <s v="Convenience stores"/>
    <x v="7"/>
    <s v="Maxi Fresh"/>
    <s v="|81/01/37|"/>
    <n v="996"/>
    <n v="2.5299999999999998"/>
    <n v="3.71"/>
  </r>
  <r>
    <x v="1"/>
    <s v="Convenience stores"/>
    <x v="7"/>
    <s v="Maxi Fresh"/>
    <s v="|81/01/38|"/>
    <n v="1164"/>
    <n v="2.2200000000000002"/>
    <n v="3.26"/>
  </r>
  <r>
    <x v="1"/>
    <s v="Convenience stores"/>
    <x v="7"/>
    <s v="Maxi Fresh"/>
    <s v="|81/01/39|"/>
    <n v="660"/>
    <n v="2.67"/>
    <n v="3.92"/>
  </r>
  <r>
    <x v="1"/>
    <s v="Convenience stores"/>
    <x v="7"/>
    <s v="Maxi Fresh"/>
    <s v="|81/01/40|"/>
    <n v="936"/>
    <n v="2.11"/>
    <n v="3.6"/>
  </r>
  <r>
    <x v="1"/>
    <s v="Convenience stores"/>
    <x v="7"/>
    <s v="Maxi Fresh"/>
    <s v="|81/01/41|"/>
    <n v="828"/>
    <n v="2.41"/>
    <n v="3.35"/>
  </r>
  <r>
    <x v="1"/>
    <s v="Convenience stores"/>
    <x v="7"/>
    <s v="Maxi Fresh"/>
    <s v="|81/01/42|"/>
    <n v="1080"/>
    <n v="2.74"/>
    <n v="3.43"/>
  </r>
  <r>
    <x v="1"/>
    <s v="Convenience stores"/>
    <x v="7"/>
    <s v="Maxi Fresh"/>
    <s v="|81/01/43|"/>
    <n v="732"/>
    <n v="2.87"/>
    <n v="3.82"/>
  </r>
  <r>
    <x v="1"/>
    <s v="Convenience stores"/>
    <x v="7"/>
    <s v="Maxi Fresh"/>
    <s v="|81/01/44|"/>
    <n v="684"/>
    <n v="2.8"/>
    <n v="3.88"/>
  </r>
  <r>
    <x v="1"/>
    <s v="Convenience stores"/>
    <x v="7"/>
    <s v="Maxi Fresh"/>
    <s v="|81/01/45|"/>
    <n v="720"/>
    <n v="2.44"/>
    <n v="3.68"/>
  </r>
  <r>
    <x v="1"/>
    <s v="Convenience stores"/>
    <x v="7"/>
    <s v="Maxi Fresh"/>
    <s v="|81/01/46|"/>
    <n v="624"/>
    <n v="2.33"/>
    <n v="3.62"/>
  </r>
  <r>
    <x v="1"/>
    <s v="Convenience stores"/>
    <x v="7"/>
    <s v="Maxi Fresh"/>
    <s v="|81/01/47|"/>
    <n v="744"/>
    <n v="2.6"/>
    <n v="3.45"/>
  </r>
  <r>
    <x v="1"/>
    <s v="Convenience stores"/>
    <x v="7"/>
    <s v="Maxi Fresh"/>
    <s v="|81/01/48|"/>
    <n v="696"/>
    <n v="2"/>
    <n v="3.31"/>
  </r>
  <r>
    <x v="1"/>
    <s v="Convenience stores"/>
    <x v="7"/>
    <s v="Maxi Fresh"/>
    <s v="|81/01/49|"/>
    <n v="876"/>
    <n v="2.81"/>
    <n v="3.59"/>
  </r>
  <r>
    <x v="1"/>
    <s v="Convenience stores"/>
    <x v="7"/>
    <s v="Maxi Fresh"/>
    <s v="|81/01/80|"/>
    <n v="768"/>
    <n v="2.68"/>
    <n v="3.79"/>
  </r>
  <r>
    <x v="1"/>
    <s v="Convenience stores"/>
    <x v="7"/>
    <s v="Maxi Fresh"/>
    <s v="|81/01/81|"/>
    <n v="1116"/>
    <n v="2.9"/>
    <n v="3.61"/>
  </r>
  <r>
    <x v="1"/>
    <s v="Convenience stores"/>
    <x v="7"/>
    <s v="Maxi Fresh"/>
    <s v="|81/01/82|"/>
    <n v="912"/>
    <n v="2.69"/>
    <n v="3.28"/>
  </r>
  <r>
    <x v="1"/>
    <s v="Convenience stores"/>
    <x v="7"/>
    <s v="Maxi Fresh"/>
    <s v="|81/01/83|"/>
    <n v="780"/>
    <n v="2.34"/>
    <n v="3.43"/>
  </r>
  <r>
    <x v="1"/>
    <s v="Convenience stores"/>
    <x v="7"/>
    <s v="Maxi Fresh"/>
    <s v="|81/01/84|"/>
    <n v="792"/>
    <n v="2.11"/>
    <n v="3.35"/>
  </r>
  <r>
    <x v="1"/>
    <s v="Convenience stores"/>
    <x v="7"/>
    <s v="Maxi Fresh"/>
    <s v="|81/01/85|"/>
    <n v="864"/>
    <n v="2.44"/>
    <n v="3.4"/>
  </r>
  <r>
    <x v="1"/>
    <s v="Convenience stores"/>
    <x v="7"/>
    <s v="Maxi Fresh"/>
    <s v="|81/02/01|"/>
    <n v="684"/>
    <n v="2.76"/>
    <n v="3.83"/>
  </r>
  <r>
    <x v="1"/>
    <s v="Convenience stores"/>
    <x v="7"/>
    <s v="Maxi Fresh"/>
    <s v="|81/02/02|"/>
    <n v="708"/>
    <n v="2.16"/>
    <n v="3.42"/>
  </r>
  <r>
    <x v="1"/>
    <s v="Convenience stores"/>
    <x v="7"/>
    <s v="Maxi Fresh"/>
    <s v="|81/02/03|"/>
    <n v="1080"/>
    <n v="2.31"/>
    <n v="3.71"/>
  </r>
  <r>
    <x v="1"/>
    <s v="Convenience stores"/>
    <x v="7"/>
    <s v="Maxi Fresh"/>
    <s v="|81/02/04|"/>
    <n v="648"/>
    <n v="2.44"/>
    <n v="3.74"/>
  </r>
  <r>
    <x v="1"/>
    <s v="Convenience stores"/>
    <x v="7"/>
    <s v="Maxi Fresh"/>
    <s v="|81/02/05|"/>
    <n v="888"/>
    <n v="2.1"/>
    <n v="3.6"/>
  </r>
  <r>
    <x v="1"/>
    <s v="Convenience stores"/>
    <x v="7"/>
    <s v="Maxi Fresh"/>
    <s v="|81/02/07|"/>
    <n v="1176"/>
    <n v="2.4500000000000002"/>
    <n v="3.6"/>
  </r>
  <r>
    <x v="1"/>
    <s v="Convenience stores"/>
    <x v="10"/>
    <s v="Wild West"/>
    <s v="|30/02/00|"/>
    <n v="408"/>
    <n v="3.28"/>
    <n v="5.94"/>
  </r>
  <r>
    <x v="1"/>
    <s v="Convenience stores"/>
    <x v="10"/>
    <s v="Wild West"/>
    <s v="|30/02/01|"/>
    <n v="372"/>
    <n v="4.29"/>
    <n v="5.6"/>
  </r>
  <r>
    <x v="1"/>
    <s v="Convenience stores"/>
    <x v="10"/>
    <s v="Wild West"/>
    <s v="|30/02/02|"/>
    <n v="396"/>
    <n v="3.74"/>
    <n v="6.92"/>
  </r>
  <r>
    <x v="1"/>
    <s v="Convenience stores"/>
    <x v="10"/>
    <s v="Wild West"/>
    <s v="|30/02/03|"/>
    <n v="492"/>
    <n v="3.82"/>
    <n v="6.47"/>
  </r>
  <r>
    <x v="1"/>
    <s v="Convenience stores"/>
    <x v="10"/>
    <s v="Wild West"/>
    <s v="|30/02/04|"/>
    <n v="540"/>
    <n v="4.8600000000000003"/>
    <n v="6.66"/>
  </r>
  <r>
    <x v="1"/>
    <s v="Convenience stores"/>
    <x v="10"/>
    <s v="Wild West"/>
    <s v="|30/02/05|"/>
    <n v="504"/>
    <n v="4.6500000000000004"/>
    <n v="5.53"/>
  </r>
  <r>
    <x v="1"/>
    <s v="Convenience stores"/>
    <x v="10"/>
    <s v="Wild West"/>
    <s v="|30/02/06|"/>
    <n v="516"/>
    <n v="3.87"/>
    <n v="5.52"/>
  </r>
  <r>
    <x v="1"/>
    <s v="Convenience stores"/>
    <x v="10"/>
    <s v="Wild West"/>
    <s v="|30/02/07|"/>
    <n v="480"/>
    <n v="4.6100000000000003"/>
    <n v="6.96"/>
  </r>
  <r>
    <x v="1"/>
    <s v="Convenience stores"/>
    <x v="10"/>
    <s v="Wild West"/>
    <s v="|30/02/09|"/>
    <n v="504"/>
    <n v="4.2"/>
    <n v="5.21"/>
  </r>
  <r>
    <x v="1"/>
    <s v="Convenience stores"/>
    <x v="10"/>
    <s v="Wild West"/>
    <s v="|30/02/89|"/>
    <n v="432"/>
    <n v="3.98"/>
    <n v="5.67"/>
  </r>
  <r>
    <x v="1"/>
    <s v="Convenience stores"/>
    <x v="10"/>
    <s v="Wild West"/>
    <s v="|30/02/90|"/>
    <n v="504"/>
    <n v="4.3600000000000003"/>
    <n v="5.7"/>
  </r>
  <r>
    <x v="1"/>
    <s v="Convenience stores"/>
    <x v="10"/>
    <s v="Wild West"/>
    <s v="|30/02/91|"/>
    <n v="456"/>
    <n v="4.22"/>
    <n v="6.45"/>
  </r>
  <r>
    <x v="1"/>
    <s v="Convenience stores"/>
    <x v="10"/>
    <s v="Wild West"/>
    <s v="|30/02/99|"/>
    <n v="528"/>
    <n v="4.45"/>
    <n v="5.0999999999999996"/>
  </r>
  <r>
    <x v="1"/>
    <s v="Convenience stores"/>
    <x v="10"/>
    <s v="Wild West"/>
    <s v="|30/03/01|"/>
    <n v="528"/>
    <n v="3.3"/>
    <n v="6.61"/>
  </r>
  <r>
    <x v="1"/>
    <s v="Convenience stores"/>
    <x v="10"/>
    <s v="Wild West"/>
    <s v="|30/03/02|"/>
    <n v="516"/>
    <n v="3.25"/>
    <n v="5.56"/>
  </r>
  <r>
    <x v="1"/>
    <s v="Convenience stores"/>
    <x v="10"/>
    <s v="Wild West"/>
    <s v="|30/03/03|"/>
    <n v="420"/>
    <n v="3.45"/>
    <n v="6.61"/>
  </r>
  <r>
    <x v="1"/>
    <s v="Convenience stores"/>
    <x v="10"/>
    <s v="Wild West"/>
    <s v="|30/03/05|"/>
    <n v="384"/>
    <n v="3.04"/>
    <n v="5.9"/>
  </r>
  <r>
    <x v="1"/>
    <s v="Convenience stores"/>
    <x v="10"/>
    <s v="Wild West"/>
    <s v="|30/03/06|"/>
    <n v="516"/>
    <n v="4.16"/>
    <n v="6.07"/>
  </r>
  <r>
    <x v="1"/>
    <s v="Convenience stores"/>
    <x v="10"/>
    <s v="Wild West"/>
    <s v="|30/03/07|"/>
    <n v="480"/>
    <n v="3.21"/>
    <n v="5.0599999999999996"/>
  </r>
  <r>
    <x v="1"/>
    <s v="Convenience stores"/>
    <x v="10"/>
    <s v="Wild West"/>
    <s v="|30/03/08|"/>
    <n v="480"/>
    <n v="4.41"/>
    <n v="6.85"/>
  </r>
  <r>
    <x v="1"/>
    <s v="Convenience stores"/>
    <x v="10"/>
    <s v="Wild West"/>
    <s v="|30/04/01|"/>
    <n v="480"/>
    <n v="4.9800000000000004"/>
    <n v="5.76"/>
  </r>
  <r>
    <x v="1"/>
    <s v="Convenience stores"/>
    <x v="10"/>
    <s v="Wild West"/>
    <s v="|30/04/02|"/>
    <n v="528"/>
    <n v="3.94"/>
    <n v="6.37"/>
  </r>
  <r>
    <x v="1"/>
    <s v="Convenience stores"/>
    <x v="10"/>
    <s v="Wild West"/>
    <s v="|30/05/01|"/>
    <n v="396"/>
    <n v="4.75"/>
    <n v="5.9"/>
  </r>
  <r>
    <x v="1"/>
    <s v="Convenience stores"/>
    <x v="10"/>
    <s v="Wild West"/>
    <s v="|30/05/02|"/>
    <n v="540"/>
    <n v="4.21"/>
    <n v="5.32"/>
  </r>
  <r>
    <x v="1"/>
    <s v="Convenience stores"/>
    <x v="10"/>
    <s v="Wild West"/>
    <s v="|30/05/03|"/>
    <n v="528"/>
    <n v="3.78"/>
    <n v="6.1"/>
  </r>
  <r>
    <x v="1"/>
    <s v="Convenience stores"/>
    <x v="10"/>
    <s v="Wild West"/>
    <s v="|30/05/04|"/>
    <n v="528"/>
    <n v="4.8"/>
    <n v="5.52"/>
  </r>
  <r>
    <x v="1"/>
    <s v="Convenience stores"/>
    <x v="10"/>
    <s v="Wild West"/>
    <s v="|30/05/06|"/>
    <n v="480"/>
    <n v="3.09"/>
    <n v="6.15"/>
  </r>
  <r>
    <x v="1"/>
    <s v="Convenience stores"/>
    <x v="10"/>
    <s v="Wild West"/>
    <s v="|30/05/07|"/>
    <n v="420"/>
    <n v="4.99"/>
    <n v="5.48"/>
  </r>
  <r>
    <x v="1"/>
    <s v="Convenience stores"/>
    <x v="10"/>
    <s v="Wild West"/>
    <s v="|30/06/01|"/>
    <n v="540"/>
    <n v="4.5599999999999996"/>
    <n v="6.35"/>
  </r>
  <r>
    <x v="1"/>
    <s v="Convenience stores"/>
    <x v="10"/>
    <s v="Wild West"/>
    <s v="|30/06/02|"/>
    <n v="360"/>
    <n v="3.01"/>
    <n v="6.74"/>
  </r>
  <r>
    <x v="1"/>
    <s v="Convenience stores"/>
    <x v="3"/>
    <s v="Capy"/>
    <s v="|98/01/01|"/>
    <n v="108"/>
    <n v="1.02"/>
    <n v="1.22"/>
  </r>
  <r>
    <x v="1"/>
    <s v="Convenience stores"/>
    <x v="10"/>
    <s v="Palmera"/>
    <s v="|91/00/01|"/>
    <n v="360"/>
    <n v="3.23"/>
    <n v="5.19"/>
  </r>
  <r>
    <x v="1"/>
    <s v="Convenience stores"/>
    <x v="10"/>
    <s v="Palmera"/>
    <s v="|91/00/02|"/>
    <n v="384"/>
    <n v="4.24"/>
    <n v="6.38"/>
  </r>
  <r>
    <x v="1"/>
    <s v="Convenience stores"/>
    <x v="10"/>
    <s v="Palmera"/>
    <s v="|91/00/03|"/>
    <n v="456"/>
    <n v="3.42"/>
    <n v="6.38"/>
  </r>
  <r>
    <x v="1"/>
    <s v="Convenience stores"/>
    <x v="10"/>
    <s v="Palmera"/>
    <s v="|91/00/04|"/>
    <n v="432"/>
    <n v="3.24"/>
    <n v="6.79"/>
  </r>
  <r>
    <x v="1"/>
    <s v="Convenience stores"/>
    <x v="10"/>
    <s v="Palmera"/>
    <s v="|91/00/05|"/>
    <n v="528"/>
    <n v="3.33"/>
    <n v="6.73"/>
  </r>
  <r>
    <x v="1"/>
    <s v="Convenience stores"/>
    <x v="10"/>
    <s v="Palmera"/>
    <s v="|91/00/06|"/>
    <n v="372"/>
    <n v="4.3499999999999996"/>
    <n v="6.76"/>
  </r>
  <r>
    <x v="1"/>
    <s v="Convenience stores"/>
    <x v="10"/>
    <s v="Palmera"/>
    <s v="|91/00/07|"/>
    <n v="408"/>
    <n v="3.15"/>
    <n v="6.14"/>
  </r>
  <r>
    <x v="1"/>
    <s v="Convenience stores"/>
    <x v="10"/>
    <s v="Palmera"/>
    <s v="|91/00/08|"/>
    <n v="444"/>
    <n v="3.97"/>
    <n v="5.25"/>
  </r>
  <r>
    <x v="1"/>
    <s v="Convenience stores"/>
    <x v="10"/>
    <s v="Palmera"/>
    <s v="|91/00/09|"/>
    <n v="480"/>
    <n v="4.2699999999999996"/>
    <n v="5.39"/>
  </r>
  <r>
    <x v="1"/>
    <s v="Convenience stores"/>
    <x v="10"/>
    <s v="Palmera"/>
    <s v="|91/00/10|"/>
    <n v="528"/>
    <n v="4.5999999999999996"/>
    <n v="5.31"/>
  </r>
  <r>
    <x v="1"/>
    <s v="Convenience stores"/>
    <x v="10"/>
    <s v="Palmera"/>
    <s v="|91/00/11|"/>
    <n v="468"/>
    <n v="3.35"/>
    <n v="5.04"/>
  </r>
  <r>
    <x v="1"/>
    <s v="Convenience stores"/>
    <x v="10"/>
    <s v="Palmera"/>
    <s v="|91/00/12|"/>
    <n v="516"/>
    <n v="4.67"/>
    <n v="6.58"/>
  </r>
  <r>
    <x v="1"/>
    <s v="Convenience stores"/>
    <x v="10"/>
    <s v="Palmera"/>
    <s v="|91/00/13|"/>
    <n v="360"/>
    <n v="3.05"/>
    <n v="5.84"/>
  </r>
  <r>
    <x v="1"/>
    <s v="Convenience stores"/>
    <x v="10"/>
    <s v="Palmera"/>
    <s v="|91/00/14|"/>
    <n v="408"/>
    <n v="3.81"/>
    <n v="6.03"/>
  </r>
  <r>
    <x v="1"/>
    <s v="Convenience stores"/>
    <x v="10"/>
    <s v="Palmera"/>
    <s v="|91/00/15|"/>
    <n v="396"/>
    <n v="3.68"/>
    <n v="5.15"/>
  </r>
  <r>
    <x v="1"/>
    <s v="Convenience stores"/>
    <x v="10"/>
    <s v="Palmera"/>
    <s v="|91/00/16|"/>
    <n v="480"/>
    <n v="3.94"/>
    <n v="5"/>
  </r>
  <r>
    <x v="1"/>
    <s v="Convenience stores"/>
    <x v="10"/>
    <s v="Palmera"/>
    <s v="|91/00/17|"/>
    <n v="516"/>
    <n v="3.3"/>
    <n v="5.31"/>
  </r>
  <r>
    <x v="1"/>
    <s v="Convenience stores"/>
    <x v="10"/>
    <s v="Palmera"/>
    <s v="|91/00/18|"/>
    <n v="384"/>
    <n v="3.69"/>
    <n v="5.75"/>
  </r>
  <r>
    <x v="1"/>
    <s v="Convenience stores"/>
    <x v="10"/>
    <s v="Palmera"/>
    <s v="|91/00/19|"/>
    <n v="504"/>
    <n v="4.08"/>
    <n v="5.69"/>
  </r>
  <r>
    <x v="1"/>
    <s v="Convenience stores"/>
    <x v="10"/>
    <s v="Palmera"/>
    <s v="|91/00/20|"/>
    <n v="372"/>
    <n v="4.3099999999999996"/>
    <n v="5.44"/>
  </r>
  <r>
    <x v="1"/>
    <s v="Hypermarkets"/>
    <x v="13"/>
    <s v="President"/>
    <s v="|32/01/01|"/>
    <n v="516"/>
    <n v="2.13"/>
    <n v="3.19"/>
  </r>
  <r>
    <x v="1"/>
    <s v="Hypermarkets"/>
    <x v="13"/>
    <s v="President"/>
    <s v="|32/01/02|"/>
    <n v="540"/>
    <n v="2.23"/>
    <n v="3.52"/>
  </r>
  <r>
    <x v="1"/>
    <s v="Hypermarkets"/>
    <x v="13"/>
    <s v="President"/>
    <s v="|32/01/03|"/>
    <n v="324"/>
    <n v="2.1"/>
    <n v="3.03"/>
  </r>
  <r>
    <x v="1"/>
    <s v="Hypermarkets"/>
    <x v="13"/>
    <s v="President"/>
    <s v="|32/01/04|"/>
    <n v="480"/>
    <n v="2.5499999999999998"/>
    <n v="3.22"/>
  </r>
  <r>
    <x v="1"/>
    <s v="Hypermarkets"/>
    <x v="13"/>
    <s v="President"/>
    <s v="|32/01/05|"/>
    <n v="480"/>
    <n v="2.75"/>
    <n v="3.21"/>
  </r>
  <r>
    <x v="1"/>
    <s v="Hypermarkets"/>
    <x v="13"/>
    <s v="President"/>
    <s v="|32/01/06|"/>
    <n v="384"/>
    <n v="2.4700000000000002"/>
    <n v="3.73"/>
  </r>
  <r>
    <x v="1"/>
    <s v="Hypermarkets"/>
    <x v="13"/>
    <s v="President"/>
    <s v="|32/01/07|"/>
    <n v="240"/>
    <n v="2.42"/>
    <n v="3.44"/>
  </r>
  <r>
    <x v="1"/>
    <s v="Hypermarkets"/>
    <x v="13"/>
    <s v="President"/>
    <s v="|32/01/08|"/>
    <n v="372"/>
    <n v="2.1"/>
    <n v="3.74"/>
  </r>
  <r>
    <x v="1"/>
    <s v="Hypermarkets"/>
    <x v="13"/>
    <s v="President"/>
    <s v="|32/01/09|"/>
    <n v="360"/>
    <n v="2.27"/>
    <n v="3.42"/>
  </r>
  <r>
    <x v="1"/>
    <s v="Hypermarkets"/>
    <x v="13"/>
    <s v="President"/>
    <s v="|32/01/10|"/>
    <n v="528"/>
    <n v="2.15"/>
    <n v="3.25"/>
  </r>
  <r>
    <x v="1"/>
    <s v="Hypermarkets"/>
    <x v="13"/>
    <s v="President"/>
    <s v="|32/01/11|"/>
    <n v="156"/>
    <n v="2.31"/>
    <n v="3.35"/>
  </r>
  <r>
    <x v="1"/>
    <s v="Hypermarkets"/>
    <x v="13"/>
    <s v="President"/>
    <s v="|32/01/12|"/>
    <n v="168"/>
    <n v="2.8"/>
    <n v="3.8"/>
  </r>
  <r>
    <x v="1"/>
    <s v="Hypermarkets"/>
    <x v="13"/>
    <s v="President"/>
    <s v="|32/01/13|"/>
    <n v="120"/>
    <n v="2.73"/>
    <n v="3.42"/>
  </r>
  <r>
    <x v="1"/>
    <s v="Hypermarkets"/>
    <x v="13"/>
    <s v="President"/>
    <s v="|32/01/14|"/>
    <n v="312"/>
    <n v="2.57"/>
    <n v="3.56"/>
  </r>
  <r>
    <x v="1"/>
    <s v="Hypermarkets"/>
    <x v="13"/>
    <s v="President"/>
    <s v="|32/01/15|"/>
    <n v="192"/>
    <n v="2.19"/>
    <n v="3.3"/>
  </r>
  <r>
    <x v="1"/>
    <s v="Hypermarkets"/>
    <x v="13"/>
    <s v="President"/>
    <s v="|32/01/16|"/>
    <n v="444"/>
    <n v="2.6"/>
    <n v="3.76"/>
  </r>
  <r>
    <x v="1"/>
    <s v="Hypermarkets"/>
    <x v="13"/>
    <s v="President"/>
    <s v="|32/01/17|"/>
    <n v="264"/>
    <n v="2.2999999999999998"/>
    <n v="3.03"/>
  </r>
  <r>
    <x v="1"/>
    <s v="Hypermarkets"/>
    <x v="13"/>
    <s v="President"/>
    <s v="|32/01/18|"/>
    <n v="372"/>
    <n v="2.78"/>
    <n v="3.68"/>
  </r>
  <r>
    <x v="1"/>
    <s v="Hypermarkets"/>
    <x v="13"/>
    <s v="President"/>
    <s v="|32/01/19|"/>
    <n v="276"/>
    <n v="2.27"/>
    <n v="3"/>
  </r>
  <r>
    <x v="1"/>
    <s v="Hypermarkets"/>
    <x v="13"/>
    <s v="President"/>
    <s v="|32/01/20|"/>
    <n v="564"/>
    <n v="2.79"/>
    <n v="3.09"/>
  </r>
  <r>
    <x v="1"/>
    <s v="Hypermarkets"/>
    <x v="13"/>
    <s v="President"/>
    <s v="|32/01/21|"/>
    <n v="540"/>
    <n v="2.15"/>
    <n v="3.37"/>
  </r>
  <r>
    <x v="1"/>
    <s v="Hypermarkets"/>
    <x v="13"/>
    <s v="President"/>
    <s v="|32/01/22|"/>
    <n v="444"/>
    <n v="2.64"/>
    <n v="3.35"/>
  </r>
  <r>
    <x v="1"/>
    <s v="Hypermarkets"/>
    <x v="13"/>
    <s v="President"/>
    <s v="|32/02/01|"/>
    <n v="180"/>
    <n v="2.46"/>
    <n v="3.64"/>
  </r>
  <r>
    <x v="1"/>
    <s v="Hypermarkets"/>
    <x v="14"/>
    <s v="Hassett"/>
    <s v="|130/01/01|"/>
    <n v="1440"/>
    <n v="0.89"/>
    <n v="0.93"/>
  </r>
  <r>
    <x v="1"/>
    <s v="Hypermarkets"/>
    <x v="14"/>
    <s v="Hassett"/>
    <s v="|130/01/02|"/>
    <n v="1272"/>
    <n v="0.9"/>
    <n v="0.92"/>
  </r>
  <r>
    <x v="1"/>
    <s v="Hypermarkets"/>
    <x v="14"/>
    <s v="Hassett"/>
    <s v="|130/01/03|"/>
    <n v="1308"/>
    <n v="0.73"/>
    <n v="0.96"/>
  </r>
  <r>
    <x v="1"/>
    <s v="Hypermarkets"/>
    <x v="14"/>
    <s v="Hassett"/>
    <s v="|130/01/04|"/>
    <n v="1848"/>
    <n v="0.84"/>
    <n v="1"/>
  </r>
  <r>
    <x v="1"/>
    <s v="Hypermarkets"/>
    <x v="14"/>
    <s v="Southeastern windmill"/>
    <s v="|44/01/10|"/>
    <n v="1332"/>
    <n v="0.84"/>
    <n v="0.97"/>
  </r>
  <r>
    <x v="1"/>
    <s v="Hypermarkets"/>
    <x v="14"/>
    <s v="Southeastern windmill"/>
    <s v="|44/01/11|"/>
    <n v="1680"/>
    <n v="0.77"/>
    <n v="0.96"/>
  </r>
  <r>
    <x v="1"/>
    <s v="Hypermarkets"/>
    <x v="14"/>
    <s v="Southeastern windmill"/>
    <s v="|44/01/12|"/>
    <n v="1932"/>
    <n v="0.8"/>
    <n v="0.99"/>
  </r>
  <r>
    <x v="1"/>
    <s v="Hypermarkets"/>
    <x v="14"/>
    <s v="Southeastern windmill"/>
    <s v="|44/01/13|"/>
    <n v="1320"/>
    <n v="0.76"/>
    <n v="0.92"/>
  </r>
  <r>
    <x v="1"/>
    <s v="Hypermarkets"/>
    <x v="14"/>
    <s v="Southeastern windmill"/>
    <s v="|44/01/14|"/>
    <n v="1476"/>
    <n v="0.75"/>
    <n v="0.95"/>
  </r>
  <r>
    <x v="1"/>
    <s v="Hypermarkets"/>
    <x v="14"/>
    <s v="Southeastern windmill"/>
    <s v="|44/01/15|"/>
    <n v="1284"/>
    <n v="0.88"/>
    <n v="0.94"/>
  </r>
  <r>
    <x v="1"/>
    <s v="Hypermarkets"/>
    <x v="14"/>
    <s v="Southeastern windmill"/>
    <s v="|44/01/16|"/>
    <n v="1452"/>
    <n v="0.77"/>
    <n v="0.91"/>
  </r>
  <r>
    <x v="1"/>
    <s v="Hypermarkets"/>
    <x v="14"/>
    <s v="Southeastern windmill"/>
    <s v="|44/01/17|"/>
    <n v="1416"/>
    <n v="0.9"/>
    <n v="0.98"/>
  </r>
  <r>
    <x v="1"/>
    <s v="Hypermarkets"/>
    <x v="14"/>
    <s v="Southeastern windmill"/>
    <s v="|44/01/18|"/>
    <n v="2388"/>
    <n v="0.72"/>
    <n v="0.96"/>
  </r>
  <r>
    <x v="1"/>
    <s v="Hypermarkets"/>
    <x v="14"/>
    <s v="Southeastern windmill"/>
    <s v="|44/02/01|"/>
    <n v="2208"/>
    <n v="0.71"/>
    <n v="0.95"/>
  </r>
  <r>
    <x v="1"/>
    <s v="Hypermarkets"/>
    <x v="14"/>
    <s v="Southeastern windmill"/>
    <s v="|44/02/02|"/>
    <n v="1668"/>
    <n v="0.88"/>
    <n v="0.93"/>
  </r>
  <r>
    <x v="1"/>
    <s v="Hypermarkets"/>
    <x v="14"/>
    <s v="Southeastern windmill"/>
    <s v="|44/02/03|"/>
    <n v="1200"/>
    <n v="0.83"/>
    <n v="0.94"/>
  </r>
  <r>
    <x v="1"/>
    <s v="Hypermarkets"/>
    <x v="14"/>
    <s v="Southeastern windmill"/>
    <s v="|44/02/04|"/>
    <n v="2040"/>
    <n v="0.73"/>
    <n v="0.95"/>
  </r>
  <r>
    <x v="1"/>
    <s v="Hypermarkets"/>
    <x v="14"/>
    <s v="Southeastern windmill"/>
    <s v="|44/02/05|"/>
    <n v="2268"/>
    <n v="0.77"/>
    <n v="0.94"/>
  </r>
  <r>
    <x v="1"/>
    <s v="Hypermarkets"/>
    <x v="14"/>
    <s v="Southeastern windmill"/>
    <s v="|44/02/06|"/>
    <n v="1992"/>
    <n v="0.9"/>
    <n v="0.9"/>
  </r>
  <r>
    <x v="1"/>
    <s v="Hypermarkets"/>
    <x v="14"/>
    <s v="Southeastern windmill"/>
    <s v="|44/02/07|"/>
    <n v="1488"/>
    <n v="0.71"/>
    <n v="0.98"/>
  </r>
  <r>
    <x v="1"/>
    <s v="Hypermarkets"/>
    <x v="14"/>
    <s v="Southeastern windmill"/>
    <s v="|44/02/08|"/>
    <n v="1332"/>
    <n v="0.79"/>
    <n v="0.98"/>
  </r>
  <r>
    <x v="1"/>
    <s v="Hypermarkets"/>
    <x v="14"/>
    <s v="Southeastern windmill"/>
    <s v="|44/02/09|"/>
    <n v="1452"/>
    <n v="0.73"/>
    <n v="0.95"/>
  </r>
  <r>
    <x v="1"/>
    <s v="Hypermarkets"/>
    <x v="12"/>
    <s v="De Cecco"/>
    <s v="|22/22/01|"/>
    <n v="132"/>
    <n v="2.76"/>
    <n v="2.9933333333333332"/>
  </r>
  <r>
    <x v="1"/>
    <s v="Hypermarkets"/>
    <x v="12"/>
    <s v="De Cecco"/>
    <s v="|22/22/02|"/>
    <n v="144"/>
    <n v="2.2799999999999998"/>
    <n v="2.92"/>
  </r>
  <r>
    <x v="1"/>
    <s v="Hypermarkets"/>
    <x v="12"/>
    <s v="De Cecco"/>
    <s v="|22/22/03|"/>
    <n v="120"/>
    <n v="2.6266666666666665"/>
    <n v="2.9266666666666667"/>
  </r>
  <r>
    <x v="1"/>
    <s v="Hypermarkets"/>
    <x v="12"/>
    <s v="De Cecco"/>
    <s v="|22/22/04|"/>
    <n v="132"/>
    <n v="2.4733333333333332"/>
    <n v="2.9533333333333331"/>
  </r>
  <r>
    <x v="1"/>
    <s v="Hypermarkets"/>
    <x v="12"/>
    <s v="De Cecco"/>
    <s v="|22/22/05|"/>
    <n v="132"/>
    <n v="2.3333333333333335"/>
    <n v="2.8933333333333335"/>
  </r>
  <r>
    <x v="1"/>
    <s v="Hypermarkets"/>
    <x v="12"/>
    <s v="De Cecco"/>
    <s v="|22/22/06|"/>
    <n v="144"/>
    <n v="2.48"/>
    <n v="2.96"/>
  </r>
  <r>
    <x v="1"/>
    <s v="Hypermarkets"/>
    <x v="12"/>
    <s v="De Cecco"/>
    <s v="|22/22/07|"/>
    <n v="168"/>
    <n v="2.4933333333333332"/>
    <n v="3"/>
  </r>
  <r>
    <x v="1"/>
    <s v="Hypermarkets"/>
    <x v="12"/>
    <s v="De Cecco"/>
    <s v="|22/22/08|"/>
    <n v="168"/>
    <n v="2.3133333333333335"/>
    <n v="2.94"/>
  </r>
  <r>
    <x v="1"/>
    <s v="Hypermarkets"/>
    <x v="12"/>
    <s v="De Cecco"/>
    <s v="|22/22/09|"/>
    <n v="132"/>
    <n v="2.2933333333333334"/>
    <n v="2.92"/>
  </r>
  <r>
    <x v="1"/>
    <s v="Hypermarkets"/>
    <x v="12"/>
    <s v="De Cecco"/>
    <s v="|22/22/10|"/>
    <n v="132"/>
    <n v="2.6133333333333333"/>
    <n v="2.9466666666666668"/>
  </r>
  <r>
    <x v="1"/>
    <s v="Hypermarkets"/>
    <x v="12"/>
    <s v="De Cecco"/>
    <s v="|22/22/11|"/>
    <n v="132"/>
    <n v="2.3199999999999998"/>
    <n v="2.8866666666666667"/>
  </r>
  <r>
    <x v="1"/>
    <s v="Hypermarkets"/>
    <x v="12"/>
    <s v="De Cecco"/>
    <s v="|22/22/12|"/>
    <n v="132"/>
    <n v="2.5533333333333332"/>
    <n v="2.8866666666666667"/>
  </r>
  <r>
    <x v="1"/>
    <s v="Hypermarkets"/>
    <x v="12"/>
    <s v="De Cecco"/>
    <s v="|22/22/13|"/>
    <n v="144"/>
    <n v="2.5066666666666668"/>
    <n v="2.98"/>
  </r>
  <r>
    <x v="1"/>
    <s v="Hypermarkets"/>
    <x v="12"/>
    <s v="De Cecco"/>
    <s v="|22/22/14|"/>
    <n v="180"/>
    <n v="2.6866666666666665"/>
    <n v="2.9466666666666668"/>
  </r>
  <r>
    <x v="1"/>
    <s v="Hypermarkets"/>
    <x v="12"/>
    <s v="De Cecco"/>
    <s v="|22/22/15|"/>
    <n v="144"/>
    <n v="2.4733333333333332"/>
    <n v="2.9866666666666668"/>
  </r>
  <r>
    <x v="1"/>
    <s v="Hypermarkets"/>
    <x v="12"/>
    <s v="De Cecco"/>
    <s v="|22/22/16|"/>
    <n v="180"/>
    <n v="2.7933333333333334"/>
    <n v="2.88"/>
  </r>
  <r>
    <x v="1"/>
    <s v="Hypermarkets"/>
    <x v="12"/>
    <s v="De Cecco"/>
    <s v="|22/22/17|"/>
    <n v="144"/>
    <n v="2.46"/>
    <n v="2.9266666666666667"/>
  </r>
  <r>
    <x v="1"/>
    <s v="Hypermarkets"/>
    <x v="12"/>
    <s v="De Cecco"/>
    <s v="|22/22/18|"/>
    <n v="156"/>
    <n v="2.5733333333333333"/>
    <n v="2.98"/>
  </r>
  <r>
    <x v="1"/>
    <s v="Hypermarkets"/>
    <x v="12"/>
    <s v="De Cecco"/>
    <s v="|22/22/19|"/>
    <n v="120"/>
    <n v="2.4466666666666668"/>
    <n v="3"/>
  </r>
  <r>
    <x v="1"/>
    <s v="Hypermarkets"/>
    <x v="12"/>
    <s v="De Cecco"/>
    <s v="|22/22/20|"/>
    <n v="168"/>
    <n v="2.2666666666666666"/>
    <n v="2.9066666666666667"/>
  </r>
  <r>
    <x v="1"/>
    <s v="Hypermarkets"/>
    <x v="12"/>
    <s v="De Cecco"/>
    <s v="|22/22/21|"/>
    <n v="132"/>
    <n v="2.4066666666666667"/>
    <n v="2.9466666666666668"/>
  </r>
  <r>
    <x v="1"/>
    <s v="Hypermarkets"/>
    <x v="12"/>
    <s v="De Cecco"/>
    <s v="|22/22/22|"/>
    <n v="156"/>
    <n v="2.5666666666666669"/>
    <n v="2.92"/>
  </r>
  <r>
    <x v="1"/>
    <s v="Hypermarkets"/>
    <x v="12"/>
    <s v="De Cecco"/>
    <s v="|22/22/23|"/>
    <n v="144"/>
    <n v="2.3133333333333335"/>
    <n v="2.9866666666666668"/>
  </r>
  <r>
    <x v="1"/>
    <s v="Hypermarkets"/>
    <x v="12"/>
    <s v="De Cecco"/>
    <s v="|22/22/24|"/>
    <n v="180"/>
    <n v="2.5733333333333333"/>
    <n v="2.9"/>
  </r>
  <r>
    <x v="1"/>
    <s v="Hypermarkets"/>
    <x v="12"/>
    <s v="De Cecco"/>
    <s v="|22/22/25|"/>
    <n v="132"/>
    <n v="2.3066666666666666"/>
    <n v="2.96"/>
  </r>
  <r>
    <x v="1"/>
    <s v="Hypermarkets"/>
    <x v="12"/>
    <s v="De Cecco"/>
    <s v="|22/22/26|"/>
    <n v="168"/>
    <n v="2.56"/>
    <n v="2.9266666666666667"/>
  </r>
  <r>
    <x v="1"/>
    <s v="Hypermarkets"/>
    <x v="12"/>
    <s v="De Cecco"/>
    <s v="|22/22/27|"/>
    <n v="180"/>
    <n v="2.3199999999999998"/>
    <n v="2.9133333333333336"/>
  </r>
  <r>
    <x v="1"/>
    <s v="Hypermarkets"/>
    <x v="12"/>
    <s v="De Cecco"/>
    <s v="|22/22/28|"/>
    <n v="168"/>
    <n v="2.6666666666666665"/>
    <n v="2.9"/>
  </r>
  <r>
    <x v="1"/>
    <s v="Hypermarkets"/>
    <x v="12"/>
    <s v="De Cecco"/>
    <s v="|22/22/29|"/>
    <n v="132"/>
    <n v="2.6333333333333333"/>
    <n v="3"/>
  </r>
  <r>
    <x v="1"/>
    <s v="Hypermarkets"/>
    <x v="12"/>
    <s v="De Cecco"/>
    <s v="|22/22/30|"/>
    <n v="144"/>
    <n v="2.5333333333333332"/>
    <n v="2.8733333333333335"/>
  </r>
  <r>
    <x v="1"/>
    <s v="Hypermarkets"/>
    <x v="12"/>
    <s v="De Cecco"/>
    <s v="|22/22/31|"/>
    <n v="120"/>
    <n v="2.3866666666666667"/>
    <n v="2.8733333333333335"/>
  </r>
  <r>
    <x v="1"/>
    <s v="Hypermarkets"/>
    <x v="12"/>
    <s v="De Cecco"/>
    <s v="|22/22/32|"/>
    <n v="156"/>
    <n v="2.4"/>
    <n v="2.98"/>
  </r>
  <r>
    <x v="1"/>
    <s v="Hypermarkets"/>
    <x v="12"/>
    <s v="De Cecco"/>
    <s v="|22/22/33|"/>
    <n v="168"/>
    <n v="2.4133333333333336"/>
    <n v="2.8733333333333335"/>
  </r>
  <r>
    <x v="1"/>
    <s v="Hypermarkets"/>
    <x v="12"/>
    <s v="De Cecco"/>
    <s v="|22/22/34|"/>
    <n v="180"/>
    <n v="2.3266666666666667"/>
    <n v="2.8866666666666667"/>
  </r>
  <r>
    <x v="1"/>
    <s v="Hypermarkets"/>
    <x v="12"/>
    <s v="De Cecco"/>
    <s v="|22/22/35|"/>
    <n v="120"/>
    <n v="2.5866666666666664"/>
    <n v="2.94"/>
  </r>
  <r>
    <x v="1"/>
    <s v="Hypermarkets"/>
    <x v="12"/>
    <s v="De Cecco"/>
    <s v="|22/22/36|"/>
    <n v="132"/>
    <n v="2.6933333333333334"/>
    <n v="2.9666666666666668"/>
  </r>
  <r>
    <x v="1"/>
    <s v="Hypermarkets"/>
    <x v="12"/>
    <s v="De Cecco"/>
    <s v="|22/22/37|"/>
    <n v="120"/>
    <n v="2.44"/>
    <n v="2.9533333333333331"/>
  </r>
  <r>
    <x v="1"/>
    <s v="Hypermarkets"/>
    <x v="12"/>
    <s v="De Cecco"/>
    <s v="|22/22/38|"/>
    <n v="180"/>
    <n v="2.42"/>
    <n v="2.8666666666666667"/>
  </r>
  <r>
    <x v="1"/>
    <s v="Hypermarkets"/>
    <x v="12"/>
    <s v="De Cecco"/>
    <s v="|22/22/39|"/>
    <n v="132"/>
    <n v="2.68"/>
    <n v="2.9666666666666668"/>
  </r>
  <r>
    <x v="1"/>
    <s v="Hypermarkets"/>
    <x v="12"/>
    <s v="De Cecco"/>
    <s v="|22/22/40|"/>
    <n v="144"/>
    <n v="2.6333333333333333"/>
    <n v="2.8933333333333335"/>
  </r>
  <r>
    <x v="1"/>
    <s v="Hypermarkets"/>
    <x v="12"/>
    <s v="De Cecco"/>
    <s v="|22/22/41|"/>
    <n v="168"/>
    <n v="2.5733333333333333"/>
    <n v="2.9066666666666667"/>
  </r>
  <r>
    <x v="1"/>
    <s v="Hypermarkets"/>
    <x v="12"/>
    <s v="De Cecco"/>
    <s v="|22/22/42|"/>
    <n v="156"/>
    <n v="2.7533333333333334"/>
    <n v="2.8933333333333335"/>
  </r>
  <r>
    <x v="1"/>
    <s v="Hypermarkets"/>
    <x v="12"/>
    <s v="De Cecco"/>
    <s v="|22/22/43|"/>
    <n v="132"/>
    <n v="2.5666666666666669"/>
    <n v="2.8933333333333335"/>
  </r>
  <r>
    <x v="1"/>
    <s v="Hypermarkets"/>
    <x v="12"/>
    <s v="De Cecco"/>
    <s v="|22/22/44|"/>
    <n v="168"/>
    <n v="2.2999999999999998"/>
    <n v="2.9533333333333331"/>
  </r>
  <r>
    <x v="1"/>
    <s v="Hypermarkets"/>
    <x v="12"/>
    <s v="De Cecco"/>
    <s v="|22/22/45|"/>
    <n v="168"/>
    <n v="2.5866666666666664"/>
    <n v="2.9"/>
  </r>
  <r>
    <x v="1"/>
    <s v="Hypermarkets"/>
    <x v="12"/>
    <s v="De Cecco"/>
    <s v="|22/22/46|"/>
    <n v="144"/>
    <n v="2.2799999999999998"/>
    <n v="2.8733333333333335"/>
  </r>
  <r>
    <x v="1"/>
    <s v="Hypermarkets"/>
    <x v="12"/>
    <s v="De Cecco"/>
    <s v="|22/22/47|"/>
    <n v="180"/>
    <n v="2.2799999999999998"/>
    <n v="2.92"/>
  </r>
  <r>
    <x v="1"/>
    <s v="Hypermarkets"/>
    <x v="12"/>
    <s v="De Cecco"/>
    <s v="|22/22/48|"/>
    <n v="120"/>
    <n v="2.5133333333333332"/>
    <n v="2.8933333333333335"/>
  </r>
  <r>
    <x v="1"/>
    <s v="Hypermarkets"/>
    <x v="12"/>
    <s v="De Cecco"/>
    <s v="|22/22/49|"/>
    <n v="144"/>
    <n v="2.6"/>
    <n v="2.92"/>
  </r>
  <r>
    <x v="1"/>
    <s v="Hypermarkets"/>
    <x v="12"/>
    <s v="De Cecco"/>
    <s v="|22/22/50|"/>
    <n v="168"/>
    <n v="2.5466666666666669"/>
    <n v="2.8866666666666667"/>
  </r>
  <r>
    <x v="1"/>
    <s v="Hypermarkets"/>
    <x v="12"/>
    <s v="De Cecco"/>
    <s v="|22/22/51|"/>
    <n v="180"/>
    <n v="2.66"/>
    <n v="2.8866666666666667"/>
  </r>
  <r>
    <x v="1"/>
    <s v="Hypermarkets"/>
    <x v="12"/>
    <s v="De Cecco"/>
    <s v="|22/22/52|"/>
    <n v="168"/>
    <n v="2.7466666666666666"/>
    <n v="3"/>
  </r>
  <r>
    <x v="1"/>
    <s v="Hypermarkets"/>
    <x v="12"/>
    <s v="De Cecco"/>
    <s v="|22/22/53|"/>
    <n v="144"/>
    <n v="2.7066666666666666"/>
    <n v="3"/>
  </r>
  <r>
    <x v="1"/>
    <s v="Hypermarkets"/>
    <x v="12"/>
    <s v="De Cecco"/>
    <s v="|22/22/54|"/>
    <n v="168"/>
    <n v="2.7066666666666666"/>
    <n v="2.9"/>
  </r>
  <r>
    <x v="1"/>
    <s v="Hypermarkets"/>
    <x v="12"/>
    <s v="De Cecco"/>
    <s v="|22/22/55|"/>
    <n v="168"/>
    <n v="2.6933333333333334"/>
    <n v="2.88"/>
  </r>
  <r>
    <x v="1"/>
    <s v="Hypermarkets"/>
    <x v="12"/>
    <s v="De Cecco"/>
    <s v="|22/22/56|"/>
    <n v="132"/>
    <n v="2.3066666666666666"/>
    <n v="2.9933333333333332"/>
  </r>
  <r>
    <x v="1"/>
    <s v="Hypermarkets"/>
    <x v="12"/>
    <s v="De Cecco"/>
    <s v="|22/22/57|"/>
    <n v="132"/>
    <n v="2.3066666666666666"/>
    <n v="2.9333333333333331"/>
  </r>
  <r>
    <x v="1"/>
    <s v="Hypermarkets"/>
    <x v="12"/>
    <s v="De Cecco"/>
    <s v="|22/22/61|"/>
    <n v="180"/>
    <n v="2.5533333333333332"/>
    <n v="2.9133333333333336"/>
  </r>
  <r>
    <x v="1"/>
    <s v="Hypermarkets"/>
    <x v="12"/>
    <s v="De Cecco"/>
    <s v="|22/22/62|"/>
    <n v="156"/>
    <n v="2.6933333333333334"/>
    <n v="2.8866666666666667"/>
  </r>
  <r>
    <x v="1"/>
    <s v="Hypermarkets"/>
    <x v="12"/>
    <s v="De Cecco"/>
    <s v="|22/22/63|"/>
    <n v="156"/>
    <n v="2.6066666666666665"/>
    <n v="2.92"/>
  </r>
  <r>
    <x v="1"/>
    <s v="Hypermarkets"/>
    <x v="12"/>
    <s v="De Cecco"/>
    <s v="|22/22/64|"/>
    <n v="168"/>
    <n v="2.4133333333333336"/>
    <n v="2.9133333333333336"/>
  </r>
  <r>
    <x v="1"/>
    <s v="Hypermarkets"/>
    <x v="12"/>
    <s v="De Cecco"/>
    <s v="|22/22/65|"/>
    <n v="120"/>
    <n v="2.6066666666666665"/>
    <n v="2.88"/>
  </r>
  <r>
    <x v="1"/>
    <s v="Hypermarkets"/>
    <x v="12"/>
    <s v="De Cecco"/>
    <s v="|22/22/66|"/>
    <n v="120"/>
    <n v="2.4933333333333332"/>
    <n v="2.9933333333333332"/>
  </r>
  <r>
    <x v="1"/>
    <s v="Hypermarkets"/>
    <x v="12"/>
    <s v="De Cecco"/>
    <s v="|22/22/67|"/>
    <n v="120"/>
    <n v="2.5266666666666668"/>
    <n v="2.9333333333333331"/>
  </r>
  <r>
    <x v="1"/>
    <s v="Hypermarkets"/>
    <x v="12"/>
    <s v="De Cecco"/>
    <s v="|22/22/68|"/>
    <n v="132"/>
    <n v="2.7266666666666666"/>
    <n v="2.8866666666666667"/>
  </r>
  <r>
    <x v="1"/>
    <s v="Hypermarkets"/>
    <x v="12"/>
    <s v="De Cecco"/>
    <s v="|22/22/69|"/>
    <n v="120"/>
    <n v="2.2933333333333334"/>
    <n v="3"/>
  </r>
  <r>
    <x v="1"/>
    <s v="Hypermarkets"/>
    <x v="12"/>
    <s v="De Cecco"/>
    <s v="|22/22/70|"/>
    <n v="168"/>
    <n v="2.2666666666666666"/>
    <n v="2.92"/>
  </r>
  <r>
    <x v="1"/>
    <s v="Hypermarkets"/>
    <x v="13"/>
    <s v="Garofalo"/>
    <s v="|110/00/00|"/>
    <n v="600"/>
    <n v="2.4300000000000002"/>
    <n v="3.77"/>
  </r>
  <r>
    <x v="1"/>
    <s v="Hypermarkets"/>
    <x v="13"/>
    <s v="Garofalo"/>
    <s v="|110/00/01|"/>
    <n v="576"/>
    <n v="2.08"/>
    <n v="3.05"/>
  </r>
  <r>
    <x v="1"/>
    <s v="Hypermarkets"/>
    <x v="13"/>
    <s v="Garofalo"/>
    <s v="|110/00/02|"/>
    <n v="240"/>
    <n v="2.33"/>
    <n v="3.54"/>
  </r>
  <r>
    <x v="1"/>
    <s v="Hypermarkets"/>
    <x v="13"/>
    <s v="Garofalo"/>
    <s v="|110/00/03|"/>
    <n v="312"/>
    <n v="2.66"/>
    <n v="3.39"/>
  </r>
  <r>
    <x v="1"/>
    <s v="Hypermarkets"/>
    <x v="13"/>
    <s v="Garofalo"/>
    <s v="|110/00/04|"/>
    <n v="228"/>
    <n v="2.44"/>
    <n v="3.79"/>
  </r>
  <r>
    <x v="1"/>
    <s v="Hypermarkets"/>
    <x v="13"/>
    <s v="Garofalo"/>
    <s v="|110/00/05|"/>
    <n v="240"/>
    <n v="2.0499999999999998"/>
    <n v="3.28"/>
  </r>
  <r>
    <x v="1"/>
    <s v="Hypermarkets"/>
    <x v="13"/>
    <s v="Garofalo"/>
    <s v="|110/00/06|"/>
    <n v="204"/>
    <n v="2.2200000000000002"/>
    <n v="3.19"/>
  </r>
  <r>
    <x v="1"/>
    <s v="Hypermarkets"/>
    <x v="13"/>
    <s v="Garofalo"/>
    <s v="|110/00/07|"/>
    <n v="468"/>
    <n v="2.5"/>
    <n v="3.29"/>
  </r>
  <r>
    <x v="1"/>
    <s v="Hypermarkets"/>
    <x v="13"/>
    <s v="Garofalo"/>
    <s v="|110/00/08|"/>
    <n v="540"/>
    <n v="2.4900000000000002"/>
    <n v="3.46"/>
  </r>
  <r>
    <x v="1"/>
    <s v="Hypermarkets"/>
    <x v="13"/>
    <s v="Garofalo"/>
    <s v="|110/00/09|"/>
    <n v="216"/>
    <n v="2.4300000000000002"/>
    <n v="3.37"/>
  </r>
  <r>
    <x v="1"/>
    <s v="Hypermarkets"/>
    <x v="13"/>
    <s v="Garofalo"/>
    <s v="|110/00/10|"/>
    <n v="156"/>
    <n v="2.2400000000000002"/>
    <n v="3.18"/>
  </r>
  <r>
    <x v="1"/>
    <s v="Hypermarkets"/>
    <x v="13"/>
    <s v="Garofalo"/>
    <s v="|110/00/11|"/>
    <n v="300"/>
    <n v="2"/>
    <n v="3.25"/>
  </r>
  <r>
    <x v="1"/>
    <s v="Hypermarkets"/>
    <x v="13"/>
    <s v="Garofalo"/>
    <s v="|110/00/13|"/>
    <n v="252"/>
    <n v="2.16"/>
    <n v="3.63"/>
  </r>
  <r>
    <x v="1"/>
    <s v="Hypermarkets"/>
    <x v="13"/>
    <s v="Garofalo"/>
    <s v="|110/00/14|"/>
    <n v="276"/>
    <n v="2.7"/>
    <n v="3.56"/>
  </r>
  <r>
    <x v="1"/>
    <s v="Hypermarkets"/>
    <x v="13"/>
    <s v="Garofalo"/>
    <s v="|110/00/15|"/>
    <n v="192"/>
    <n v="2.1"/>
    <n v="3.39"/>
  </r>
  <r>
    <x v="1"/>
    <s v="Hypermarkets"/>
    <x v="13"/>
    <s v="Garofalo"/>
    <s v="|110/00/17|"/>
    <n v="420"/>
    <n v="2.48"/>
    <n v="3.09"/>
  </r>
  <r>
    <x v="1"/>
    <s v="Hypermarkets"/>
    <x v="13"/>
    <s v="Garofalo"/>
    <s v="|110/00/18|"/>
    <n v="192"/>
    <n v="2.21"/>
    <n v="3.67"/>
  </r>
  <r>
    <x v="1"/>
    <s v="Hypermarkets"/>
    <x v="13"/>
    <s v="Garofalo"/>
    <s v="|110/00/19|"/>
    <n v="180"/>
    <n v="2.44"/>
    <n v="3.12"/>
  </r>
  <r>
    <x v="1"/>
    <s v="Hypermarkets"/>
    <x v="13"/>
    <s v="President"/>
    <s v="|75/01/01|"/>
    <n v="192"/>
    <n v="2.2400000000000002"/>
    <n v="3.27"/>
  </r>
  <r>
    <x v="1"/>
    <s v="Hypermarkets"/>
    <x v="13"/>
    <s v="President"/>
    <s v="|75/01/02|"/>
    <n v="384"/>
    <n v="2.35"/>
    <n v="3.74"/>
  </r>
  <r>
    <x v="1"/>
    <s v="Hypermarkets"/>
    <x v="13"/>
    <s v="President"/>
    <s v="|75/01/03|"/>
    <n v="276"/>
    <n v="2.52"/>
    <n v="3.59"/>
  </r>
  <r>
    <x v="1"/>
    <s v="Hypermarkets"/>
    <x v="13"/>
    <s v="President"/>
    <s v="|75/01/04|"/>
    <n v="168"/>
    <n v="2.5"/>
    <n v="3.23"/>
  </r>
  <r>
    <x v="1"/>
    <s v="Hypermarkets"/>
    <x v="13"/>
    <s v="President"/>
    <s v="|75/01/05|"/>
    <n v="216"/>
    <n v="2.41"/>
    <n v="3.65"/>
  </r>
  <r>
    <x v="1"/>
    <s v="Hypermarkets"/>
    <x v="13"/>
    <s v="President"/>
    <s v="|75/01/06|"/>
    <n v="588"/>
    <n v="2.7"/>
    <n v="3.08"/>
  </r>
  <r>
    <x v="1"/>
    <s v="Hypermarkets"/>
    <x v="13"/>
    <s v="President"/>
    <s v="|75/01/07|"/>
    <n v="564"/>
    <n v="2.44"/>
    <n v="3.59"/>
  </r>
  <r>
    <x v="1"/>
    <s v="Hypermarkets"/>
    <x v="13"/>
    <s v="President"/>
    <s v="|75/01/08|"/>
    <n v="180"/>
    <n v="2.11"/>
    <n v="3.43"/>
  </r>
  <r>
    <x v="1"/>
    <s v="Hypermarkets"/>
    <x v="13"/>
    <s v="President"/>
    <s v="|75/01/09|"/>
    <n v="312"/>
    <n v="2.06"/>
    <n v="3.31"/>
  </r>
  <r>
    <x v="1"/>
    <s v="Hypermarkets"/>
    <x v="13"/>
    <s v="President"/>
    <s v="|75/01/10|"/>
    <n v="360"/>
    <n v="2.42"/>
    <n v="3.68"/>
  </r>
  <r>
    <x v="1"/>
    <s v="Hypermarkets"/>
    <x v="13"/>
    <s v="President"/>
    <s v="|75/01/11|"/>
    <n v="216"/>
    <n v="2.0299999999999998"/>
    <n v="3.78"/>
  </r>
  <r>
    <x v="1"/>
    <s v="Hypermarkets"/>
    <x v="13"/>
    <s v="President"/>
    <s v="|75/01/12|"/>
    <n v="276"/>
    <n v="2.68"/>
    <n v="3.03"/>
  </r>
  <r>
    <x v="1"/>
    <s v="Convenience stores"/>
    <x v="2"/>
    <s v="Nestle'"/>
    <s v="|65/01/01|"/>
    <n v="7608"/>
    <n v="0.96"/>
    <n v="1.07"/>
  </r>
  <r>
    <x v="1"/>
    <s v="Convenience stores"/>
    <x v="2"/>
    <s v="Nestle'"/>
    <s v="|65/01/02|"/>
    <n v="8592"/>
    <n v="0.78"/>
    <n v="0.98"/>
  </r>
  <r>
    <x v="1"/>
    <s v="Convenience stores"/>
    <x v="2"/>
    <s v="Nestle'"/>
    <s v="|65/01/03|"/>
    <n v="5004"/>
    <n v="0.6"/>
    <n v="0.9"/>
  </r>
  <r>
    <x v="1"/>
    <s v="Convenience stores"/>
    <x v="2"/>
    <s v="Nestle'"/>
    <s v="|65/01/04|"/>
    <n v="6120"/>
    <n v="0.49"/>
    <n v="1.04"/>
  </r>
  <r>
    <x v="1"/>
    <s v="Convenience stores"/>
    <x v="2"/>
    <s v="Nestle'"/>
    <s v="|65/01/05|"/>
    <n v="9192"/>
    <n v="0.85"/>
    <n v="1"/>
  </r>
  <r>
    <x v="1"/>
    <s v="Convenience stores"/>
    <x v="2"/>
    <s v="Nestle'"/>
    <s v="|65/01/06|"/>
    <n v="9288"/>
    <n v="0.91"/>
    <n v="0.95"/>
  </r>
  <r>
    <x v="1"/>
    <s v="Convenience stores"/>
    <x v="2"/>
    <s v="Nestle'"/>
    <s v="|65/01/07|"/>
    <n v="7284"/>
    <n v="0.66"/>
    <n v="0.9"/>
  </r>
  <r>
    <x v="1"/>
    <s v="Convenience stores"/>
    <x v="2"/>
    <s v="Nestle'"/>
    <s v="|65/01/08|"/>
    <n v="8364"/>
    <n v="1.0900000000000001"/>
    <n v="1.0900000000000001"/>
  </r>
  <r>
    <x v="1"/>
    <s v="Convenience stores"/>
    <x v="2"/>
    <s v="Nestle'"/>
    <s v="|65/01/09|"/>
    <n v="8700"/>
    <n v="0.5"/>
    <n v="1.1599999999999999"/>
  </r>
  <r>
    <x v="1"/>
    <s v="Convenience stores"/>
    <x v="2"/>
    <s v="Nestle'"/>
    <s v="|65/01/10|"/>
    <n v="6852"/>
    <n v="1.2"/>
    <n v="1.05"/>
  </r>
  <r>
    <x v="1"/>
    <s v="Convenience stores"/>
    <x v="2"/>
    <s v="Nestle'"/>
    <s v="|65/01/11|"/>
    <n v="9336"/>
    <n v="1.19"/>
    <n v="1.02"/>
  </r>
  <r>
    <x v="1"/>
    <s v="Convenience stores"/>
    <x v="3"/>
    <s v="Nestle'"/>
    <s v="|65/02/01|"/>
    <n v="132"/>
    <n v="1.05"/>
    <n v="1.27"/>
  </r>
  <r>
    <x v="1"/>
    <s v="Convenience stores"/>
    <x v="5"/>
    <s v="Corny"/>
    <s v="|109/01/01|"/>
    <n v="792"/>
    <n v="1.17"/>
    <n v="1.67"/>
  </r>
  <r>
    <x v="1"/>
    <s v="Convenience stores"/>
    <x v="5"/>
    <s v="Corny"/>
    <s v="|109/01/02|"/>
    <n v="696"/>
    <n v="1.28"/>
    <n v="1.81"/>
  </r>
  <r>
    <x v="1"/>
    <s v="Convenience stores"/>
    <x v="5"/>
    <s v="Corny"/>
    <s v="|109/01/03|"/>
    <n v="660"/>
    <n v="1.28"/>
    <n v="1.82"/>
  </r>
  <r>
    <x v="1"/>
    <s v="Convenience stores"/>
    <x v="5"/>
    <s v="Corny"/>
    <s v="|109/01/04|"/>
    <n v="1152"/>
    <n v="1.5"/>
    <n v="1.6"/>
  </r>
  <r>
    <x v="1"/>
    <s v="Convenience stores"/>
    <x v="5"/>
    <s v="Corny"/>
    <s v="|109/01/05|"/>
    <n v="900"/>
    <n v="1.41"/>
    <n v="1.66"/>
  </r>
  <r>
    <x v="1"/>
    <s v="Convenience stores"/>
    <x v="7"/>
    <s v="Grekomila"/>
    <s v="|85/01/01|"/>
    <n v="852"/>
    <n v="2.67"/>
    <n v="3.78"/>
  </r>
  <r>
    <x v="1"/>
    <s v="Convenience stores"/>
    <x v="7"/>
    <s v="Grekomila"/>
    <s v="|85/01/02|"/>
    <n v="636"/>
    <n v="2.27"/>
    <n v="3.26"/>
  </r>
  <r>
    <x v="1"/>
    <s v="Convenience stores"/>
    <x v="7"/>
    <s v="Grekomila"/>
    <s v="|85/01/03|"/>
    <n v="672"/>
    <n v="2.1800000000000002"/>
    <n v="3.56"/>
  </r>
  <r>
    <x v="1"/>
    <s v="Convenience stores"/>
    <x v="7"/>
    <s v="Grekomila"/>
    <s v="|85/01/04|"/>
    <n v="756"/>
    <n v="2.27"/>
    <n v="3.42"/>
  </r>
  <r>
    <x v="1"/>
    <s v="Convenience stores"/>
    <x v="7"/>
    <s v="Grekomila"/>
    <s v="|85/01/05|"/>
    <n v="912"/>
    <n v="2.94"/>
    <n v="3.53"/>
  </r>
  <r>
    <x v="1"/>
    <s v="Convenience stores"/>
    <x v="7"/>
    <s v="Grekomila"/>
    <s v="|85/01/06|"/>
    <n v="1176"/>
    <n v="2.37"/>
    <n v="3.5"/>
  </r>
  <r>
    <x v="1"/>
    <s v="Convenience stores"/>
    <x v="7"/>
    <s v="Grekomila"/>
    <s v="|85/01/07|"/>
    <n v="960"/>
    <n v="2.37"/>
    <n v="3.52"/>
  </r>
  <r>
    <x v="1"/>
    <s v="Convenience stores"/>
    <x v="7"/>
    <s v="Grekomila"/>
    <s v="|85/01/08|"/>
    <n v="684"/>
    <n v="2.37"/>
    <n v="3.62"/>
  </r>
  <r>
    <x v="1"/>
    <s v="Convenience stores"/>
    <x v="7"/>
    <s v="Grekomila"/>
    <s v="|85/01/09|"/>
    <n v="1140"/>
    <n v="2.0699999999999998"/>
    <n v="3.46"/>
  </r>
  <r>
    <x v="1"/>
    <s v="Convenience stores"/>
    <x v="7"/>
    <s v="Grekomila"/>
    <s v="|85/01/10|"/>
    <n v="708"/>
    <n v="2.99"/>
    <n v="3.91"/>
  </r>
  <r>
    <x v="1"/>
    <s v="Convenience stores"/>
    <x v="7"/>
    <s v="Grekomila"/>
    <s v="|85/01/11|"/>
    <n v="984"/>
    <n v="2.68"/>
    <n v="3.94"/>
  </r>
  <r>
    <x v="1"/>
    <s v="Convenience stores"/>
    <x v="7"/>
    <s v="Grekomila"/>
    <s v="|85/01/12|"/>
    <n v="636"/>
    <n v="2.66"/>
    <n v="3.39"/>
  </r>
  <r>
    <x v="1"/>
    <s v="Convenience stores"/>
    <x v="7"/>
    <s v="Grekomila"/>
    <s v="|85/01/13|"/>
    <n v="612"/>
    <n v="2.97"/>
    <n v="3.78"/>
  </r>
  <r>
    <x v="1"/>
    <s v="Convenience stores"/>
    <x v="7"/>
    <s v="Grekomila"/>
    <s v="|85/01/14|"/>
    <n v="1164"/>
    <n v="3"/>
    <n v="3.44"/>
  </r>
  <r>
    <x v="1"/>
    <s v="Convenience stores"/>
    <x v="7"/>
    <s v="Grekomila"/>
    <s v="|85/01/15|"/>
    <n v="768"/>
    <n v="2.1"/>
    <n v="3.44"/>
  </r>
  <r>
    <x v="1"/>
    <s v="Convenience stores"/>
    <x v="7"/>
    <s v="Grekomila"/>
    <s v="|85/01/16|"/>
    <n v="948"/>
    <n v="2.8"/>
    <n v="3.57"/>
  </r>
  <r>
    <x v="1"/>
    <s v="Convenience stores"/>
    <x v="7"/>
    <s v="Grekomila"/>
    <s v="|85/02/01|"/>
    <n v="1032"/>
    <n v="3"/>
    <n v="3.46"/>
  </r>
  <r>
    <x v="1"/>
    <s v="Convenience stores"/>
    <x v="7"/>
    <s v="Grekomila"/>
    <s v="|85/02/02|"/>
    <n v="708"/>
    <n v="2.2599999999999998"/>
    <n v="3.23"/>
  </r>
  <r>
    <x v="1"/>
    <s v="Convenience stores"/>
    <x v="7"/>
    <s v="Grekomila"/>
    <s v="|85/03/01|"/>
    <n v="1068"/>
    <n v="2.0699999999999998"/>
    <n v="3.8"/>
  </r>
  <r>
    <x v="1"/>
    <s v="Convenience stores"/>
    <x v="7"/>
    <s v="Grekomila"/>
    <s v="|85/03/02|"/>
    <n v="612"/>
    <n v="2.2999999999999998"/>
    <n v="3.21"/>
  </r>
  <r>
    <x v="1"/>
    <s v="Convenience stores"/>
    <x v="7"/>
    <s v="Grekomila"/>
    <s v="|85/03/03|"/>
    <n v="816"/>
    <n v="2.31"/>
    <n v="3.95"/>
  </r>
  <r>
    <x v="1"/>
    <s v="Convenience stores"/>
    <x v="7"/>
    <s v="Grekomila"/>
    <s v="|85/03/04|"/>
    <n v="1032"/>
    <n v="2.4500000000000002"/>
    <n v="3.6"/>
  </r>
  <r>
    <x v="1"/>
    <s v="Convenience stores"/>
    <x v="7"/>
    <s v="Grekomila"/>
    <s v="|85/03/05|"/>
    <n v="828"/>
    <n v="2.2999999999999998"/>
    <n v="3.53"/>
  </r>
  <r>
    <x v="1"/>
    <s v="Convenience stores"/>
    <x v="7"/>
    <s v="Grekomila"/>
    <s v="|85/03/06|"/>
    <n v="984"/>
    <n v="2.71"/>
    <n v="3.45"/>
  </r>
  <r>
    <x v="1"/>
    <s v="Convenience stores"/>
    <x v="7"/>
    <s v="Grekomila"/>
    <s v="|85/03/07|"/>
    <n v="684"/>
    <n v="2.25"/>
    <n v="3.89"/>
  </r>
  <r>
    <x v="1"/>
    <s v="Convenience stores"/>
    <x v="7"/>
    <s v="Grekomila"/>
    <s v="|85/03/08|"/>
    <n v="624"/>
    <n v="2.08"/>
    <n v="3.77"/>
  </r>
  <r>
    <x v="1"/>
    <s v="Convenience stores"/>
    <x v="7"/>
    <s v="Grekomila"/>
    <s v="|85/03/09|"/>
    <n v="828"/>
    <n v="2.71"/>
    <n v="3.28"/>
  </r>
  <r>
    <x v="1"/>
    <s v="Convenience stores"/>
    <x v="7"/>
    <s v="Grekomila"/>
    <s v="|85/03/10|"/>
    <n v="972"/>
    <n v="2.79"/>
    <n v="3.9"/>
  </r>
  <r>
    <x v="1"/>
    <s v="Convenience stores"/>
    <x v="7"/>
    <s v="Grekomila"/>
    <s v="|85/03/11|"/>
    <n v="708"/>
    <n v="2.84"/>
    <n v="3.27"/>
  </r>
  <r>
    <x v="1"/>
    <s v="Convenience stores"/>
    <x v="7"/>
    <s v="Grekomila"/>
    <s v="|85/03/12|"/>
    <n v="1164"/>
    <n v="2.08"/>
    <n v="3.3"/>
  </r>
  <r>
    <x v="1"/>
    <s v="Convenience stores"/>
    <x v="7"/>
    <s v="Grekomila"/>
    <s v="|85/03/13|"/>
    <n v="720"/>
    <n v="2.62"/>
    <n v="3.94"/>
  </r>
  <r>
    <x v="1"/>
    <s v="Convenience stores"/>
    <x v="7"/>
    <s v="Grekomila"/>
    <s v="|85/03/14|"/>
    <n v="1092"/>
    <n v="2.81"/>
    <n v="3.42"/>
  </r>
  <r>
    <x v="1"/>
    <s v="Convenience stores"/>
    <x v="7"/>
    <s v="Grekomila"/>
    <s v="|85/03/15|"/>
    <n v="648"/>
    <n v="2.59"/>
    <n v="3.67"/>
  </r>
  <r>
    <x v="1"/>
    <s v="Convenience stores"/>
    <x v="7"/>
    <s v="Grekomila"/>
    <s v="|85/04/01|"/>
    <n v="960"/>
    <n v="2.08"/>
    <n v="3.65"/>
  </r>
  <r>
    <x v="1"/>
    <s v="Convenience stores"/>
    <x v="7"/>
    <s v="Grekomila"/>
    <s v="|85/04/02|"/>
    <n v="1116"/>
    <n v="2.14"/>
    <n v="3.34"/>
  </r>
  <r>
    <x v="1"/>
    <s v="Convenience stores"/>
    <x v="7"/>
    <s v="Grekomila"/>
    <s v="|85/04/03|"/>
    <n v="1116"/>
    <n v="2.76"/>
    <n v="3.51"/>
  </r>
  <r>
    <x v="1"/>
    <s v="Convenience stores"/>
    <x v="7"/>
    <s v="Grekomila"/>
    <s v="|85/04/04|"/>
    <n v="888"/>
    <n v="2.88"/>
    <n v="3.23"/>
  </r>
  <r>
    <x v="1"/>
    <s v="Convenience stores"/>
    <x v="7"/>
    <s v="Grekomila"/>
    <s v="|85/04/05|"/>
    <n v="924"/>
    <n v="2.92"/>
    <n v="3.4"/>
  </r>
  <r>
    <x v="1"/>
    <s v="Convenience stores"/>
    <x v="7"/>
    <s v="Grekomila"/>
    <s v="|85/04/06|"/>
    <n v="972"/>
    <n v="2.57"/>
    <n v="3.5"/>
  </r>
  <r>
    <x v="1"/>
    <s v="Convenience stores"/>
    <x v="7"/>
    <s v="Grekomila"/>
    <s v="|85/04/07|"/>
    <n v="624"/>
    <n v="2.91"/>
    <n v="3.51"/>
  </r>
  <r>
    <x v="1"/>
    <s v="Convenience stores"/>
    <x v="7"/>
    <s v="Grekomila"/>
    <s v="|85/04/08|"/>
    <n v="924"/>
    <n v="2.36"/>
    <n v="3.42"/>
  </r>
  <r>
    <x v="1"/>
    <s v="Convenience stores"/>
    <x v="7"/>
    <s v="Grekomila"/>
    <s v="|85/04/09|"/>
    <n v="876"/>
    <n v="2.69"/>
    <n v="3.95"/>
  </r>
  <r>
    <x v="1"/>
    <s v="Convenience stores"/>
    <x v="7"/>
    <s v="Grekomila"/>
    <s v="|85/04/10|"/>
    <n v="744"/>
    <n v="2.33"/>
    <n v="3.91"/>
  </r>
  <r>
    <x v="1"/>
    <s v="Convenience stores"/>
    <x v="7"/>
    <s v="Grekomila"/>
    <s v="|85/04/11|"/>
    <n v="744"/>
    <n v="2.14"/>
    <n v="3.87"/>
  </r>
  <r>
    <x v="1"/>
    <s v="Convenience stores"/>
    <x v="7"/>
    <s v="Grekomila"/>
    <s v="|85/04/12|"/>
    <n v="852"/>
    <n v="2.73"/>
    <n v="3.78"/>
  </r>
  <r>
    <x v="1"/>
    <s v="Convenience stores"/>
    <x v="7"/>
    <s v="Grekomila"/>
    <s v="|85/04/13|"/>
    <n v="1092"/>
    <n v="2.35"/>
    <n v="3.67"/>
  </r>
  <r>
    <x v="1"/>
    <s v="Convenience stores"/>
    <x v="7"/>
    <s v="Grekomila"/>
    <s v="|85/04/14|"/>
    <n v="1068"/>
    <n v="2.58"/>
    <n v="3.93"/>
  </r>
  <r>
    <x v="1"/>
    <s v="Convenience stores"/>
    <x v="7"/>
    <s v="Grekomila"/>
    <s v="|85/04/15|"/>
    <n v="876"/>
    <n v="2.54"/>
    <n v="3.78"/>
  </r>
  <r>
    <x v="1"/>
    <s v="Convenience stores"/>
    <x v="7"/>
    <s v="Grekomila"/>
    <s v="|85/04/16|"/>
    <n v="780"/>
    <n v="2.58"/>
    <n v="3.62"/>
  </r>
  <r>
    <x v="1"/>
    <s v="Convenience stores"/>
    <x v="7"/>
    <s v="Grekomila"/>
    <s v="|85/04/17|"/>
    <n v="900"/>
    <n v="2.8"/>
    <n v="3.51"/>
  </r>
  <r>
    <x v="1"/>
    <s v="Convenience stores"/>
    <x v="7"/>
    <s v="Grekomila"/>
    <s v="|85/04/18|"/>
    <n v="852"/>
    <n v="2.68"/>
    <n v="3.55"/>
  </r>
  <r>
    <x v="1"/>
    <s v="Convenience stores"/>
    <x v="7"/>
    <s v="Grekomila"/>
    <s v="|85/05/01|"/>
    <n v="732"/>
    <n v="2.65"/>
    <n v="3.93"/>
  </r>
  <r>
    <x v="1"/>
    <s v="Convenience stores"/>
    <x v="7"/>
    <s v="Grekomila"/>
    <s v="|85/05/02|"/>
    <n v="1200"/>
    <n v="2.5"/>
    <n v="3.5"/>
  </r>
  <r>
    <x v="1"/>
    <s v="Convenience stores"/>
    <x v="7"/>
    <s v="Grekomila"/>
    <s v="|85/05/03|"/>
    <n v="852"/>
    <n v="2.99"/>
    <n v="3.71"/>
  </r>
  <r>
    <x v="1"/>
    <s v="Convenience stores"/>
    <x v="7"/>
    <s v="Grekomila"/>
    <s v="|85/05/04|"/>
    <n v="1128"/>
    <n v="2.88"/>
    <n v="3.66"/>
  </r>
  <r>
    <x v="1"/>
    <s v="Convenience stores"/>
    <x v="7"/>
    <s v="Grekomila"/>
    <s v="|85/06/01|"/>
    <n v="900"/>
    <n v="2.66"/>
    <n v="3.4"/>
  </r>
  <r>
    <x v="1"/>
    <s v="Convenience stores"/>
    <x v="7"/>
    <s v="Grekomila"/>
    <s v="|85/06/02|"/>
    <n v="744"/>
    <n v="2.95"/>
    <n v="3.45"/>
  </r>
  <r>
    <x v="1"/>
    <s v="Convenience stores"/>
    <x v="7"/>
    <s v="Grekomila"/>
    <s v="|85/06/03|"/>
    <n v="1044"/>
    <n v="2.58"/>
    <n v="3.53"/>
  </r>
  <r>
    <x v="1"/>
    <s v="Convenience stores"/>
    <x v="7"/>
    <s v="Grekomila"/>
    <s v="|85/06/04|"/>
    <n v="756"/>
    <n v="2.77"/>
    <n v="3.48"/>
  </r>
  <r>
    <x v="1"/>
    <s v="Convenience stores"/>
    <x v="7"/>
    <s v="Grekomila"/>
    <s v="|85/06/05|"/>
    <n v="1092"/>
    <n v="2.37"/>
    <n v="3.88"/>
  </r>
  <r>
    <x v="1"/>
    <s v="Convenience stores"/>
    <x v="7"/>
    <s v="Grekomila"/>
    <s v="|85/06/06|"/>
    <n v="1032"/>
    <n v="2.39"/>
    <n v="3.38"/>
  </r>
  <r>
    <x v="1"/>
    <s v="Convenience stores"/>
    <x v="7"/>
    <s v="Grekomila"/>
    <s v="|85/06/07|"/>
    <n v="792"/>
    <n v="2.52"/>
    <n v="3.52"/>
  </r>
  <r>
    <x v="1"/>
    <s v="Convenience stores"/>
    <x v="7"/>
    <s v="Grekomila"/>
    <s v="|85/07/01|"/>
    <n v="744"/>
    <n v="2.61"/>
    <n v="3.27"/>
  </r>
  <r>
    <x v="1"/>
    <s v="Convenience stores"/>
    <x v="9"/>
    <s v="Cif"/>
    <s v="|111/00/00|"/>
    <n v="732"/>
    <n v="1.44"/>
    <n v="3.12"/>
  </r>
  <r>
    <x v="1"/>
    <s v="Convenience stores"/>
    <x v="9"/>
    <s v="Cif"/>
    <s v="|111/00/01|"/>
    <n v="612"/>
    <n v="2.21"/>
    <n v="2.06"/>
  </r>
  <r>
    <x v="1"/>
    <s v="Convenience stores"/>
    <x v="9"/>
    <s v="Cif"/>
    <s v="|111/00/02|"/>
    <n v="1116"/>
    <n v="1.98"/>
    <n v="2.27"/>
  </r>
  <r>
    <x v="1"/>
    <s v="Convenience stores"/>
    <x v="9"/>
    <s v="Cif"/>
    <s v="|111/00/03|"/>
    <n v="1176"/>
    <n v="2.46"/>
    <n v="2.29"/>
  </r>
  <r>
    <x v="1"/>
    <s v="Convenience stores"/>
    <x v="6"/>
    <s v="Mars"/>
    <s v="|66/01/01|"/>
    <n v="2520"/>
    <n v="3"/>
    <n v="3.89"/>
  </r>
  <r>
    <x v="1"/>
    <s v="Convenience stores"/>
    <x v="6"/>
    <s v="Mars"/>
    <s v="|66/01/02|"/>
    <n v="1800"/>
    <n v="2.4300000000000002"/>
    <n v="3.88"/>
  </r>
  <r>
    <x v="1"/>
    <s v="Convenience stores"/>
    <x v="6"/>
    <s v="Mars"/>
    <s v="|66/01/03|"/>
    <n v="2484"/>
    <n v="2.94"/>
    <n v="3.39"/>
  </r>
  <r>
    <x v="1"/>
    <s v="Convenience stores"/>
    <x v="6"/>
    <s v="Mars"/>
    <s v="|66/01/04|"/>
    <n v="1692"/>
    <n v="2.71"/>
    <n v="3.78"/>
  </r>
  <r>
    <x v="1"/>
    <s v="Convenience stores"/>
    <x v="6"/>
    <s v="Mars"/>
    <s v="|66/01/05|"/>
    <n v="2016"/>
    <n v="2.94"/>
    <n v="3.98"/>
  </r>
  <r>
    <x v="1"/>
    <s v="Convenience stores"/>
    <x v="6"/>
    <s v="Mars"/>
    <s v="|66/01/06|"/>
    <n v="2580"/>
    <n v="2.76"/>
    <n v="3.54"/>
  </r>
  <r>
    <x v="1"/>
    <s v="Convenience stores"/>
    <x v="6"/>
    <s v="Mars"/>
    <s v="|66/02/01|"/>
    <n v="1380"/>
    <n v="2.83"/>
    <n v="3.62"/>
  </r>
  <r>
    <x v="1"/>
    <s v="Convenience stores"/>
    <x v="6"/>
    <s v="Mars"/>
    <s v="|66/02/02|"/>
    <n v="2520"/>
    <n v="2.4500000000000002"/>
    <n v="3.57"/>
  </r>
  <r>
    <x v="1"/>
    <s v="Convenience stores"/>
    <x v="5"/>
    <s v="Ulker"/>
    <s v="|96/00/01|"/>
    <n v="1044"/>
    <n v="1.25"/>
    <n v="1.69"/>
  </r>
  <r>
    <x v="1"/>
    <s v="Convenience stores"/>
    <x v="5"/>
    <s v="Ulker"/>
    <s v="|96/00/02|"/>
    <n v="1128"/>
    <n v="1.1499999999999999"/>
    <n v="1.88"/>
  </r>
  <r>
    <x v="1"/>
    <s v="Convenience stores"/>
    <x v="5"/>
    <s v="Ulker"/>
    <s v="|96/00/03|"/>
    <n v="1032"/>
    <n v="1.37"/>
    <n v="1.9"/>
  </r>
  <r>
    <x v="1"/>
    <s v="Convenience stores"/>
    <x v="5"/>
    <s v="Ulker"/>
    <s v="|96/00/04|"/>
    <n v="588"/>
    <n v="1.1100000000000001"/>
    <n v="1.79"/>
  </r>
  <r>
    <x v="1"/>
    <s v="Convenience stores"/>
    <x v="5"/>
    <s v="Ulker"/>
    <s v="|96/00/05|"/>
    <n v="1320"/>
    <n v="1.28"/>
    <n v="1.62"/>
  </r>
  <r>
    <x v="1"/>
    <s v="Convenience stores"/>
    <x v="5"/>
    <s v="Ulker"/>
    <s v="|96/00/06|"/>
    <n v="1068"/>
    <n v="1.35"/>
    <n v="1.62"/>
  </r>
  <r>
    <x v="1"/>
    <s v="Convenience stores"/>
    <x v="5"/>
    <s v="Ulker"/>
    <s v="|96/00/07|"/>
    <n v="780"/>
    <n v="1.47"/>
    <n v="1.6"/>
  </r>
  <r>
    <x v="1"/>
    <s v="Convenience stores"/>
    <x v="5"/>
    <s v="Ulker"/>
    <s v="|96/00/08|"/>
    <n v="1044"/>
    <n v="1.3"/>
    <n v="1.62"/>
  </r>
  <r>
    <x v="1"/>
    <s v="Convenience stores"/>
    <x v="5"/>
    <s v="Ulker"/>
    <s v="|96/00/09|"/>
    <n v="1236"/>
    <n v="1.24"/>
    <n v="1.77"/>
  </r>
  <r>
    <x v="1"/>
    <s v="Convenience stores"/>
    <x v="9"/>
    <s v="WC Net"/>
    <s v="|52/01/01|"/>
    <n v="408"/>
    <n v="2.06"/>
    <n v="3.2"/>
  </r>
  <r>
    <x v="1"/>
    <s v="Convenience stores"/>
    <x v="9"/>
    <s v="WC Net"/>
    <s v="|52/01/02|"/>
    <n v="684"/>
    <n v="1.46"/>
    <n v="3.13"/>
  </r>
  <r>
    <x v="1"/>
    <s v="Convenience stores"/>
    <x v="9"/>
    <s v="WC Net"/>
    <s v="|52/01/03|"/>
    <n v="792"/>
    <n v="1.64"/>
    <n v="2.29"/>
  </r>
  <r>
    <x v="1"/>
    <s v="Convenience stores"/>
    <x v="9"/>
    <s v="WC Net"/>
    <s v="|52/01/03a|"/>
    <n v="372"/>
    <n v="1.58"/>
    <n v="3.41"/>
  </r>
  <r>
    <x v="1"/>
    <s v="Convenience stores"/>
    <x v="9"/>
    <s v="WC Net"/>
    <s v="|52/01/03b|"/>
    <n v="1188"/>
    <n v="2.14"/>
    <n v="2.58"/>
  </r>
  <r>
    <x v="1"/>
    <s v="Convenience stores"/>
    <x v="9"/>
    <s v="WC Net"/>
    <s v="|52/01/03c|"/>
    <n v="600"/>
    <n v="1.32"/>
    <n v="2.57"/>
  </r>
  <r>
    <x v="1"/>
    <s v="Convenience stores"/>
    <x v="9"/>
    <s v="WC Net"/>
    <s v="|52/01/03e|"/>
    <n v="480"/>
    <n v="1.83"/>
    <n v="3.12"/>
  </r>
  <r>
    <x v="1"/>
    <s v="Convenience stores"/>
    <x v="9"/>
    <s v="WC Net"/>
    <s v="|52/01/03f|"/>
    <n v="516"/>
    <n v="1.34"/>
    <n v="2.9"/>
  </r>
  <r>
    <x v="1"/>
    <s v="Convenience stores"/>
    <x v="9"/>
    <s v="WC Net"/>
    <s v="|52/01/03g|"/>
    <n v="444"/>
    <n v="1.54"/>
    <n v="2.2400000000000002"/>
  </r>
  <r>
    <x v="1"/>
    <s v="Convenience stores"/>
    <x v="9"/>
    <s v="WC Net"/>
    <s v="|52/01/03h|"/>
    <n v="960"/>
    <n v="1.53"/>
    <n v="2.76"/>
  </r>
  <r>
    <x v="1"/>
    <s v="Convenience stores"/>
    <x v="9"/>
    <s v="WC Net"/>
    <s v="|52/01/03i|"/>
    <n v="696"/>
    <n v="1.68"/>
    <n v="2.19"/>
  </r>
  <r>
    <x v="1"/>
    <s v="Convenience stores"/>
    <x v="9"/>
    <s v="WC Net"/>
    <s v="|52/01/03j|"/>
    <n v="792"/>
    <n v="2.16"/>
    <n v="2.81"/>
  </r>
  <r>
    <x v="1"/>
    <s v="Convenience stores"/>
    <x v="9"/>
    <s v="WC Net"/>
    <s v="|52/01/03m|"/>
    <n v="1152"/>
    <n v="2.44"/>
    <n v="2.61"/>
  </r>
  <r>
    <x v="1"/>
    <s v="Convenience stores"/>
    <x v="9"/>
    <s v="WC Net"/>
    <s v="|52/01/03n|"/>
    <n v="744"/>
    <n v="2.4300000000000002"/>
    <n v="2.68"/>
  </r>
  <r>
    <x v="1"/>
    <s v="Convenience stores"/>
    <x v="9"/>
    <s v="WC Net"/>
    <s v="|52/01/03v|"/>
    <n v="756"/>
    <n v="2.38"/>
    <n v="3.16"/>
  </r>
  <r>
    <x v="1"/>
    <s v="Convenience stores"/>
    <x v="9"/>
    <s v="WC Net"/>
    <s v="|52/01/10|"/>
    <n v="456"/>
    <n v="2.44"/>
    <n v="3.03"/>
  </r>
  <r>
    <x v="1"/>
    <s v="Convenience stores"/>
    <x v="9"/>
    <s v="WC Net"/>
    <s v="|52/01/11|"/>
    <n v="384"/>
    <n v="1.92"/>
    <n v="2.81"/>
  </r>
  <r>
    <x v="1"/>
    <s v="Convenience stores"/>
    <x v="5"/>
    <s v="Mondelez"/>
    <s v="|123/01/01|"/>
    <n v="936"/>
    <n v="1.27"/>
    <n v="1.68"/>
  </r>
  <r>
    <x v="1"/>
    <s v="Convenience stores"/>
    <x v="5"/>
    <s v="Mondelez"/>
    <s v="|123/01/02|"/>
    <n v="996"/>
    <n v="1.1399999999999999"/>
    <n v="1.82"/>
  </r>
  <r>
    <x v="1"/>
    <s v="Convenience stores"/>
    <x v="5"/>
    <s v="Mondelez"/>
    <s v="|123/01/03|"/>
    <n v="888"/>
    <n v="1.1599999999999999"/>
    <n v="1.67"/>
  </r>
  <r>
    <x v="1"/>
    <s v="Convenience stores"/>
    <x v="5"/>
    <s v="Mondelez"/>
    <s v="|123/01/05|"/>
    <n v="1140"/>
    <n v="1.34"/>
    <n v="1.69"/>
  </r>
  <r>
    <x v="1"/>
    <s v="Convenience stores"/>
    <x v="5"/>
    <s v="Mondelez"/>
    <s v="|123/01/06|"/>
    <n v="768"/>
    <n v="1.49"/>
    <n v="1.9"/>
  </r>
  <r>
    <x v="1"/>
    <s v="Convenience stores"/>
    <x v="4"/>
    <s v="Sephora"/>
    <s v="|01/01/01|"/>
    <n v="396"/>
    <n v="4.43"/>
    <n v="5.36"/>
  </r>
  <r>
    <x v="1"/>
    <s v="Convenience stores"/>
    <x v="4"/>
    <s v="Sephora"/>
    <s v="|01/01/02|"/>
    <n v="264"/>
    <n v="4.34"/>
    <n v="5.16"/>
  </r>
  <r>
    <x v="1"/>
    <s v="Convenience stores"/>
    <x v="4"/>
    <s v="Sephora"/>
    <s v="|01/01/04|"/>
    <n v="432"/>
    <n v="4.22"/>
    <n v="5.16"/>
  </r>
  <r>
    <x v="1"/>
    <s v="Convenience stores"/>
    <x v="4"/>
    <s v="Sephora"/>
    <s v="|01/01/05|"/>
    <n v="444"/>
    <n v="4.87"/>
    <n v="5.01"/>
  </r>
  <r>
    <x v="1"/>
    <s v="Convenience stores"/>
    <x v="4"/>
    <s v="Sephora"/>
    <s v="|01/01/06|"/>
    <n v="516"/>
    <n v="4.01"/>
    <n v="5.16"/>
  </r>
  <r>
    <x v="1"/>
    <s v="Convenience stores"/>
    <x v="4"/>
    <s v="Sephora"/>
    <s v="|01/01/08|"/>
    <n v="252"/>
    <n v="4.28"/>
    <n v="5.09"/>
  </r>
  <r>
    <x v="1"/>
    <s v="Convenience stores"/>
    <x v="4"/>
    <s v="Sephora"/>
    <s v="|01/01/10|"/>
    <n v="456"/>
    <n v="4.3499999999999996"/>
    <n v="5.29"/>
  </r>
  <r>
    <x v="1"/>
    <s v="Convenience stores"/>
    <x v="4"/>
    <s v="Sephora"/>
    <s v="|01/01/11|"/>
    <n v="432"/>
    <n v="4.12"/>
    <n v="5.3"/>
  </r>
  <r>
    <x v="1"/>
    <s v="Convenience stores"/>
    <x v="4"/>
    <s v="Sephora"/>
    <s v="|01/01/12|"/>
    <n v="540"/>
    <n v="4.45"/>
    <n v="5.24"/>
  </r>
  <r>
    <x v="1"/>
    <s v="Convenience stores"/>
    <x v="4"/>
    <s v="Sephora"/>
    <s v="|01/01/13|"/>
    <n v="396"/>
    <n v="4.58"/>
    <n v="5.25"/>
  </r>
  <r>
    <x v="1"/>
    <s v="Convenience stores"/>
    <x v="4"/>
    <s v="Sephora"/>
    <s v="|01/01/15|"/>
    <n v="384"/>
    <n v="4.37"/>
    <n v="5.09"/>
  </r>
  <r>
    <x v="1"/>
    <s v="Convenience stores"/>
    <x v="4"/>
    <s v="Sephora"/>
    <s v="|01/01/17|"/>
    <n v="600"/>
    <n v="4.3600000000000003"/>
    <n v="5.32"/>
  </r>
  <r>
    <x v="1"/>
    <s v="Convenience stores"/>
    <x v="4"/>
    <s v="Sephora"/>
    <s v="|01/01/18|"/>
    <n v="648"/>
    <n v="4.97"/>
    <n v="5.39"/>
  </r>
  <r>
    <x v="1"/>
    <s v="Convenience stores"/>
    <x v="4"/>
    <s v="Sephora"/>
    <s v="|01/01/19|"/>
    <n v="492"/>
    <n v="4.59"/>
    <n v="5.05"/>
  </r>
  <r>
    <x v="1"/>
    <s v="Convenience stores"/>
    <x v="4"/>
    <s v="Sephora"/>
    <s v="|01/01/20|"/>
    <n v="612"/>
    <n v="4.3099999999999996"/>
    <n v="5.09"/>
  </r>
  <r>
    <x v="1"/>
    <s v="Convenience stores"/>
    <x v="4"/>
    <s v="Sephora"/>
    <s v="|01/01/21|"/>
    <n v="576"/>
    <n v="4.09"/>
    <n v="5.15"/>
  </r>
  <r>
    <x v="1"/>
    <s v="Convenience stores"/>
    <x v="4"/>
    <s v="Sephora"/>
    <s v="|01/01/23|"/>
    <n v="432"/>
    <n v="4.79"/>
    <n v="5.25"/>
  </r>
  <r>
    <x v="1"/>
    <s v="Convenience stores"/>
    <x v="4"/>
    <s v="Sephora"/>
    <s v="|01/01/24|"/>
    <n v="528"/>
    <n v="4.3"/>
    <n v="5.12"/>
  </r>
  <r>
    <x v="1"/>
    <s v="Convenience stores"/>
    <x v="4"/>
    <s v="Sephora"/>
    <s v="|01/01/25|"/>
    <n v="348"/>
    <n v="4.63"/>
    <n v="5.21"/>
  </r>
  <r>
    <x v="1"/>
    <s v="Convenience stores"/>
    <x v="4"/>
    <s v="Sephora"/>
    <s v="|01/01/26|"/>
    <n v="396"/>
    <n v="4.04"/>
    <n v="5.15"/>
  </r>
  <r>
    <x v="1"/>
    <s v="Convenience stores"/>
    <x v="4"/>
    <s v="Sephora"/>
    <s v="|01/01/30|"/>
    <n v="432"/>
    <n v="4.9800000000000004"/>
    <n v="5.36"/>
  </r>
  <r>
    <x v="1"/>
    <s v="Convenience stores"/>
    <x v="4"/>
    <s v="Sephora"/>
    <s v="|01/01/31|"/>
    <n v="432"/>
    <n v="4.3"/>
    <n v="5.3"/>
  </r>
  <r>
    <x v="1"/>
    <s v="Convenience stores"/>
    <x v="4"/>
    <s v="Sephora"/>
    <s v="|01/01/32|"/>
    <n v="372"/>
    <n v="4.8899999999999997"/>
    <n v="5.23"/>
  </r>
  <r>
    <x v="1"/>
    <s v="Convenience stores"/>
    <x v="4"/>
    <s v="Sephora"/>
    <s v="|01/01/33|"/>
    <n v="528"/>
    <n v="4.0599999999999996"/>
    <n v="5.37"/>
  </r>
  <r>
    <x v="1"/>
    <s v="Convenience stores"/>
    <x v="4"/>
    <s v="Sephora"/>
    <s v="|01/01/34|"/>
    <n v="372"/>
    <n v="4.66"/>
    <n v="5.31"/>
  </r>
  <r>
    <x v="1"/>
    <s v="Convenience stores"/>
    <x v="4"/>
    <s v="Sephora"/>
    <s v="|01/01/35|"/>
    <n v="504"/>
    <n v="4.8099999999999996"/>
    <n v="5.36"/>
  </r>
  <r>
    <x v="1"/>
    <s v="Convenience stores"/>
    <x v="4"/>
    <s v="Sephora"/>
    <s v="|01/01/36|"/>
    <n v="420"/>
    <n v="4.87"/>
    <n v="5.08"/>
  </r>
  <r>
    <x v="1"/>
    <s v="Convenience stores"/>
    <x v="4"/>
    <s v="Sephora"/>
    <s v="|01/01/37|"/>
    <n v="540"/>
    <n v="4.6399999999999997"/>
    <n v="5.39"/>
  </r>
  <r>
    <x v="1"/>
    <s v="Convenience stores"/>
    <x v="4"/>
    <s v="Sephora"/>
    <s v="|01/01/38|"/>
    <n v="636"/>
    <n v="4.0199999999999996"/>
    <n v="5.32"/>
  </r>
  <r>
    <x v="1"/>
    <s v="Convenience stores"/>
    <x v="4"/>
    <s v="Sephora"/>
    <s v="|01/01/39|"/>
    <n v="264"/>
    <n v="4.82"/>
    <n v="5.0599999999999996"/>
  </r>
  <r>
    <x v="1"/>
    <s v="Convenience stores"/>
    <x v="4"/>
    <s v="Sephora"/>
    <s v="|01/01/40|"/>
    <n v="600"/>
    <n v="4"/>
    <n v="5.27"/>
  </r>
  <r>
    <x v="1"/>
    <s v="Convenience stores"/>
    <x v="4"/>
    <s v="Sephora"/>
    <s v="|01/01/41|"/>
    <n v="444"/>
    <n v="4.54"/>
    <n v="5.16"/>
  </r>
  <r>
    <x v="1"/>
    <s v="Convenience stores"/>
    <x v="4"/>
    <s v="Sephora"/>
    <s v="|01/01/42|"/>
    <n v="468"/>
    <n v="4.99"/>
    <n v="5.3"/>
  </r>
  <r>
    <x v="1"/>
    <s v="Convenience stores"/>
    <x v="2"/>
    <s v="Jacobs"/>
    <s v="|11/01/01|"/>
    <n v="7560"/>
    <n v="0.91"/>
    <n v="1.19"/>
  </r>
  <r>
    <x v="1"/>
    <s v="Convenience stores"/>
    <x v="2"/>
    <s v="Jacobs"/>
    <s v="|11/02/01|"/>
    <n v="7236"/>
    <n v="0.52"/>
    <n v="1.2"/>
  </r>
  <r>
    <x v="1"/>
    <s v="Convenience stores"/>
    <x v="5"/>
    <s v="Sapori di Siena"/>
    <s v="|76/01/01|"/>
    <n v="996"/>
    <n v="1.24"/>
    <n v="1.61"/>
  </r>
  <r>
    <x v="1"/>
    <s v="Convenience stores"/>
    <x v="5"/>
    <s v="Sapori di Siena"/>
    <s v="|76/01/02|"/>
    <n v="972"/>
    <n v="1.48"/>
    <n v="1.74"/>
  </r>
  <r>
    <x v="1"/>
    <s v="Convenience stores"/>
    <x v="5"/>
    <s v="Sapori di Siena"/>
    <s v="|76/01/03|"/>
    <n v="792"/>
    <n v="1.46"/>
    <n v="1.6"/>
  </r>
  <r>
    <x v="1"/>
    <s v="Convenience stores"/>
    <x v="5"/>
    <s v="Sapori di Siena"/>
    <s v="|76/01/04|"/>
    <n v="636"/>
    <n v="1.47"/>
    <n v="1.75"/>
  </r>
  <r>
    <x v="1"/>
    <s v="Convenience stores"/>
    <x v="5"/>
    <s v="Sapori di Siena"/>
    <s v="|76/01/05a|"/>
    <n v="1092"/>
    <n v="1.23"/>
    <n v="1.67"/>
  </r>
  <r>
    <x v="1"/>
    <s v="Convenience stores"/>
    <x v="5"/>
    <s v="Sapori di Siena"/>
    <s v="|76/01/06a|"/>
    <n v="624"/>
    <n v="1.47"/>
    <n v="1.62"/>
  </r>
  <r>
    <x v="1"/>
    <s v="Convenience stores"/>
    <x v="3"/>
    <s v="TIP"/>
    <s v="|26/01/04|"/>
    <n v="168"/>
    <n v="1.04"/>
    <n v="1.38"/>
  </r>
  <r>
    <x v="1"/>
    <s v="Supermarkets"/>
    <x v="15"/>
    <s v="Monzuro"/>
    <s v="|102/01/01|"/>
    <n v="1668"/>
    <n v="0.6"/>
    <n v="1.07"/>
  </r>
  <r>
    <x v="1"/>
    <s v="Supermarkets"/>
    <x v="15"/>
    <s v="Monzuro"/>
    <s v="|102/01/02|"/>
    <n v="1500"/>
    <n v="0.71"/>
    <n v="1.17"/>
  </r>
  <r>
    <x v="1"/>
    <s v="Supermarkets"/>
    <x v="15"/>
    <s v="Monzuro"/>
    <s v="|102/01/03|"/>
    <n v="1344"/>
    <n v="0.87"/>
    <n v="1.1599999999999999"/>
  </r>
  <r>
    <x v="1"/>
    <s v="Supermarkets"/>
    <x v="15"/>
    <s v="Monzuro"/>
    <s v="|102/01/04|"/>
    <n v="1440"/>
    <n v="0.84"/>
    <n v="1.18"/>
  </r>
  <r>
    <x v="1"/>
    <s v="Supermarkets"/>
    <x v="15"/>
    <s v="Monzuro"/>
    <s v="|102/01/05|"/>
    <n v="1416"/>
    <n v="0.79"/>
    <n v="0.97"/>
  </r>
  <r>
    <x v="1"/>
    <s v="Supermarkets"/>
    <x v="15"/>
    <s v="Monzuro"/>
    <s v="|102/01/06|"/>
    <n v="1404"/>
    <n v="0.63"/>
    <n v="0.96"/>
  </r>
  <r>
    <x v="1"/>
    <s v="Supermarkets"/>
    <x v="15"/>
    <s v="Monzuro"/>
    <s v="|102/01/07|"/>
    <n v="1536"/>
    <n v="0.66"/>
    <n v="1.01"/>
  </r>
  <r>
    <x v="1"/>
    <s v="Supermarkets"/>
    <x v="15"/>
    <s v="Monzuro"/>
    <s v="|102/01/08|"/>
    <n v="1500"/>
    <n v="0.68"/>
    <n v="1.1599999999999999"/>
  </r>
  <r>
    <x v="2"/>
    <s v="Convenience stores"/>
    <x v="1"/>
    <s v="San Benedetto"/>
    <s v="|13/12/38|"/>
    <n v="588"/>
    <n v="6.58"/>
    <n v="8.4533333333333331"/>
  </r>
  <r>
    <x v="2"/>
    <s v="Convenience stores"/>
    <x v="1"/>
    <s v="San Benedetto"/>
    <s v="|13/13/98|"/>
    <n v="600"/>
    <n v="5.4733333333333336"/>
    <n v="7.8266666666666671"/>
  </r>
  <r>
    <x v="2"/>
    <s v="Convenience stores"/>
    <x v="1"/>
    <s v="San Benedetto"/>
    <s v="|13/13/99|"/>
    <n v="528"/>
    <n v="5.32"/>
    <n v="7.6266666666666669"/>
  </r>
  <r>
    <x v="2"/>
    <s v="Convenience stores"/>
    <x v="2"/>
    <s v="San Benedetto"/>
    <s v="|13/01/01|"/>
    <n v="6564"/>
    <n v="0.55000000000000004"/>
    <n v="1.05"/>
  </r>
  <r>
    <x v="2"/>
    <s v="Convenience stores"/>
    <x v="2"/>
    <s v="San Benedetto"/>
    <s v="|13/01/01a|"/>
    <n v="8748"/>
    <n v="0.41"/>
    <n v="0.96"/>
  </r>
  <r>
    <x v="2"/>
    <s v="Convenience stores"/>
    <x v="2"/>
    <s v="San Benedetto"/>
    <s v="|13/01/02|"/>
    <n v="7344"/>
    <n v="0.82"/>
    <n v="1.02"/>
  </r>
  <r>
    <x v="2"/>
    <s v="Convenience stores"/>
    <x v="2"/>
    <s v="San Benedetto"/>
    <s v="|13/01/03|"/>
    <n v="7800"/>
    <n v="0.41"/>
    <n v="1.18"/>
  </r>
  <r>
    <x v="2"/>
    <s v="Convenience stores"/>
    <x v="2"/>
    <s v="San Benedetto"/>
    <s v="|13/01/04|"/>
    <n v="8568"/>
    <n v="0.56999999999999995"/>
    <n v="1.17"/>
  </r>
  <r>
    <x v="2"/>
    <s v="Convenience stores"/>
    <x v="2"/>
    <s v="San Benedetto"/>
    <s v="|13/01/05|"/>
    <n v="5292"/>
    <n v="0.92"/>
    <n v="1.2"/>
  </r>
  <r>
    <x v="2"/>
    <s v="Convenience stores"/>
    <x v="2"/>
    <s v="San Benedetto"/>
    <s v="|13/01/06|"/>
    <n v="7272"/>
    <n v="1.18"/>
    <n v="0.93"/>
  </r>
  <r>
    <x v="2"/>
    <s v="Convenience stores"/>
    <x v="2"/>
    <s v="San Benedetto"/>
    <s v="|13/01/07|"/>
    <n v="5760"/>
    <n v="0.42"/>
    <n v="0.99"/>
  </r>
  <r>
    <x v="2"/>
    <s v="Convenience stores"/>
    <x v="2"/>
    <s v="San Benedetto"/>
    <s v="|13/01/30|"/>
    <n v="6840"/>
    <n v="0.92"/>
    <n v="1.07"/>
  </r>
  <r>
    <x v="2"/>
    <s v="Convenience stores"/>
    <x v="2"/>
    <s v="San Benedetto"/>
    <s v="|13/11/01|"/>
    <n v="7944"/>
    <n v="0.84"/>
    <n v="0.91"/>
  </r>
  <r>
    <x v="2"/>
    <s v="Convenience stores"/>
    <x v="2"/>
    <s v="San Benedetto"/>
    <s v="|13/11/01a|"/>
    <n v="6084"/>
    <n v="0.71"/>
    <n v="0.98"/>
  </r>
  <r>
    <x v="2"/>
    <s v="Convenience stores"/>
    <x v="2"/>
    <s v="San Benedetto"/>
    <s v="|13/11/02|"/>
    <n v="6072"/>
    <n v="0.44"/>
    <n v="0.95"/>
  </r>
  <r>
    <x v="2"/>
    <s v="Convenience stores"/>
    <x v="2"/>
    <s v="San Benedetto"/>
    <s v="|13/11/03|"/>
    <n v="9288"/>
    <n v="0.98"/>
    <n v="1.1599999999999999"/>
  </r>
  <r>
    <x v="2"/>
    <s v="Convenience stores"/>
    <x v="2"/>
    <s v="San Benedetto"/>
    <s v="|13/11/04|"/>
    <n v="7044"/>
    <n v="0.6"/>
    <n v="1.1399999999999999"/>
  </r>
  <r>
    <x v="2"/>
    <s v="Convenience stores"/>
    <x v="2"/>
    <s v="San Benedetto"/>
    <s v="|13/12/01|"/>
    <n v="5136"/>
    <n v="1.03"/>
    <n v="1.07"/>
  </r>
  <r>
    <x v="2"/>
    <s v="Convenience stores"/>
    <x v="2"/>
    <s v="San Benedetto"/>
    <s v="|13/12/02|"/>
    <n v="5616"/>
    <n v="0.72"/>
    <n v="1.03"/>
  </r>
  <r>
    <x v="2"/>
    <s v="Convenience stores"/>
    <x v="2"/>
    <s v="San Benedetto"/>
    <s v="|13/12/03|"/>
    <n v="7056"/>
    <n v="1.1200000000000001"/>
    <n v="1.06"/>
  </r>
  <r>
    <x v="2"/>
    <s v="Convenience stores"/>
    <x v="2"/>
    <s v="San Benedetto"/>
    <s v="|13/12/04|"/>
    <n v="9204"/>
    <n v="0.77"/>
    <n v="0.96"/>
  </r>
  <r>
    <x v="2"/>
    <s v="Convenience stores"/>
    <x v="2"/>
    <s v="San Benedetto"/>
    <s v="|13/12/05|"/>
    <n v="8604"/>
    <n v="0.73"/>
    <n v="1.19"/>
  </r>
  <r>
    <x v="2"/>
    <s v="Convenience stores"/>
    <x v="2"/>
    <s v="San Benedetto"/>
    <s v="|13/12/06|"/>
    <n v="7836"/>
    <n v="0.51"/>
    <n v="1.1599999999999999"/>
  </r>
  <r>
    <x v="2"/>
    <s v="Convenience stores"/>
    <x v="2"/>
    <s v="San Benedetto"/>
    <s v="|13/12/07|"/>
    <n v="9060"/>
    <n v="0.6"/>
    <n v="1.1399999999999999"/>
  </r>
  <r>
    <x v="2"/>
    <s v="Convenience stores"/>
    <x v="2"/>
    <s v="San Benedetto"/>
    <s v="|13/12/08|"/>
    <n v="6708"/>
    <n v="1.18"/>
    <n v="0.94"/>
  </r>
  <r>
    <x v="2"/>
    <s v="Convenience stores"/>
    <x v="2"/>
    <s v="San Benedetto"/>
    <s v="|13/12/09|"/>
    <n v="8028"/>
    <n v="0.41"/>
    <n v="1.01"/>
  </r>
  <r>
    <x v="2"/>
    <s v="Convenience stores"/>
    <x v="2"/>
    <s v="San Benedetto"/>
    <s v="|13/12/10|"/>
    <n v="7056"/>
    <n v="0.73"/>
    <n v="1.1399999999999999"/>
  </r>
  <r>
    <x v="2"/>
    <s v="Convenience stores"/>
    <x v="2"/>
    <s v="San Benedetto"/>
    <s v="|13/12/11|"/>
    <n v="4800"/>
    <n v="1.1100000000000001"/>
    <n v="0.97"/>
  </r>
  <r>
    <x v="2"/>
    <s v="Convenience stores"/>
    <x v="2"/>
    <s v="San Benedetto"/>
    <s v="|13/12/12|"/>
    <n v="7380"/>
    <n v="1.1299999999999999"/>
    <n v="1.1499999999999999"/>
  </r>
  <r>
    <x v="2"/>
    <s v="Convenience stores"/>
    <x v="2"/>
    <s v="San Benedetto"/>
    <s v="|13/12/13|"/>
    <n v="4908"/>
    <n v="1.01"/>
    <n v="1.18"/>
  </r>
  <r>
    <x v="2"/>
    <s v="Convenience stores"/>
    <x v="2"/>
    <s v="San Benedetto"/>
    <s v="|13/12/14|"/>
    <n v="4896"/>
    <n v="0.7"/>
    <n v="1.06"/>
  </r>
  <r>
    <x v="2"/>
    <s v="Convenience stores"/>
    <x v="2"/>
    <s v="San Benedetto"/>
    <s v="|13/12/15|"/>
    <n v="8556"/>
    <n v="0.62"/>
    <n v="0.97"/>
  </r>
  <r>
    <x v="2"/>
    <s v="Convenience stores"/>
    <x v="2"/>
    <s v="San Benedetto"/>
    <s v="|13/12/16|"/>
    <n v="6348"/>
    <n v="0.64"/>
    <n v="1.02"/>
  </r>
  <r>
    <x v="2"/>
    <s v="Convenience stores"/>
    <x v="2"/>
    <s v="San Benedetto"/>
    <s v="|13/12/17|"/>
    <n v="4848"/>
    <n v="1.1399999999999999"/>
    <n v="1.19"/>
  </r>
  <r>
    <x v="2"/>
    <s v="Convenience stores"/>
    <x v="2"/>
    <s v="San Benedetto"/>
    <s v="|13/12/18|"/>
    <n v="9336"/>
    <n v="0.65"/>
    <n v="0.98"/>
  </r>
  <r>
    <x v="2"/>
    <s v="Convenience stores"/>
    <x v="2"/>
    <s v="San Benedetto"/>
    <s v="|13/12/19|"/>
    <n v="6468"/>
    <n v="0.83"/>
    <n v="1.1200000000000001"/>
  </r>
  <r>
    <x v="2"/>
    <s v="Convenience stores"/>
    <x v="2"/>
    <s v="San Benedetto"/>
    <s v="|13/12/20|"/>
    <n v="5700"/>
    <n v="0.74"/>
    <n v="0.99"/>
  </r>
  <r>
    <x v="2"/>
    <s v="Convenience stores"/>
    <x v="2"/>
    <s v="San Benedetto"/>
    <s v="|13/12/21|"/>
    <n v="7116"/>
    <n v="0.6"/>
    <n v="1.06"/>
  </r>
  <r>
    <x v="2"/>
    <s v="Convenience stores"/>
    <x v="2"/>
    <s v="San Benedetto"/>
    <s v="|13/12/22|"/>
    <n v="5484"/>
    <n v="0.8"/>
    <n v="1.04"/>
  </r>
  <r>
    <x v="2"/>
    <s v="Convenience stores"/>
    <x v="2"/>
    <s v="San Benedetto"/>
    <s v="|13/12/23|"/>
    <n v="8916"/>
    <n v="1.1399999999999999"/>
    <n v="1.06"/>
  </r>
  <r>
    <x v="2"/>
    <s v="Convenience stores"/>
    <x v="2"/>
    <s v="San Benedetto"/>
    <s v="|13/12/24|"/>
    <n v="6216"/>
    <n v="0.51"/>
    <n v="1.17"/>
  </r>
  <r>
    <x v="2"/>
    <s v="Convenience stores"/>
    <x v="2"/>
    <s v="San Benedetto"/>
    <s v="|13/12/25|"/>
    <n v="5580"/>
    <n v="0.62"/>
    <n v="1.02"/>
  </r>
  <r>
    <x v="2"/>
    <s v="Convenience stores"/>
    <x v="2"/>
    <s v="San Benedetto"/>
    <s v="|13/12/26|"/>
    <n v="8088"/>
    <n v="0.88"/>
    <n v="1.1399999999999999"/>
  </r>
  <r>
    <x v="2"/>
    <s v="Convenience stores"/>
    <x v="2"/>
    <s v="San Benedetto"/>
    <s v="|13/12/27|"/>
    <n v="7008"/>
    <n v="0.97"/>
    <n v="1.2"/>
  </r>
  <r>
    <x v="2"/>
    <s v="Convenience stores"/>
    <x v="2"/>
    <s v="San Benedetto"/>
    <s v="|13/12/28|"/>
    <n v="8040"/>
    <n v="0.63"/>
    <n v="1.08"/>
  </r>
  <r>
    <x v="2"/>
    <s v="Convenience stores"/>
    <x v="2"/>
    <s v="San Benedetto"/>
    <s v="|13/12/29|"/>
    <n v="8904"/>
    <n v="1.1399999999999999"/>
    <n v="1.01"/>
  </r>
  <r>
    <x v="2"/>
    <s v="Convenience stores"/>
    <x v="2"/>
    <s v="San Benedetto"/>
    <s v="|13/12/30|"/>
    <n v="6420"/>
    <n v="0.86"/>
    <n v="1"/>
  </r>
  <r>
    <x v="2"/>
    <s v="Convenience stores"/>
    <x v="2"/>
    <s v="San Benedetto"/>
    <s v="|13/12/31|"/>
    <n v="5568"/>
    <n v="0.89"/>
    <n v="1"/>
  </r>
  <r>
    <x v="2"/>
    <s v="Convenience stores"/>
    <x v="2"/>
    <s v="San Benedetto"/>
    <s v="|13/12/32|"/>
    <n v="6240"/>
    <n v="0.46"/>
    <n v="1.01"/>
  </r>
  <r>
    <x v="2"/>
    <s v="Convenience stores"/>
    <x v="2"/>
    <s v="San Benedetto"/>
    <s v="|13/12/33|"/>
    <n v="8808"/>
    <n v="1.1599999999999999"/>
    <n v="0.99"/>
  </r>
  <r>
    <x v="2"/>
    <s v="Convenience stores"/>
    <x v="2"/>
    <s v="San Benedetto"/>
    <s v="|13/12/34|"/>
    <n v="8100"/>
    <n v="1.1399999999999999"/>
    <n v="0.9"/>
  </r>
  <r>
    <x v="2"/>
    <s v="Convenience stores"/>
    <x v="2"/>
    <s v="San Benedetto"/>
    <s v="|13/12/35|"/>
    <n v="5076"/>
    <n v="0.57999999999999996"/>
    <n v="1.05"/>
  </r>
  <r>
    <x v="2"/>
    <s v="Convenience stores"/>
    <x v="2"/>
    <s v="San Benedetto"/>
    <s v="|13/12/36|"/>
    <n v="8244"/>
    <n v="1.19"/>
    <n v="0.98"/>
  </r>
  <r>
    <x v="2"/>
    <s v="Convenience stores"/>
    <x v="2"/>
    <s v="San Benedetto"/>
    <s v="|13/12/37|"/>
    <n v="8616"/>
    <n v="0.87"/>
    <n v="1.02"/>
  </r>
  <r>
    <x v="2"/>
    <s v="Convenience stores"/>
    <x v="2"/>
    <s v="San Benedetto"/>
    <s v="|13/12/39|"/>
    <n v="8244"/>
    <n v="0.62"/>
    <n v="0.99"/>
  </r>
  <r>
    <x v="2"/>
    <s v="Convenience stores"/>
    <x v="2"/>
    <s v="San Benedetto"/>
    <s v="|13/12/40|"/>
    <n v="9180"/>
    <n v="1.2"/>
    <n v="1.08"/>
  </r>
  <r>
    <x v="2"/>
    <s v="Convenience stores"/>
    <x v="2"/>
    <s v="San Benedetto"/>
    <s v="|13/12/41|"/>
    <n v="8196"/>
    <n v="1.1299999999999999"/>
    <n v="0.93"/>
  </r>
  <r>
    <x v="2"/>
    <s v="Convenience stores"/>
    <x v="2"/>
    <s v="San Benedetto"/>
    <s v="|13/12/42|"/>
    <n v="7980"/>
    <n v="0.59"/>
    <n v="0.98"/>
  </r>
  <r>
    <x v="2"/>
    <s v="Convenience stores"/>
    <x v="2"/>
    <s v="San Benedetto"/>
    <s v="|13/12/43|"/>
    <n v="8988"/>
    <n v="0.55000000000000004"/>
    <n v="0.99"/>
  </r>
  <r>
    <x v="2"/>
    <s v="Convenience stores"/>
    <x v="2"/>
    <s v="San Benedetto"/>
    <s v="|13/12/44|"/>
    <n v="7200"/>
    <n v="0.53"/>
    <n v="1.1499999999999999"/>
  </r>
  <r>
    <x v="2"/>
    <s v="Convenience stores"/>
    <x v="2"/>
    <s v="San Benedetto"/>
    <s v="|13/12/45|"/>
    <n v="6816"/>
    <n v="0.91"/>
    <n v="1.04"/>
  </r>
  <r>
    <x v="2"/>
    <s v="Convenience stores"/>
    <x v="2"/>
    <s v="San Benedetto"/>
    <s v="|13/12/46|"/>
    <n v="8724"/>
    <n v="0.52"/>
    <n v="1.1399999999999999"/>
  </r>
  <r>
    <x v="2"/>
    <s v="Convenience stores"/>
    <x v="2"/>
    <s v="San Benedetto"/>
    <s v="|13/12/47|"/>
    <n v="8160"/>
    <n v="0.49"/>
    <n v="1.01"/>
  </r>
  <r>
    <x v="2"/>
    <s v="Convenience stores"/>
    <x v="2"/>
    <s v="San Benedetto"/>
    <s v="|13/12/48|"/>
    <n v="7212"/>
    <n v="0.52"/>
    <n v="1.07"/>
  </r>
  <r>
    <x v="2"/>
    <s v="Convenience stores"/>
    <x v="2"/>
    <s v="San Benedetto"/>
    <s v="|13/12/49|"/>
    <n v="5112"/>
    <n v="0.86"/>
    <n v="1.08"/>
  </r>
  <r>
    <x v="2"/>
    <s v="Convenience stores"/>
    <x v="2"/>
    <s v="San Benedetto"/>
    <s v="|13/12/51|"/>
    <n v="7044"/>
    <n v="0.89"/>
    <n v="1.1100000000000001"/>
  </r>
  <r>
    <x v="2"/>
    <s v="Convenience stores"/>
    <x v="2"/>
    <s v="San Benedetto"/>
    <s v="|13/12/52|"/>
    <n v="7872"/>
    <n v="0.69"/>
    <n v="1.0900000000000001"/>
  </r>
  <r>
    <x v="2"/>
    <s v="Convenience stores"/>
    <x v="2"/>
    <s v="San Benedetto"/>
    <s v="|13/12/53|"/>
    <n v="7860"/>
    <n v="1.1100000000000001"/>
    <n v="1.05"/>
  </r>
  <r>
    <x v="2"/>
    <s v="Convenience stores"/>
    <x v="2"/>
    <s v="San Benedetto"/>
    <s v="|13/12/54|"/>
    <n v="5088"/>
    <n v="0.9"/>
    <n v="0.96"/>
  </r>
  <r>
    <x v="2"/>
    <s v="Convenience stores"/>
    <x v="2"/>
    <s v="San Benedetto"/>
    <s v="|13/12/55|"/>
    <n v="8028"/>
    <n v="0.82"/>
    <n v="1.02"/>
  </r>
  <r>
    <x v="2"/>
    <s v="Convenience stores"/>
    <x v="2"/>
    <s v="San Benedetto"/>
    <s v="|13/12/56|"/>
    <n v="5544"/>
    <n v="0.62"/>
    <n v="0.99"/>
  </r>
  <r>
    <x v="2"/>
    <s v="Convenience stores"/>
    <x v="2"/>
    <s v="San Benedetto"/>
    <s v="|13/12/57|"/>
    <n v="5220"/>
    <n v="1.1499999999999999"/>
    <n v="1"/>
  </r>
  <r>
    <x v="2"/>
    <s v="Convenience stores"/>
    <x v="2"/>
    <s v="San Benedetto"/>
    <s v="|13/12/58|"/>
    <n v="5904"/>
    <n v="1.05"/>
    <n v="1.18"/>
  </r>
  <r>
    <x v="2"/>
    <s v="Convenience stores"/>
    <x v="2"/>
    <s v="San Benedetto"/>
    <s v="|13/12/59|"/>
    <n v="7452"/>
    <n v="1.1200000000000001"/>
    <n v="1.0900000000000001"/>
  </r>
  <r>
    <x v="2"/>
    <s v="Convenience stores"/>
    <x v="2"/>
    <s v="San Benedetto"/>
    <s v="|13/12/60|"/>
    <n v="7680"/>
    <n v="1.05"/>
    <n v="0.97"/>
  </r>
  <r>
    <x v="2"/>
    <s v="Convenience stores"/>
    <x v="2"/>
    <s v="San Benedetto"/>
    <s v="|13/12/61|"/>
    <n v="6588"/>
    <n v="0.49"/>
    <n v="0.96"/>
  </r>
  <r>
    <x v="2"/>
    <s v="Convenience stores"/>
    <x v="2"/>
    <s v="San Benedetto"/>
    <s v="|13/12/62|"/>
    <n v="5208"/>
    <n v="1.04"/>
    <n v="1.1599999999999999"/>
  </r>
  <r>
    <x v="2"/>
    <s v="Convenience stores"/>
    <x v="2"/>
    <s v="San Benedetto"/>
    <s v="|13/12/63|"/>
    <n v="5184"/>
    <n v="0.47"/>
    <n v="0.99"/>
  </r>
  <r>
    <x v="2"/>
    <s v="Convenience stores"/>
    <x v="2"/>
    <s v="San Benedetto"/>
    <s v="|13/12/64|"/>
    <n v="6936"/>
    <n v="0.72"/>
    <n v="0.93"/>
  </r>
  <r>
    <x v="2"/>
    <s v="Convenience stores"/>
    <x v="2"/>
    <s v="San Benedetto"/>
    <s v="|13/12/65|"/>
    <n v="6792"/>
    <n v="0.48"/>
    <n v="1.18"/>
  </r>
  <r>
    <x v="2"/>
    <s v="Convenience stores"/>
    <x v="2"/>
    <s v="San Benedetto"/>
    <s v="|13/12/66|"/>
    <n v="6372"/>
    <n v="1.2"/>
    <n v="0.96"/>
  </r>
  <r>
    <x v="2"/>
    <s v="Convenience stores"/>
    <x v="2"/>
    <s v="San Benedetto"/>
    <s v="|13/12/67|"/>
    <n v="5868"/>
    <n v="0.95"/>
    <n v="0.92"/>
  </r>
  <r>
    <x v="2"/>
    <s v="Convenience stores"/>
    <x v="2"/>
    <s v="San Benedetto"/>
    <s v="|13/12/68|"/>
    <n v="8412"/>
    <n v="0.59"/>
    <n v="1.04"/>
  </r>
  <r>
    <x v="2"/>
    <s v="Convenience stores"/>
    <x v="2"/>
    <s v="San Benedetto"/>
    <s v="|13/12/69|"/>
    <n v="9180"/>
    <n v="0.72"/>
    <n v="1.0900000000000001"/>
  </r>
  <r>
    <x v="2"/>
    <s v="Convenience stores"/>
    <x v="2"/>
    <s v="San Benedetto"/>
    <s v="|13/12/70|"/>
    <n v="7404"/>
    <n v="0.95"/>
    <n v="1.1299999999999999"/>
  </r>
  <r>
    <x v="2"/>
    <s v="Convenience stores"/>
    <x v="2"/>
    <s v="San Benedetto"/>
    <s v="|13/12/71|"/>
    <n v="6960"/>
    <n v="1.01"/>
    <n v="0.94"/>
  </r>
  <r>
    <x v="2"/>
    <s v="Convenience stores"/>
    <x v="2"/>
    <s v="San Benedetto"/>
    <s v="|13/12/72|"/>
    <n v="7488"/>
    <n v="0.66"/>
    <n v="1.19"/>
  </r>
  <r>
    <x v="2"/>
    <s v="Convenience stores"/>
    <x v="2"/>
    <s v="San Benedetto"/>
    <s v="|13/12/73|"/>
    <n v="8016"/>
    <n v="0.98"/>
    <n v="1.07"/>
  </r>
  <r>
    <x v="2"/>
    <s v="Convenience stores"/>
    <x v="2"/>
    <s v="San Benedetto"/>
    <s v="|13/12/74|"/>
    <n v="7980"/>
    <n v="0.41"/>
    <n v="1.1599999999999999"/>
  </r>
  <r>
    <x v="2"/>
    <s v="Convenience stores"/>
    <x v="2"/>
    <s v="San Benedetto"/>
    <s v="|13/12/75|"/>
    <n v="7800"/>
    <n v="0.81"/>
    <n v="0.95"/>
  </r>
  <r>
    <x v="2"/>
    <s v="Convenience stores"/>
    <x v="2"/>
    <s v="San Benedetto"/>
    <s v="|13/12/76|"/>
    <n v="6192"/>
    <n v="0.46"/>
    <n v="1.18"/>
  </r>
  <r>
    <x v="2"/>
    <s v="Convenience stores"/>
    <x v="2"/>
    <s v="San Benedetto"/>
    <s v="|13/12/77|"/>
    <n v="9252"/>
    <n v="0.97"/>
    <n v="0.96"/>
  </r>
  <r>
    <x v="2"/>
    <s v="Convenience stores"/>
    <x v="2"/>
    <s v="San Benedetto"/>
    <s v="|13/12/78|"/>
    <n v="5064"/>
    <n v="0.63"/>
    <n v="1.1200000000000001"/>
  </r>
  <r>
    <x v="2"/>
    <s v="Convenience stores"/>
    <x v="2"/>
    <s v="San Benedetto"/>
    <s v="|13/12/79|"/>
    <n v="6528"/>
    <n v="0.91"/>
    <n v="1.1399999999999999"/>
  </r>
  <r>
    <x v="2"/>
    <s v="Convenience stores"/>
    <x v="2"/>
    <s v="San Benedetto"/>
    <s v="|13/12/80|"/>
    <n v="4908"/>
    <n v="0.7"/>
    <n v="1.1200000000000001"/>
  </r>
  <r>
    <x v="2"/>
    <s v="Convenience stores"/>
    <x v="2"/>
    <s v="San Benedetto"/>
    <s v="|13/12/81|"/>
    <n v="7776"/>
    <n v="0.88"/>
    <n v="1.1599999999999999"/>
  </r>
  <r>
    <x v="2"/>
    <s v="Convenience stores"/>
    <x v="2"/>
    <s v="San Benedetto"/>
    <s v="|13/12/82|"/>
    <n v="5700"/>
    <n v="1.18"/>
    <n v="0.95"/>
  </r>
  <r>
    <x v="2"/>
    <s v="Convenience stores"/>
    <x v="2"/>
    <s v="San Benedetto"/>
    <s v="|13/12/83|"/>
    <n v="6768"/>
    <n v="0.64"/>
    <n v="1.05"/>
  </r>
  <r>
    <x v="2"/>
    <s v="Convenience stores"/>
    <x v="2"/>
    <s v="San Benedetto"/>
    <s v="|13/12/84|"/>
    <n v="6804"/>
    <n v="1.03"/>
    <n v="1.06"/>
  </r>
  <r>
    <x v="2"/>
    <s v="Convenience stores"/>
    <x v="2"/>
    <s v="San Benedetto"/>
    <s v="|13/12/85|"/>
    <n v="6648"/>
    <n v="0.55000000000000004"/>
    <n v="0.9"/>
  </r>
  <r>
    <x v="2"/>
    <s v="Convenience stores"/>
    <x v="2"/>
    <s v="San Benedetto"/>
    <s v="|13/12/86|"/>
    <n v="7308"/>
    <n v="0.86"/>
    <n v="0.98"/>
  </r>
  <r>
    <x v="2"/>
    <s v="Convenience stores"/>
    <x v="2"/>
    <s v="San Benedetto"/>
    <s v="|13/12/88|"/>
    <n v="5820"/>
    <n v="1.04"/>
    <n v="0.95"/>
  </r>
  <r>
    <x v="2"/>
    <s v="Convenience stores"/>
    <x v="2"/>
    <s v="San Benedetto"/>
    <s v="|13/12/89|"/>
    <n v="9516"/>
    <n v="0.9"/>
    <n v="1.2"/>
  </r>
  <r>
    <x v="2"/>
    <s v="Convenience stores"/>
    <x v="2"/>
    <s v="San Benedetto"/>
    <s v="|13/12/90|"/>
    <n v="9396"/>
    <n v="0.96"/>
    <n v="1.1499999999999999"/>
  </r>
  <r>
    <x v="2"/>
    <s v="Convenience stores"/>
    <x v="2"/>
    <s v="San Benedetto"/>
    <s v="|13/12/91|"/>
    <n v="9408"/>
    <n v="0.82"/>
    <n v="1.2"/>
  </r>
  <r>
    <x v="2"/>
    <s v="Convenience stores"/>
    <x v="2"/>
    <s v="San Benedetto"/>
    <s v="|13/12/92|"/>
    <n v="7812"/>
    <n v="0.79"/>
    <n v="1.03"/>
  </r>
  <r>
    <x v="2"/>
    <s v="Convenience stores"/>
    <x v="2"/>
    <s v="San Benedetto"/>
    <s v="|13/12/93|"/>
    <n v="8676"/>
    <n v="0.4"/>
    <n v="1.1299999999999999"/>
  </r>
  <r>
    <x v="2"/>
    <s v="Convenience stores"/>
    <x v="2"/>
    <s v="San Benedetto"/>
    <s v="|13/12/94|"/>
    <n v="8280"/>
    <n v="1.08"/>
    <n v="1.03"/>
  </r>
  <r>
    <x v="2"/>
    <s v="Convenience stores"/>
    <x v="2"/>
    <s v="San Benedetto"/>
    <s v="|13/12/95|"/>
    <n v="6804"/>
    <n v="0.46"/>
    <n v="0.97"/>
  </r>
  <r>
    <x v="2"/>
    <s v="Convenience stores"/>
    <x v="2"/>
    <s v="San Benedetto"/>
    <s v="|13/12/96|"/>
    <n v="6444"/>
    <n v="1"/>
    <n v="0.92"/>
  </r>
  <r>
    <x v="2"/>
    <s v="Convenience stores"/>
    <x v="2"/>
    <s v="San Benedetto"/>
    <s v="|13/12/97|"/>
    <n v="5580"/>
    <n v="0.77"/>
    <n v="1.1200000000000001"/>
  </r>
  <r>
    <x v="2"/>
    <s v="Convenience stores"/>
    <x v="2"/>
    <s v="San Benedetto"/>
    <s v="|13/12/98|"/>
    <n v="5640"/>
    <n v="1.02"/>
    <n v="1.08"/>
  </r>
  <r>
    <x v="2"/>
    <s v="Convenience stores"/>
    <x v="2"/>
    <s v="San Benedetto"/>
    <s v="|13/12/99|"/>
    <n v="7668"/>
    <n v="0.71"/>
    <n v="1.1599999999999999"/>
  </r>
  <r>
    <x v="2"/>
    <s v="Convenience stores"/>
    <x v="2"/>
    <s v="San Benedetto"/>
    <s v="|13/13/23|"/>
    <n v="5196"/>
    <n v="1.1599999999999999"/>
    <n v="1.02"/>
  </r>
  <r>
    <x v="2"/>
    <s v="Convenience stores"/>
    <x v="2"/>
    <s v="San Benedetto"/>
    <s v="|13/13/25|"/>
    <n v="8076"/>
    <n v="0.92"/>
    <n v="1.08"/>
  </r>
  <r>
    <x v="2"/>
    <s v="Convenience stores"/>
    <x v="2"/>
    <s v="San Benedetto"/>
    <s v="|13/13/26|"/>
    <n v="5760"/>
    <n v="0.93"/>
    <n v="1.1100000000000001"/>
  </r>
  <r>
    <x v="2"/>
    <s v="Convenience stores"/>
    <x v="2"/>
    <s v="San Benedetto"/>
    <s v="|13/13/27|"/>
    <n v="5316"/>
    <n v="1.01"/>
    <n v="1.03"/>
  </r>
  <r>
    <x v="2"/>
    <s v="Convenience stores"/>
    <x v="2"/>
    <s v="San Benedetto"/>
    <s v="|13/13/28|"/>
    <n v="5688"/>
    <n v="1.03"/>
    <n v="0.99"/>
  </r>
  <r>
    <x v="2"/>
    <s v="Convenience stores"/>
    <x v="2"/>
    <s v="San Benedetto"/>
    <s v="|13/13/29|"/>
    <n v="7920"/>
    <n v="1"/>
    <n v="1.05"/>
  </r>
  <r>
    <x v="2"/>
    <s v="Convenience stores"/>
    <x v="2"/>
    <s v="San Benedetto"/>
    <s v="|13/13/30|"/>
    <n v="7608"/>
    <n v="0.97"/>
    <n v="1"/>
  </r>
  <r>
    <x v="2"/>
    <s v="Convenience stores"/>
    <x v="2"/>
    <s v="San Benedetto"/>
    <s v="|13/13/31|"/>
    <n v="7920"/>
    <n v="1.03"/>
    <n v="0.92"/>
  </r>
  <r>
    <x v="2"/>
    <s v="Convenience stores"/>
    <x v="2"/>
    <s v="San Benedetto"/>
    <s v="|13/13/32|"/>
    <n v="8160"/>
    <n v="0.91"/>
    <n v="0.91"/>
  </r>
  <r>
    <x v="2"/>
    <s v="Convenience stores"/>
    <x v="2"/>
    <s v="San Benedetto"/>
    <s v="|13/13/33|"/>
    <n v="7308"/>
    <n v="0.47"/>
    <n v="1.05"/>
  </r>
  <r>
    <x v="2"/>
    <s v="Convenience stores"/>
    <x v="2"/>
    <s v="San Benedetto"/>
    <s v="|13/13/34|"/>
    <n v="6780"/>
    <n v="0.73"/>
    <n v="1.1399999999999999"/>
  </r>
  <r>
    <x v="2"/>
    <s v="Convenience stores"/>
    <x v="2"/>
    <s v="San Benedetto"/>
    <s v="|13/13/35|"/>
    <n v="6480"/>
    <n v="0.9"/>
    <n v="0.92"/>
  </r>
  <r>
    <x v="2"/>
    <s v="Convenience stores"/>
    <x v="2"/>
    <s v="San Benedetto"/>
    <s v="|13/13/36|"/>
    <n v="5904"/>
    <n v="0.48"/>
    <n v="1.1499999999999999"/>
  </r>
  <r>
    <x v="2"/>
    <s v="Convenience stores"/>
    <x v="2"/>
    <s v="San Benedetto"/>
    <s v="|13/13/37|"/>
    <n v="7992"/>
    <n v="1.1599999999999999"/>
    <n v="1.1100000000000001"/>
  </r>
  <r>
    <x v="2"/>
    <s v="Convenience stores"/>
    <x v="2"/>
    <s v="San Benedetto"/>
    <s v="|13/13/38|"/>
    <n v="8160"/>
    <n v="0.42"/>
    <n v="1.19"/>
  </r>
  <r>
    <x v="2"/>
    <s v="Convenience stores"/>
    <x v="2"/>
    <s v="San Benedetto"/>
    <s v="|13/13/39|"/>
    <n v="8652"/>
    <n v="1.06"/>
    <n v="1.19"/>
  </r>
  <r>
    <x v="2"/>
    <s v="Convenience stores"/>
    <x v="2"/>
    <s v="San Benedetto"/>
    <s v="|13/13/40|"/>
    <n v="9096"/>
    <n v="0.82"/>
    <n v="1.1599999999999999"/>
  </r>
  <r>
    <x v="2"/>
    <s v="Convenience stores"/>
    <x v="2"/>
    <s v="San Benedetto"/>
    <s v="|13/13/41|"/>
    <n v="7068"/>
    <n v="1.06"/>
    <n v="1.1399999999999999"/>
  </r>
  <r>
    <x v="2"/>
    <s v="Convenience stores"/>
    <x v="2"/>
    <s v="San Benedetto"/>
    <s v="|13/13/43|"/>
    <n v="9048"/>
    <n v="0.55000000000000004"/>
    <n v="1.1100000000000001"/>
  </r>
  <r>
    <x v="2"/>
    <s v="Convenience stores"/>
    <x v="2"/>
    <s v="San Benedetto"/>
    <s v="|13/99/01|"/>
    <n v="7560"/>
    <n v="0.48"/>
    <n v="1.17"/>
  </r>
  <r>
    <x v="2"/>
    <s v="Convenience stores"/>
    <x v="2"/>
    <s v="San Benedetto"/>
    <s v="|13/99/02|"/>
    <n v="5376"/>
    <n v="0.87"/>
    <n v="1"/>
  </r>
  <r>
    <x v="2"/>
    <s v="Convenience stores"/>
    <x v="2"/>
    <s v="San Benedetto"/>
    <s v="|13/99/03|"/>
    <n v="9528"/>
    <n v="0.51"/>
    <n v="1.1200000000000001"/>
  </r>
  <r>
    <x v="2"/>
    <s v="Convenience stores"/>
    <x v="2"/>
    <s v="San Benedetto"/>
    <s v="|13/99/04|"/>
    <n v="9480"/>
    <n v="0.73"/>
    <n v="0.9"/>
  </r>
  <r>
    <x v="2"/>
    <s v="Convenience stores"/>
    <x v="2"/>
    <s v="San Benedetto"/>
    <s v="|13/99/05|"/>
    <n v="5760"/>
    <n v="0.93"/>
    <n v="1.1000000000000001"/>
  </r>
  <r>
    <x v="2"/>
    <s v="Convenience stores"/>
    <x v="2"/>
    <s v="San Benedetto"/>
    <s v="|13/99/06|"/>
    <n v="8664"/>
    <n v="0.89"/>
    <n v="0.91"/>
  </r>
  <r>
    <x v="2"/>
    <s v="Convenience stores"/>
    <x v="2"/>
    <s v="San Benedetto"/>
    <s v="|13/99/07|"/>
    <n v="4992"/>
    <n v="0.65"/>
    <n v="1.1100000000000001"/>
  </r>
  <r>
    <x v="2"/>
    <s v="Convenience stores"/>
    <x v="2"/>
    <s v="San Benedetto"/>
    <s v="|13/99/08|"/>
    <n v="8832"/>
    <n v="0.66"/>
    <n v="0.98"/>
  </r>
  <r>
    <x v="2"/>
    <s v="Convenience stores"/>
    <x v="2"/>
    <s v="San Benedetto"/>
    <s v="|13/99/09|"/>
    <n v="6900"/>
    <n v="0.68"/>
    <n v="1.03"/>
  </r>
  <r>
    <x v="2"/>
    <s v="Convenience stores"/>
    <x v="2"/>
    <s v="San Benedetto"/>
    <s v="|13/99/10|"/>
    <n v="8292"/>
    <n v="0.96"/>
    <n v="1.17"/>
  </r>
  <r>
    <x v="2"/>
    <s v="Convenience stores"/>
    <x v="2"/>
    <s v="San Benedetto"/>
    <s v="|13/99/11|"/>
    <n v="8172"/>
    <n v="0.74"/>
    <n v="0.91"/>
  </r>
  <r>
    <x v="2"/>
    <s v="Convenience stores"/>
    <x v="2"/>
    <s v="San Benedetto"/>
    <s v="|13/99/14|"/>
    <n v="4860"/>
    <n v="0.79"/>
    <n v="0.93"/>
  </r>
  <r>
    <x v="2"/>
    <s v="Convenience stores"/>
    <x v="2"/>
    <s v="San Benedetto"/>
    <s v="|13/99/15|"/>
    <n v="5904"/>
    <n v="0.78"/>
    <n v="1.1499999999999999"/>
  </r>
  <r>
    <x v="2"/>
    <s v="Convenience stores"/>
    <x v="2"/>
    <s v="San Benedetto"/>
    <s v="|13/99/16|"/>
    <n v="9552"/>
    <n v="0.6"/>
    <n v="0.98"/>
  </r>
  <r>
    <x v="2"/>
    <s v="Convenience stores"/>
    <x v="2"/>
    <s v="San Benedetto"/>
    <s v="|13/99/17|"/>
    <n v="5268"/>
    <n v="0.67"/>
    <n v="1.1200000000000001"/>
  </r>
  <r>
    <x v="2"/>
    <s v="Convenience stores"/>
    <x v="2"/>
    <s v="San Benedetto"/>
    <s v="|13/99/18|"/>
    <n v="5352"/>
    <n v="1.17"/>
    <n v="1.0900000000000001"/>
  </r>
  <r>
    <x v="2"/>
    <s v="Convenience stores"/>
    <x v="2"/>
    <s v="San Benedetto"/>
    <s v="|13/99/19|"/>
    <n v="5664"/>
    <n v="0.57999999999999996"/>
    <n v="1.03"/>
  </r>
  <r>
    <x v="2"/>
    <s v="Convenience stores"/>
    <x v="2"/>
    <s v="San Benedetto"/>
    <s v="|13/99/20|"/>
    <n v="6336"/>
    <n v="1.02"/>
    <n v="1.17"/>
  </r>
  <r>
    <x v="2"/>
    <s v="Convenience stores"/>
    <x v="2"/>
    <s v="San Benedetto"/>
    <s v="|13/99/21|"/>
    <n v="6144"/>
    <n v="0.8"/>
    <n v="0.91"/>
  </r>
  <r>
    <x v="2"/>
    <s v="Convenience stores"/>
    <x v="2"/>
    <s v="San Benedetto"/>
    <s v="|13/99/30|"/>
    <n v="9288"/>
    <n v="0.93"/>
    <n v="1.08"/>
  </r>
  <r>
    <x v="2"/>
    <s v="Convenience stores"/>
    <x v="2"/>
    <s v="San Benedetto"/>
    <s v="|13/99/31|"/>
    <n v="6972"/>
    <n v="1"/>
    <n v="1.2"/>
  </r>
  <r>
    <x v="2"/>
    <s v="Convenience stores"/>
    <x v="2"/>
    <s v="San Benedetto"/>
    <s v="|13/99/32|"/>
    <n v="6900"/>
    <n v="1.0900000000000001"/>
    <n v="1.1499999999999999"/>
  </r>
  <r>
    <x v="2"/>
    <s v="Convenience stores"/>
    <x v="2"/>
    <s v="San Benedetto"/>
    <s v="|13/99/33|"/>
    <n v="6120"/>
    <n v="1.07"/>
    <n v="1.02"/>
  </r>
  <r>
    <x v="2"/>
    <s v="Convenience stores"/>
    <x v="2"/>
    <s v="San Benedetto"/>
    <s v="|13/99/34|"/>
    <n v="9348"/>
    <n v="0.89"/>
    <n v="1.1499999999999999"/>
  </r>
  <r>
    <x v="2"/>
    <s v="Convenience stores"/>
    <x v="2"/>
    <s v="San Benedetto"/>
    <s v="|13/99/51|"/>
    <n v="7296"/>
    <n v="0.64"/>
    <n v="1.06"/>
  </r>
  <r>
    <x v="2"/>
    <s v="Convenience stores"/>
    <x v="3"/>
    <s v="San Benedetto"/>
    <s v="|13/05/01|"/>
    <n v="60"/>
    <n v="1.0900000000000001"/>
    <n v="1.32"/>
  </r>
  <r>
    <x v="2"/>
    <s v="Convenience stores"/>
    <x v="3"/>
    <s v="San Benedetto"/>
    <s v="|13/05/02|"/>
    <n v="60"/>
    <n v="1.19"/>
    <n v="1.23"/>
  </r>
  <r>
    <x v="2"/>
    <s v="Convenience stores"/>
    <x v="3"/>
    <s v="San Benedetto"/>
    <s v="|13/05/04|"/>
    <n v="48"/>
    <n v="1.05"/>
    <n v="1.26"/>
  </r>
  <r>
    <x v="2"/>
    <s v="Convenience stores"/>
    <x v="4"/>
    <s v="San Benedetto"/>
    <s v="|13/12/87|"/>
    <n v="264"/>
    <n v="4.63"/>
    <n v="5.39"/>
  </r>
  <r>
    <x v="2"/>
    <s v="Convenience stores"/>
    <x v="4"/>
    <s v="San Benedetto"/>
    <s v="|13/13/01|"/>
    <n v="336"/>
    <n v="4.1100000000000003"/>
    <n v="5.19"/>
  </r>
  <r>
    <x v="2"/>
    <s v="Convenience stores"/>
    <x v="4"/>
    <s v="San Benedetto"/>
    <s v="|13/13/02|"/>
    <n v="360"/>
    <n v="4.91"/>
    <n v="5.0199999999999996"/>
  </r>
  <r>
    <x v="2"/>
    <s v="Convenience stores"/>
    <x v="4"/>
    <s v="San Benedetto"/>
    <s v="|13/13/03|"/>
    <n v="516"/>
    <n v="4.8600000000000003"/>
    <n v="5.19"/>
  </r>
  <r>
    <x v="2"/>
    <s v="Convenience stores"/>
    <x v="4"/>
    <s v="San Benedetto"/>
    <s v="|13/13/04|"/>
    <n v="288"/>
    <n v="4.93"/>
    <n v="5.25"/>
  </r>
  <r>
    <x v="2"/>
    <s v="Convenience stores"/>
    <x v="4"/>
    <s v="San Benedetto"/>
    <s v="|13/13/05|"/>
    <n v="432"/>
    <n v="4.55"/>
    <n v="5.22"/>
  </r>
  <r>
    <x v="2"/>
    <s v="Convenience stores"/>
    <x v="4"/>
    <s v="San Benedetto"/>
    <s v="|13/13/06|"/>
    <n v="684"/>
    <n v="4.2300000000000004"/>
    <n v="5.15"/>
  </r>
  <r>
    <x v="2"/>
    <s v="Convenience stores"/>
    <x v="4"/>
    <s v="San Benedetto"/>
    <s v="|13/13/07|"/>
    <n v="468"/>
    <n v="4.0999999999999996"/>
    <n v="5.38"/>
  </r>
  <r>
    <x v="2"/>
    <s v="Convenience stores"/>
    <x v="4"/>
    <s v="San Benedetto"/>
    <s v="|13/13/08|"/>
    <n v="696"/>
    <n v="4.29"/>
    <n v="5.22"/>
  </r>
  <r>
    <x v="2"/>
    <s v="Convenience stores"/>
    <x v="4"/>
    <s v="San Benedetto"/>
    <s v="|13/13/09|"/>
    <n v="468"/>
    <n v="4.3899999999999997"/>
    <n v="5.04"/>
  </r>
  <r>
    <x v="2"/>
    <s v="Convenience stores"/>
    <x v="4"/>
    <s v="San Benedetto"/>
    <s v="|13/13/10|"/>
    <n v="516"/>
    <n v="4.5999999999999996"/>
    <n v="5.3"/>
  </r>
  <r>
    <x v="2"/>
    <s v="Convenience stores"/>
    <x v="4"/>
    <s v="San Benedetto"/>
    <s v="|13/13/11|"/>
    <n v="396"/>
    <n v="4.45"/>
    <n v="5.35"/>
  </r>
  <r>
    <x v="2"/>
    <s v="Convenience stores"/>
    <x v="4"/>
    <s v="San Benedetto"/>
    <s v="|13/13/12|"/>
    <n v="324"/>
    <n v="4.47"/>
    <n v="5.27"/>
  </r>
  <r>
    <x v="2"/>
    <s v="Convenience stores"/>
    <x v="4"/>
    <s v="San Benedetto"/>
    <s v="|13/13/13|"/>
    <n v="576"/>
    <n v="4.62"/>
    <n v="5.04"/>
  </r>
  <r>
    <x v="2"/>
    <s v="Convenience stores"/>
    <x v="4"/>
    <s v="San Benedetto"/>
    <s v="|13/13/14|"/>
    <n v="552"/>
    <n v="4.54"/>
    <n v="5.07"/>
  </r>
  <r>
    <x v="2"/>
    <s v="Convenience stores"/>
    <x v="4"/>
    <s v="San Benedetto"/>
    <s v="|13/13/15|"/>
    <n v="552"/>
    <n v="4.8600000000000003"/>
    <n v="5.0199999999999996"/>
  </r>
  <r>
    <x v="2"/>
    <s v="Convenience stores"/>
    <x v="4"/>
    <s v="San Benedetto"/>
    <s v="|13/13/16|"/>
    <n v="720"/>
    <n v="4.2"/>
    <n v="5.05"/>
  </r>
  <r>
    <x v="2"/>
    <s v="Convenience stores"/>
    <x v="4"/>
    <s v="San Benedetto"/>
    <s v="|13/13/17|"/>
    <n v="372"/>
    <n v="4.49"/>
    <n v="5.07"/>
  </r>
  <r>
    <x v="2"/>
    <s v="Convenience stores"/>
    <x v="4"/>
    <s v="San Benedetto"/>
    <s v="|13/13/18|"/>
    <n v="480"/>
    <n v="4.88"/>
    <n v="5.03"/>
  </r>
  <r>
    <x v="2"/>
    <s v="Convenience stores"/>
    <x v="4"/>
    <s v="San Benedetto"/>
    <s v="|13/13/20|"/>
    <n v="684"/>
    <n v="4.25"/>
    <n v="5.2"/>
  </r>
  <r>
    <x v="2"/>
    <s v="Convenience stores"/>
    <x v="4"/>
    <s v="San Benedetto"/>
    <s v="|13/13/21|"/>
    <n v="696"/>
    <n v="4.92"/>
    <n v="5.32"/>
  </r>
  <r>
    <x v="2"/>
    <s v="Convenience stores"/>
    <x v="4"/>
    <s v="San Benedetto"/>
    <s v="|13/13/22|"/>
    <n v="720"/>
    <n v="4.13"/>
    <n v="5.36"/>
  </r>
  <r>
    <x v="2"/>
    <s v="Convenience stores"/>
    <x v="4"/>
    <s v="San Benedetto"/>
    <s v="|13/13/24|"/>
    <n v="660"/>
    <n v="5"/>
    <n v="5.09"/>
  </r>
  <r>
    <x v="2"/>
    <s v="Convenience stores"/>
    <x v="4"/>
    <s v="San Benedetto"/>
    <s v="|13/13/44|"/>
    <n v="384"/>
    <n v="4.9000000000000004"/>
    <n v="5.15"/>
  </r>
  <r>
    <x v="2"/>
    <s v="Convenience stores"/>
    <x v="4"/>
    <s v="San Benedetto"/>
    <s v="|13/99/13|"/>
    <n v="252"/>
    <n v="4.54"/>
    <n v="5.22"/>
  </r>
  <r>
    <x v="2"/>
    <s v="Convenience stores"/>
    <x v="4"/>
    <s v="San Benedetto"/>
    <s v="|13/99/22|"/>
    <n v="372"/>
    <n v="4.25"/>
    <n v="5.1100000000000003"/>
  </r>
  <r>
    <x v="2"/>
    <s v="Convenience stores"/>
    <x v="4"/>
    <s v="San Benedetto"/>
    <s v="|13/99/23|"/>
    <n v="612"/>
    <n v="4.0599999999999996"/>
    <n v="5.29"/>
  </r>
  <r>
    <x v="2"/>
    <s v="Convenience stores"/>
    <x v="4"/>
    <s v="San Benedetto"/>
    <s v="|13/99/28|"/>
    <n v="456"/>
    <n v="4.8899999999999997"/>
    <n v="5.08"/>
  </r>
  <r>
    <x v="2"/>
    <s v="Convenience stores"/>
    <x v="7"/>
    <s v="Taylor farms"/>
    <s v="|28/02/01|"/>
    <n v="1008"/>
    <n v="2.4500000000000002"/>
    <n v="3.93"/>
  </r>
  <r>
    <x v="2"/>
    <s v="Convenience stores"/>
    <x v="7"/>
    <s v="Taylor farms"/>
    <s v="|28/02/02|"/>
    <n v="1044"/>
    <n v="2.8"/>
    <n v="3.59"/>
  </r>
  <r>
    <x v="2"/>
    <s v="Convenience stores"/>
    <x v="7"/>
    <s v="Taylor farms"/>
    <s v="|28/02/03|"/>
    <n v="648"/>
    <n v="2"/>
    <n v="3.24"/>
  </r>
  <r>
    <x v="2"/>
    <s v="Convenience stores"/>
    <x v="7"/>
    <s v="Taylor farms"/>
    <s v="|28/02/04|"/>
    <n v="684"/>
    <n v="2.67"/>
    <n v="3.42"/>
  </r>
  <r>
    <x v="2"/>
    <s v="Convenience stores"/>
    <x v="7"/>
    <s v="Taylor farms"/>
    <s v="|28/02/05|"/>
    <n v="660"/>
    <n v="2.67"/>
    <n v="3.29"/>
  </r>
  <r>
    <x v="2"/>
    <s v="Convenience stores"/>
    <x v="7"/>
    <s v="Taylor farms"/>
    <s v="|28/02/06|"/>
    <n v="912"/>
    <n v="2.3199999999999998"/>
    <n v="3.9"/>
  </r>
  <r>
    <x v="2"/>
    <s v="Convenience stores"/>
    <x v="7"/>
    <s v="Taylor farms"/>
    <s v="|28/02/07|"/>
    <n v="684"/>
    <n v="2.5299999999999998"/>
    <n v="3.43"/>
  </r>
  <r>
    <x v="2"/>
    <s v="Convenience stores"/>
    <x v="4"/>
    <s v="Beiersdorf"/>
    <s v="|39/01/01|"/>
    <n v="300"/>
    <n v="4.67"/>
    <n v="5.04"/>
  </r>
  <r>
    <x v="2"/>
    <s v="Convenience stores"/>
    <x v="4"/>
    <s v="Beiersdorf"/>
    <s v="|39/01/02|"/>
    <n v="708"/>
    <n v="4.13"/>
    <n v="5.01"/>
  </r>
  <r>
    <x v="2"/>
    <s v="Convenience stores"/>
    <x v="4"/>
    <s v="Beiersdorf"/>
    <s v="|39/01/03|"/>
    <n v="648"/>
    <n v="4.4400000000000004"/>
    <n v="5.16"/>
  </r>
  <r>
    <x v="2"/>
    <s v="Convenience stores"/>
    <x v="4"/>
    <s v="Beiersdorf"/>
    <s v="|39/01/04|"/>
    <n v="468"/>
    <n v="4.17"/>
    <n v="5.3"/>
  </r>
  <r>
    <x v="2"/>
    <s v="Convenience stores"/>
    <x v="4"/>
    <s v="Beiersdorf"/>
    <s v="|39/01/05|"/>
    <n v="576"/>
    <n v="4.51"/>
    <n v="5.34"/>
  </r>
  <r>
    <x v="2"/>
    <s v="Convenience stores"/>
    <x v="4"/>
    <s v="Beiersdorf"/>
    <s v="|39/01/06|"/>
    <n v="300"/>
    <n v="4.17"/>
    <n v="5.39"/>
  </r>
  <r>
    <x v="2"/>
    <s v="Convenience stores"/>
    <x v="4"/>
    <s v="Beiersdorf"/>
    <s v="|39/01/07|"/>
    <n v="420"/>
    <n v="4.16"/>
    <n v="5.29"/>
  </r>
  <r>
    <x v="2"/>
    <s v="Convenience stores"/>
    <x v="4"/>
    <s v="Beiersdorf"/>
    <s v="|39/01/30|"/>
    <n v="624"/>
    <n v="4.88"/>
    <n v="5.24"/>
  </r>
  <r>
    <x v="2"/>
    <s v="Convenience stores"/>
    <x v="3"/>
    <s v="Famous Grousse"/>
    <s v="|26/01/01|"/>
    <n v="48"/>
    <n v="1.1299999999999999"/>
    <n v="1.21"/>
  </r>
  <r>
    <x v="2"/>
    <s v="Convenience stores"/>
    <x v="3"/>
    <s v="Famous Grousse"/>
    <s v="|26/01/02|"/>
    <n v="60"/>
    <n v="1.04"/>
    <n v="1.3"/>
  </r>
  <r>
    <x v="2"/>
    <s v="Convenience stores"/>
    <x v="3"/>
    <s v="Famous Grousse"/>
    <s v="|26/01/03|"/>
    <n v="72"/>
    <n v="1.2"/>
    <n v="1.38"/>
  </r>
  <r>
    <x v="2"/>
    <s v="Convenience stores"/>
    <x v="1"/>
    <s v="Ferrero"/>
    <s v="|48/01/41|"/>
    <n v="444"/>
    <n v="5.7266666666666666"/>
    <n v="7.78"/>
  </r>
  <r>
    <x v="2"/>
    <s v="Convenience stores"/>
    <x v="5"/>
    <s v="Ferrero"/>
    <s v="|48/01/01|"/>
    <n v="588"/>
    <n v="1.35"/>
    <n v="1.71"/>
  </r>
  <r>
    <x v="2"/>
    <s v="Convenience stores"/>
    <x v="5"/>
    <s v="Ferrero"/>
    <s v="|48/01/02|"/>
    <n v="1008"/>
    <n v="1.17"/>
    <n v="1.62"/>
  </r>
  <r>
    <x v="2"/>
    <s v="Convenience stores"/>
    <x v="5"/>
    <s v="Ferrero"/>
    <s v="|48/01/03|"/>
    <n v="1092"/>
    <n v="1.2"/>
    <n v="1.65"/>
  </r>
  <r>
    <x v="2"/>
    <s v="Convenience stores"/>
    <x v="5"/>
    <s v="Ferrero"/>
    <s v="|48/01/04|"/>
    <n v="1152"/>
    <n v="1.27"/>
    <n v="1.88"/>
  </r>
  <r>
    <x v="2"/>
    <s v="Convenience stores"/>
    <x v="5"/>
    <s v="Ferrero"/>
    <s v="|48/01/05|"/>
    <n v="960"/>
    <n v="1.1000000000000001"/>
    <n v="1.64"/>
  </r>
  <r>
    <x v="2"/>
    <s v="Convenience stores"/>
    <x v="5"/>
    <s v="Ferrero"/>
    <s v="|48/01/06|"/>
    <n v="720"/>
    <n v="1.21"/>
    <n v="1.8"/>
  </r>
  <r>
    <x v="2"/>
    <s v="Convenience stores"/>
    <x v="5"/>
    <s v="Ferrero"/>
    <s v="|48/01/07|"/>
    <n v="876"/>
    <n v="1.24"/>
    <n v="1.73"/>
  </r>
  <r>
    <x v="2"/>
    <s v="Convenience stores"/>
    <x v="5"/>
    <s v="Ferrero"/>
    <s v="|48/01/08|"/>
    <n v="1080"/>
    <n v="1.35"/>
    <n v="1.66"/>
  </r>
  <r>
    <x v="2"/>
    <s v="Convenience stores"/>
    <x v="5"/>
    <s v="Ferrero"/>
    <s v="|48/01/09|"/>
    <n v="1020"/>
    <n v="1.44"/>
    <n v="1.84"/>
  </r>
  <r>
    <x v="2"/>
    <s v="Convenience stores"/>
    <x v="5"/>
    <s v="Ferrero"/>
    <s v="|48/01/10|"/>
    <n v="936"/>
    <n v="1.45"/>
    <n v="1.7"/>
  </r>
  <r>
    <x v="2"/>
    <s v="Convenience stores"/>
    <x v="5"/>
    <s v="Ferrero"/>
    <s v="|48/01/11|"/>
    <n v="1248"/>
    <n v="1.24"/>
    <n v="1.68"/>
  </r>
  <r>
    <x v="2"/>
    <s v="Convenience stores"/>
    <x v="5"/>
    <s v="Ferrero"/>
    <s v="|48/01/12|"/>
    <n v="996"/>
    <n v="1.28"/>
    <n v="1.7"/>
  </r>
  <r>
    <x v="2"/>
    <s v="Convenience stores"/>
    <x v="5"/>
    <s v="Ferrero"/>
    <s v="|48/01/13|"/>
    <n v="948"/>
    <n v="1.37"/>
    <n v="1.81"/>
  </r>
  <r>
    <x v="2"/>
    <s v="Convenience stores"/>
    <x v="5"/>
    <s v="Ferrero"/>
    <s v="|48/01/14|"/>
    <n v="792"/>
    <n v="1.45"/>
    <n v="1.85"/>
  </r>
  <r>
    <x v="2"/>
    <s v="Convenience stores"/>
    <x v="5"/>
    <s v="Ferrero"/>
    <s v="|48/01/15|"/>
    <n v="1272"/>
    <n v="1.26"/>
    <n v="1.78"/>
  </r>
  <r>
    <x v="2"/>
    <s v="Convenience stores"/>
    <x v="5"/>
    <s v="Ferrero"/>
    <s v="|48/01/16|"/>
    <n v="576"/>
    <n v="1.45"/>
    <n v="1.61"/>
  </r>
  <r>
    <x v="2"/>
    <s v="Convenience stores"/>
    <x v="5"/>
    <s v="Ferrero"/>
    <s v="|48/01/17|"/>
    <n v="600"/>
    <n v="1.39"/>
    <n v="1.79"/>
  </r>
  <r>
    <x v="2"/>
    <s v="Convenience stores"/>
    <x v="5"/>
    <s v="Ferrero"/>
    <s v="|48/01/18|"/>
    <n v="984"/>
    <n v="1.32"/>
    <n v="1.65"/>
  </r>
  <r>
    <x v="2"/>
    <s v="Convenience stores"/>
    <x v="5"/>
    <s v="Ferrero"/>
    <s v="|48/01/19|"/>
    <n v="924"/>
    <n v="1.42"/>
    <n v="1.75"/>
  </r>
  <r>
    <x v="2"/>
    <s v="Convenience stores"/>
    <x v="5"/>
    <s v="Ferrero"/>
    <s v="|48/01/20|"/>
    <n v="1152"/>
    <n v="1.27"/>
    <n v="1.86"/>
  </r>
  <r>
    <x v="2"/>
    <s v="Convenience stores"/>
    <x v="5"/>
    <s v="Ferrero"/>
    <s v="|48/01/21|"/>
    <n v="588"/>
    <n v="1.4"/>
    <n v="1.6"/>
  </r>
  <r>
    <x v="2"/>
    <s v="Convenience stores"/>
    <x v="5"/>
    <s v="Ferrero"/>
    <s v="|48/01/22|"/>
    <n v="984"/>
    <n v="1.24"/>
    <n v="1.69"/>
  </r>
  <r>
    <x v="2"/>
    <s v="Convenience stores"/>
    <x v="5"/>
    <s v="Ferrero"/>
    <s v="|48/01/23|"/>
    <n v="924"/>
    <n v="1.1000000000000001"/>
    <n v="1.9"/>
  </r>
  <r>
    <x v="2"/>
    <s v="Convenience stores"/>
    <x v="5"/>
    <s v="Ferrero"/>
    <s v="|48/01/24|"/>
    <n v="864"/>
    <n v="1.26"/>
    <n v="1.8"/>
  </r>
  <r>
    <x v="2"/>
    <s v="Convenience stores"/>
    <x v="5"/>
    <s v="Ferrero"/>
    <s v="|48/01/25|"/>
    <n v="900"/>
    <n v="1.46"/>
    <n v="1.76"/>
  </r>
  <r>
    <x v="2"/>
    <s v="Convenience stores"/>
    <x v="5"/>
    <s v="Ferrero"/>
    <s v="|48/01/26|"/>
    <n v="1260"/>
    <n v="1.34"/>
    <n v="1.77"/>
  </r>
  <r>
    <x v="2"/>
    <s v="Convenience stores"/>
    <x v="5"/>
    <s v="Ferrero"/>
    <s v="|48/01/27|"/>
    <n v="1320"/>
    <n v="1.35"/>
    <n v="1.82"/>
  </r>
  <r>
    <x v="2"/>
    <s v="Convenience stores"/>
    <x v="5"/>
    <s v="Ferrero"/>
    <s v="|48/01/28|"/>
    <n v="720"/>
    <n v="1.39"/>
    <n v="1.68"/>
  </r>
  <r>
    <x v="2"/>
    <s v="Convenience stores"/>
    <x v="5"/>
    <s v="Ferrero"/>
    <s v="|48/01/29|"/>
    <n v="1092"/>
    <n v="1.22"/>
    <n v="1.63"/>
  </r>
  <r>
    <x v="2"/>
    <s v="Convenience stores"/>
    <x v="5"/>
    <s v="Ferrero"/>
    <s v="|48/01/30|"/>
    <n v="828"/>
    <n v="1.22"/>
    <n v="1.71"/>
  </r>
  <r>
    <x v="2"/>
    <s v="Convenience stores"/>
    <x v="5"/>
    <s v="Ferrero"/>
    <s v="|48/01/31|"/>
    <n v="1284"/>
    <n v="1.32"/>
    <n v="1.89"/>
  </r>
  <r>
    <x v="2"/>
    <s v="Convenience stores"/>
    <x v="5"/>
    <s v="Ferrero"/>
    <s v="|48/01/32|"/>
    <n v="792"/>
    <n v="1.46"/>
    <n v="1.67"/>
  </r>
  <r>
    <x v="2"/>
    <s v="Convenience stores"/>
    <x v="5"/>
    <s v="Ferrero"/>
    <s v="|48/01/33|"/>
    <n v="1068"/>
    <n v="1.34"/>
    <n v="1.67"/>
  </r>
  <r>
    <x v="2"/>
    <s v="Convenience stores"/>
    <x v="5"/>
    <s v="Ferrero"/>
    <s v="|48/01/34|"/>
    <n v="888"/>
    <n v="1.38"/>
    <n v="1.87"/>
  </r>
  <r>
    <x v="2"/>
    <s v="Convenience stores"/>
    <x v="5"/>
    <s v="Ferrero"/>
    <s v="|48/01/35|"/>
    <n v="948"/>
    <n v="1.45"/>
    <n v="1.69"/>
  </r>
  <r>
    <x v="2"/>
    <s v="Convenience stores"/>
    <x v="5"/>
    <s v="Ferrero"/>
    <s v="|48/01/36|"/>
    <n v="1224"/>
    <n v="1.36"/>
    <n v="1.75"/>
  </r>
  <r>
    <x v="2"/>
    <s v="Convenience stores"/>
    <x v="5"/>
    <s v="Ferrero"/>
    <s v="|48/01/37|"/>
    <n v="840"/>
    <n v="1.47"/>
    <n v="1.81"/>
  </r>
  <r>
    <x v="2"/>
    <s v="Convenience stores"/>
    <x v="5"/>
    <s v="Ferrero"/>
    <s v="|48/01/38|"/>
    <n v="936"/>
    <n v="1.17"/>
    <n v="1.69"/>
  </r>
  <r>
    <x v="2"/>
    <s v="Convenience stores"/>
    <x v="5"/>
    <s v="Ferrero"/>
    <s v="|48/01/39|"/>
    <n v="744"/>
    <n v="1.33"/>
    <n v="1.75"/>
  </r>
  <r>
    <x v="2"/>
    <s v="Convenience stores"/>
    <x v="5"/>
    <s v="Ferrero"/>
    <s v="|48/01/40|"/>
    <n v="1284"/>
    <n v="1.34"/>
    <n v="1.84"/>
  </r>
  <r>
    <x v="2"/>
    <s v="Convenience stores"/>
    <x v="5"/>
    <s v="Ferrero"/>
    <s v="|48/01/42|"/>
    <n v="852"/>
    <n v="1.17"/>
    <n v="1.67"/>
  </r>
  <r>
    <x v="2"/>
    <s v="Convenience stores"/>
    <x v="5"/>
    <s v="Ferrero"/>
    <s v="|48/01/43|"/>
    <n v="1020"/>
    <n v="1.1399999999999999"/>
    <n v="1.68"/>
  </r>
  <r>
    <x v="2"/>
    <s v="Convenience stores"/>
    <x v="5"/>
    <s v="Ferrero"/>
    <s v="|48/01/44|"/>
    <n v="744"/>
    <n v="1.1399999999999999"/>
    <n v="1.72"/>
  </r>
  <r>
    <x v="2"/>
    <s v="Convenience stores"/>
    <x v="5"/>
    <s v="Ferrero"/>
    <s v="|48/01/45|"/>
    <n v="1284"/>
    <n v="1.35"/>
    <n v="1.82"/>
  </r>
  <r>
    <x v="2"/>
    <s v="Convenience stores"/>
    <x v="5"/>
    <s v="Ferrero"/>
    <s v="|48/01/46|"/>
    <n v="1260"/>
    <n v="1.27"/>
    <n v="1.68"/>
  </r>
  <r>
    <x v="2"/>
    <s v="Convenience stores"/>
    <x v="5"/>
    <s v="Ferrero"/>
    <s v="|48/01/47|"/>
    <n v="900"/>
    <n v="1.1399999999999999"/>
    <n v="1.85"/>
  </r>
  <r>
    <x v="2"/>
    <s v="Convenience stores"/>
    <x v="5"/>
    <s v="Ferrero"/>
    <s v="|48/01/48|"/>
    <n v="756"/>
    <n v="1.24"/>
    <n v="1.75"/>
  </r>
  <r>
    <x v="2"/>
    <s v="Convenience stores"/>
    <x v="5"/>
    <s v="Ferrero"/>
    <s v="|48/01/49|"/>
    <n v="1128"/>
    <n v="1.24"/>
    <n v="1.85"/>
  </r>
  <r>
    <x v="2"/>
    <s v="Convenience stores"/>
    <x v="5"/>
    <s v="Ferrero"/>
    <s v="|48/01/50|"/>
    <n v="1080"/>
    <n v="1.5"/>
    <n v="1.61"/>
  </r>
  <r>
    <x v="2"/>
    <s v="Convenience stores"/>
    <x v="5"/>
    <s v="Ferrero"/>
    <s v="|48/01/51|"/>
    <n v="1068"/>
    <n v="1.43"/>
    <n v="1.65"/>
  </r>
  <r>
    <x v="2"/>
    <s v="Convenience stores"/>
    <x v="5"/>
    <s v="Ferrero"/>
    <s v="|48/01/52|"/>
    <n v="996"/>
    <n v="1.26"/>
    <n v="1.69"/>
  </r>
  <r>
    <x v="2"/>
    <s v="Convenience stores"/>
    <x v="5"/>
    <s v="Ferrero"/>
    <s v="|48/01/53|"/>
    <n v="636"/>
    <n v="1.39"/>
    <n v="1.66"/>
  </r>
  <r>
    <x v="2"/>
    <s v="Convenience stores"/>
    <x v="5"/>
    <s v="Ferrero"/>
    <s v="|48/01/54|"/>
    <n v="1284"/>
    <n v="1.43"/>
    <n v="1.83"/>
  </r>
  <r>
    <x v="2"/>
    <s v="Convenience stores"/>
    <x v="5"/>
    <s v="Ferrero"/>
    <s v="|48/01/55|"/>
    <n v="924"/>
    <n v="1.35"/>
    <n v="1.71"/>
  </r>
  <r>
    <x v="2"/>
    <s v="Convenience stores"/>
    <x v="5"/>
    <s v="Ferrero"/>
    <s v="|48/01/56|"/>
    <n v="1176"/>
    <n v="1.27"/>
    <n v="1.77"/>
  </r>
  <r>
    <x v="2"/>
    <s v="Convenience stores"/>
    <x v="5"/>
    <s v="Ferrero"/>
    <s v="|48/01/57|"/>
    <n v="1020"/>
    <n v="1.44"/>
    <n v="1.6"/>
  </r>
  <r>
    <x v="2"/>
    <s v="Convenience stores"/>
    <x v="5"/>
    <s v="Ferrero"/>
    <s v="|48/01/58|"/>
    <n v="1104"/>
    <n v="1.41"/>
    <n v="1.87"/>
  </r>
  <r>
    <x v="2"/>
    <s v="Convenience stores"/>
    <x v="5"/>
    <s v="Ferrero"/>
    <s v="|48/01/59|"/>
    <n v="624"/>
    <n v="1.23"/>
    <n v="1.79"/>
  </r>
  <r>
    <x v="2"/>
    <s v="Convenience stores"/>
    <x v="5"/>
    <s v="Ferrero"/>
    <s v="|48/01/60|"/>
    <n v="744"/>
    <n v="1.1399999999999999"/>
    <n v="1.74"/>
  </r>
  <r>
    <x v="2"/>
    <s v="Convenience stores"/>
    <x v="5"/>
    <s v="Ferrero"/>
    <s v="|48/01/61|"/>
    <n v="612"/>
    <n v="1.1499999999999999"/>
    <n v="1.72"/>
  </r>
  <r>
    <x v="2"/>
    <s v="Convenience stores"/>
    <x v="5"/>
    <s v="Ferrero"/>
    <s v="|48/01/62|"/>
    <n v="1152"/>
    <n v="1.23"/>
    <n v="1.86"/>
  </r>
  <r>
    <x v="2"/>
    <s v="Convenience stores"/>
    <x v="5"/>
    <s v="Ferrero"/>
    <s v="|48/01/99|"/>
    <n v="912"/>
    <n v="1.1399999999999999"/>
    <n v="1.85"/>
  </r>
  <r>
    <x v="2"/>
    <s v="Convenience stores"/>
    <x v="5"/>
    <s v="Ferrero"/>
    <s v="|48/01/100|"/>
    <n v="1080"/>
    <n v="1.41"/>
    <n v="1.67"/>
  </r>
  <r>
    <x v="2"/>
    <s v="Convenience stores"/>
    <x v="5"/>
    <s v="Ferrero"/>
    <s v="|48/01/101|"/>
    <n v="1272"/>
    <n v="1.43"/>
    <n v="1.69"/>
  </r>
  <r>
    <x v="2"/>
    <s v="Convenience stores"/>
    <x v="6"/>
    <s v="Cioccolatti Italiani"/>
    <s v="|63/03/08|"/>
    <n v="1848"/>
    <n v="2.35"/>
    <n v="3.41"/>
  </r>
  <r>
    <x v="2"/>
    <s v="Convenience stores"/>
    <x v="6"/>
    <s v="Cioccolatti Italiani"/>
    <s v="|63/03/09|"/>
    <n v="1248"/>
    <n v="2.5499999999999998"/>
    <n v="3.84"/>
  </r>
  <r>
    <x v="2"/>
    <s v="Convenience stores"/>
    <x v="6"/>
    <s v="Cioccolatti Italiani"/>
    <s v="|63/03/10|"/>
    <n v="1572"/>
    <n v="2.52"/>
    <n v="3.73"/>
  </r>
  <r>
    <x v="2"/>
    <s v="Convenience stores"/>
    <x v="6"/>
    <s v="Cioccolatti Italiani"/>
    <s v="|63/03/11|"/>
    <n v="1716"/>
    <n v="2.69"/>
    <n v="3.89"/>
  </r>
  <r>
    <x v="2"/>
    <s v="Convenience stores"/>
    <x v="6"/>
    <s v="Cioccolatti Italiani"/>
    <s v="|63/03/12|"/>
    <n v="1440"/>
    <n v="2.58"/>
    <n v="3.5"/>
  </r>
  <r>
    <x v="2"/>
    <s v="Convenience stores"/>
    <x v="4"/>
    <s v="Bayer"/>
    <s v="|141/01/01|"/>
    <n v="384"/>
    <n v="4.0599999999999996"/>
    <n v="5.05"/>
  </r>
  <r>
    <x v="2"/>
    <s v="Convenience stores"/>
    <x v="4"/>
    <s v="Bayer"/>
    <s v="|141/01/02|"/>
    <n v="600"/>
    <n v="4.42"/>
    <n v="5.0999999999999996"/>
  </r>
  <r>
    <x v="2"/>
    <s v="Convenience stores"/>
    <x v="4"/>
    <s v="Bayer"/>
    <s v="|141/01/03|"/>
    <n v="492"/>
    <n v="4.26"/>
    <n v="5.07"/>
  </r>
  <r>
    <x v="2"/>
    <s v="Convenience stores"/>
    <x v="4"/>
    <s v="Bayer"/>
    <s v="|141/01/04|"/>
    <n v="360"/>
    <n v="4.97"/>
    <n v="5.34"/>
  </r>
  <r>
    <x v="2"/>
    <s v="Convenience stores"/>
    <x v="1"/>
    <s v="Mindi"/>
    <s v="|79/01/48|"/>
    <n v="528"/>
    <n v="5.84"/>
    <n v="8.5266666666666673"/>
  </r>
  <r>
    <x v="2"/>
    <s v="Convenience stores"/>
    <x v="1"/>
    <s v="Mindi"/>
    <s v="|79/01/49|"/>
    <n v="492"/>
    <n v="6.16"/>
    <n v="7.4333333333333336"/>
  </r>
  <r>
    <x v="2"/>
    <s v="Convenience stores"/>
    <x v="1"/>
    <s v="Mindi"/>
    <s v="|79/01/79|"/>
    <n v="600"/>
    <n v="5.54"/>
    <n v="7.8866666666666667"/>
  </r>
  <r>
    <x v="2"/>
    <s v="Convenience stores"/>
    <x v="7"/>
    <s v="Spani"/>
    <s v="|99/01/05|"/>
    <n v="600"/>
    <n v="2.17"/>
    <n v="3.69"/>
  </r>
  <r>
    <x v="2"/>
    <s v="Convenience stores"/>
    <x v="7"/>
    <s v="Spani"/>
    <s v="|99/01/06|"/>
    <n v="1080"/>
    <n v="2.9"/>
    <n v="3.23"/>
  </r>
  <r>
    <x v="2"/>
    <s v="Convenience stores"/>
    <x v="7"/>
    <s v="Spani"/>
    <s v="|99/01/10|"/>
    <n v="1080"/>
    <n v="2.65"/>
    <n v="3.5"/>
  </r>
  <r>
    <x v="2"/>
    <s v="Convenience stores"/>
    <x v="7"/>
    <s v="Spani"/>
    <s v="|99/01/11|"/>
    <n v="852"/>
    <n v="2.89"/>
    <n v="3.25"/>
  </r>
  <r>
    <x v="2"/>
    <s v="Convenience stores"/>
    <x v="6"/>
    <s v="Grom"/>
    <s v="|09/04/11|"/>
    <n v="2280"/>
    <n v="2.37"/>
    <n v="3.43"/>
  </r>
  <r>
    <x v="2"/>
    <s v="Convenience stores"/>
    <x v="6"/>
    <s v="Grom"/>
    <s v="|09/04/12|"/>
    <n v="1728"/>
    <n v="2.99"/>
    <n v="3.32"/>
  </r>
  <r>
    <x v="2"/>
    <s v="Convenience stores"/>
    <x v="6"/>
    <s v="Grom"/>
    <s v="|09/04/13|"/>
    <n v="1872"/>
    <n v="2.87"/>
    <n v="3.97"/>
  </r>
  <r>
    <x v="2"/>
    <s v="Convenience stores"/>
    <x v="6"/>
    <s v="Grom"/>
    <s v="|09/04/14|"/>
    <n v="2100"/>
    <n v="2.78"/>
    <n v="3.41"/>
  </r>
  <r>
    <x v="2"/>
    <s v="Convenience stores"/>
    <x v="6"/>
    <s v="Grom"/>
    <s v="|09/04/15|"/>
    <n v="1800"/>
    <n v="2.58"/>
    <n v="3.53"/>
  </r>
  <r>
    <x v="2"/>
    <s v="Convenience stores"/>
    <x v="6"/>
    <s v="Rivareno"/>
    <s v="|99/06/01|"/>
    <n v="2664"/>
    <n v="2.78"/>
    <n v="3.87"/>
  </r>
  <r>
    <x v="2"/>
    <s v="Convenience stores"/>
    <x v="6"/>
    <s v="Rivareno"/>
    <s v="|99/06/02|"/>
    <n v="2712"/>
    <n v="2.89"/>
    <n v="3.7"/>
  </r>
  <r>
    <x v="2"/>
    <s v="Convenience stores"/>
    <x v="6"/>
    <s v="Rivareno"/>
    <s v="|99/06/10|"/>
    <n v="1788"/>
    <n v="2.95"/>
    <n v="3.41"/>
  </r>
  <r>
    <x v="2"/>
    <s v="Convenience stores"/>
    <x v="6"/>
    <s v="Rivareno"/>
    <s v="|99/06/11|"/>
    <n v="2412"/>
    <n v="2.48"/>
    <n v="3.49"/>
  </r>
  <r>
    <x v="2"/>
    <s v="Convenience stores"/>
    <x v="6"/>
    <s v="L'angolo vicino"/>
    <s v="|06/04/01|"/>
    <n v="1548"/>
    <n v="2.85"/>
    <n v="3.35"/>
  </r>
  <r>
    <x v="2"/>
    <s v="Convenience stores"/>
    <x v="6"/>
    <s v="L'angolo vicino"/>
    <s v="|06/04/03|"/>
    <n v="1488"/>
    <n v="2.8"/>
    <n v="3.58"/>
  </r>
  <r>
    <x v="2"/>
    <s v="Convenience stores"/>
    <x v="6"/>
    <s v="L'angolo vicino"/>
    <s v="|06/04/11|"/>
    <n v="1320"/>
    <n v="2.9"/>
    <n v="3.32"/>
  </r>
  <r>
    <x v="2"/>
    <s v="Convenience stores"/>
    <x v="6"/>
    <s v="L'angolo vicino"/>
    <s v="|06/04/12|"/>
    <n v="1500"/>
    <n v="2.89"/>
    <n v="3.55"/>
  </r>
  <r>
    <x v="2"/>
    <s v="Convenience stores"/>
    <x v="6"/>
    <s v="L'angolo vicino"/>
    <s v="|06/04/13|"/>
    <n v="1896"/>
    <n v="2.86"/>
    <n v="3.95"/>
  </r>
  <r>
    <x v="2"/>
    <s v="Convenience stores"/>
    <x v="6"/>
    <s v="L'angolo vicino"/>
    <s v="|06/04/20|"/>
    <n v="2760"/>
    <n v="2.95"/>
    <n v="4"/>
  </r>
  <r>
    <x v="2"/>
    <s v="Convenience stores"/>
    <x v="6"/>
    <s v="Sadand"/>
    <s v="|07/07/01|"/>
    <n v="1488"/>
    <n v="2.41"/>
    <n v="3.71"/>
  </r>
  <r>
    <x v="2"/>
    <s v="Convenience stores"/>
    <x v="6"/>
    <s v="Sadand"/>
    <s v="|07/07/02|"/>
    <n v="2136"/>
    <n v="2.86"/>
    <n v="3.89"/>
  </r>
  <r>
    <x v="2"/>
    <s v="Convenience stores"/>
    <x v="6"/>
    <s v="Sadand"/>
    <s v="|07/07/03|"/>
    <n v="1776"/>
    <n v="2.98"/>
    <n v="3.39"/>
  </r>
  <r>
    <x v="2"/>
    <s v="Convenience stores"/>
    <x v="6"/>
    <s v="Sadand"/>
    <s v="|07/07/04|"/>
    <n v="2076"/>
    <n v="2.5299999999999998"/>
    <n v="3.55"/>
  </r>
  <r>
    <x v="2"/>
    <s v="Convenience stores"/>
    <x v="6"/>
    <s v="Sadand"/>
    <s v="|07/07/05|"/>
    <n v="2508"/>
    <n v="2.88"/>
    <n v="3.45"/>
  </r>
  <r>
    <x v="2"/>
    <s v="Convenience stores"/>
    <x v="6"/>
    <s v="Sadand"/>
    <s v="|07/07/06|"/>
    <n v="1704"/>
    <n v="2.71"/>
    <n v="3.68"/>
  </r>
  <r>
    <x v="2"/>
    <s v="Convenience stores"/>
    <x v="6"/>
    <s v="Sadand"/>
    <s v="|07/07/07|"/>
    <n v="1680"/>
    <n v="2.95"/>
    <n v="3.3"/>
  </r>
  <r>
    <x v="2"/>
    <s v="Convenience stores"/>
    <x v="6"/>
    <s v="Sadand"/>
    <s v="|07/07/08|"/>
    <n v="2232"/>
    <n v="2.77"/>
    <n v="3.47"/>
  </r>
  <r>
    <x v="2"/>
    <s v="Convenience stores"/>
    <x v="6"/>
    <s v="Sadand"/>
    <s v="|07/07/09|"/>
    <n v="2568"/>
    <n v="2.5299999999999998"/>
    <n v="3.8"/>
  </r>
  <r>
    <x v="2"/>
    <s v="Convenience stores"/>
    <x v="6"/>
    <s v="Sadand"/>
    <s v="|07/07/10|"/>
    <n v="1212"/>
    <n v="2.33"/>
    <n v="3.81"/>
  </r>
  <r>
    <x v="2"/>
    <s v="Convenience stores"/>
    <x v="6"/>
    <s v="Sadand"/>
    <s v="|07/07/12|"/>
    <n v="1596"/>
    <n v="2.68"/>
    <n v="3.37"/>
  </r>
  <r>
    <x v="2"/>
    <s v="Convenience stores"/>
    <x v="3"/>
    <s v="Heineken"/>
    <s v="|33/01/01|"/>
    <n v="72"/>
    <n v="1.04"/>
    <n v="1.37"/>
  </r>
  <r>
    <x v="2"/>
    <s v="Convenience stores"/>
    <x v="3"/>
    <s v="Heineken"/>
    <s v="|33/01/02|"/>
    <n v="60"/>
    <n v="1.1499999999999999"/>
    <n v="1.39"/>
  </r>
  <r>
    <x v="2"/>
    <s v="Convenience stores"/>
    <x v="3"/>
    <s v="Heineken"/>
    <s v="|33/01/03|"/>
    <n v="60"/>
    <n v="1.1599999999999999"/>
    <n v="1.28"/>
  </r>
  <r>
    <x v="2"/>
    <s v="Convenience stores"/>
    <x v="3"/>
    <s v="Heineken"/>
    <s v="|33/01/04|"/>
    <n v="72"/>
    <n v="1.06"/>
    <n v="1.26"/>
  </r>
  <r>
    <x v="2"/>
    <s v="Convenience stores"/>
    <x v="3"/>
    <s v="Heineken"/>
    <s v="|33/01/05|"/>
    <n v="60"/>
    <n v="1.01"/>
    <n v="1.2"/>
  </r>
  <r>
    <x v="2"/>
    <s v="Convenience stores"/>
    <x v="3"/>
    <s v="Heineken"/>
    <s v="|33/01/06|"/>
    <n v="72"/>
    <n v="1.1299999999999999"/>
    <n v="1.3"/>
  </r>
  <r>
    <x v="2"/>
    <s v="Convenience stores"/>
    <x v="3"/>
    <s v="Heineken"/>
    <s v="|33/01/07|"/>
    <n v="72"/>
    <n v="1.06"/>
    <n v="1.21"/>
  </r>
  <r>
    <x v="2"/>
    <s v="Convenience stores"/>
    <x v="3"/>
    <s v="Heineken"/>
    <s v="|33/01/08|"/>
    <n v="72"/>
    <n v="1.18"/>
    <n v="1.39"/>
  </r>
  <r>
    <x v="2"/>
    <s v="Convenience stores"/>
    <x v="3"/>
    <s v="Heineken"/>
    <s v="|33/01/09|"/>
    <n v="72"/>
    <n v="1.1399999999999999"/>
    <n v="1.34"/>
  </r>
  <r>
    <x v="2"/>
    <s v="Convenience stores"/>
    <x v="3"/>
    <s v="Heineken"/>
    <s v="|33/01/10|"/>
    <n v="60"/>
    <n v="1.2"/>
    <n v="1.23"/>
  </r>
  <r>
    <x v="2"/>
    <s v="Convenience stores"/>
    <x v="3"/>
    <s v="Heineken"/>
    <s v="|33/01/11|"/>
    <n v="48"/>
    <n v="1.1499999999999999"/>
    <n v="1.33"/>
  </r>
  <r>
    <x v="2"/>
    <s v="Convenience stores"/>
    <x v="3"/>
    <s v="Heineken"/>
    <s v="|33/01/12|"/>
    <n v="48"/>
    <n v="1.08"/>
    <n v="1.22"/>
  </r>
  <r>
    <x v="2"/>
    <s v="Convenience stores"/>
    <x v="3"/>
    <s v="Heineken"/>
    <s v="|33/01/13|"/>
    <n v="72"/>
    <n v="1.1499999999999999"/>
    <n v="1.32"/>
  </r>
  <r>
    <x v="2"/>
    <s v="Convenience stores"/>
    <x v="3"/>
    <s v="Heineken"/>
    <s v="|33/01/14|"/>
    <n v="72"/>
    <n v="1.0900000000000001"/>
    <n v="1.2"/>
  </r>
  <r>
    <x v="2"/>
    <s v="Convenience stores"/>
    <x v="3"/>
    <s v="Heineken"/>
    <s v="|33/01/15|"/>
    <n v="60"/>
    <n v="1.1100000000000001"/>
    <n v="1.22"/>
  </r>
  <r>
    <x v="2"/>
    <s v="Convenience stores"/>
    <x v="3"/>
    <s v="Heineken"/>
    <s v="|33/01/16|"/>
    <n v="60"/>
    <n v="1.1399999999999999"/>
    <n v="1.33"/>
  </r>
  <r>
    <x v="2"/>
    <s v="Convenience stores"/>
    <x v="3"/>
    <s v="Heineken"/>
    <s v="|33/01/17|"/>
    <n v="72"/>
    <n v="1.0900000000000001"/>
    <n v="1.21"/>
  </r>
  <r>
    <x v="2"/>
    <s v="Convenience stores"/>
    <x v="3"/>
    <s v="Heineken"/>
    <s v="|33/01/18|"/>
    <n v="48"/>
    <n v="1.1499999999999999"/>
    <n v="1.2"/>
  </r>
  <r>
    <x v="2"/>
    <s v="Convenience stores"/>
    <x v="3"/>
    <s v="Heineken"/>
    <s v="|33/01/19|"/>
    <n v="72"/>
    <n v="1.06"/>
    <n v="1.25"/>
  </r>
  <r>
    <x v="2"/>
    <s v="Convenience stores"/>
    <x v="3"/>
    <s v="Heineken"/>
    <s v="|33/01/20|"/>
    <n v="48"/>
    <n v="1.01"/>
    <n v="1.39"/>
  </r>
  <r>
    <x v="2"/>
    <s v="Convenience stores"/>
    <x v="3"/>
    <s v="Heineken"/>
    <s v="|33/01/21|"/>
    <n v="60"/>
    <n v="1.07"/>
    <n v="1.38"/>
  </r>
  <r>
    <x v="2"/>
    <s v="Convenience stores"/>
    <x v="3"/>
    <s v="Heineken"/>
    <s v="|33/01/22|"/>
    <n v="72"/>
    <n v="1.02"/>
    <n v="1.23"/>
  </r>
  <r>
    <x v="2"/>
    <s v="Convenience stores"/>
    <x v="3"/>
    <s v="Heineken"/>
    <s v="|33/01/23|"/>
    <n v="48"/>
    <n v="1.04"/>
    <n v="1.23"/>
  </r>
  <r>
    <x v="2"/>
    <s v="Convenience stores"/>
    <x v="3"/>
    <s v="Heineken"/>
    <s v="|33/01/24|"/>
    <n v="72"/>
    <n v="1.03"/>
    <n v="1.21"/>
  </r>
  <r>
    <x v="2"/>
    <s v="Convenience stores"/>
    <x v="3"/>
    <s v="Heineken"/>
    <s v="|33/01/25|"/>
    <n v="60"/>
    <n v="1.05"/>
    <n v="1.2"/>
  </r>
  <r>
    <x v="2"/>
    <s v="Convenience stores"/>
    <x v="3"/>
    <s v="Heineken"/>
    <s v="|33/01/26|"/>
    <n v="60"/>
    <n v="1"/>
    <n v="1.24"/>
  </r>
  <r>
    <x v="2"/>
    <s v="Convenience stores"/>
    <x v="3"/>
    <s v="Heineken"/>
    <s v="|33/01/30|"/>
    <n v="72"/>
    <n v="1.2"/>
    <n v="1.27"/>
  </r>
  <r>
    <x v="2"/>
    <s v="Convenience stores"/>
    <x v="3"/>
    <s v="Heineken"/>
    <s v="|33/01/31|"/>
    <n v="72"/>
    <n v="1"/>
    <n v="1.39"/>
  </r>
  <r>
    <x v="2"/>
    <s v="Convenience stores"/>
    <x v="3"/>
    <s v="Heineken"/>
    <s v="|33/01/32|"/>
    <n v="60"/>
    <n v="1.01"/>
    <n v="1.21"/>
  </r>
  <r>
    <x v="2"/>
    <s v="Convenience stores"/>
    <x v="3"/>
    <s v="Heineken"/>
    <s v="|33/01/33|"/>
    <n v="60"/>
    <n v="1.1599999999999999"/>
    <n v="1.39"/>
  </r>
  <r>
    <x v="2"/>
    <s v="Convenience stores"/>
    <x v="3"/>
    <s v="Heineken"/>
    <s v="|33/01/40|"/>
    <n v="60"/>
    <n v="1.1399999999999999"/>
    <n v="1.28"/>
  </r>
  <r>
    <x v="2"/>
    <s v="Convenience stores"/>
    <x v="3"/>
    <s v="Heineken"/>
    <s v="|33/01/41|"/>
    <n v="72"/>
    <n v="1.08"/>
    <n v="1.37"/>
  </r>
  <r>
    <x v="2"/>
    <s v="Convenience stores"/>
    <x v="3"/>
    <s v="Heineken"/>
    <s v="|33/01/42|"/>
    <n v="72"/>
    <n v="1.19"/>
    <n v="1.21"/>
  </r>
  <r>
    <x v="2"/>
    <s v="Convenience stores"/>
    <x v="3"/>
    <s v="Heineken"/>
    <s v="|33/01/43|"/>
    <n v="60"/>
    <n v="1.1499999999999999"/>
    <n v="1.39"/>
  </r>
  <r>
    <x v="2"/>
    <s v="Convenience stores"/>
    <x v="3"/>
    <s v="Heineken"/>
    <s v="|33/01/44|"/>
    <n v="72"/>
    <n v="1.18"/>
    <n v="1.23"/>
  </r>
  <r>
    <x v="2"/>
    <s v="Convenience stores"/>
    <x v="3"/>
    <s v="Heineken"/>
    <s v="|33/01/45|"/>
    <n v="60"/>
    <n v="1.1499999999999999"/>
    <n v="1.29"/>
  </r>
  <r>
    <x v="2"/>
    <s v="Convenience stores"/>
    <x v="3"/>
    <s v="Heineken"/>
    <s v="|33/01/46|"/>
    <n v="72"/>
    <n v="1.05"/>
    <n v="1.34"/>
  </r>
  <r>
    <x v="2"/>
    <s v="Convenience stores"/>
    <x v="3"/>
    <s v="Heineken"/>
    <s v="|33/01/47|"/>
    <n v="72"/>
    <n v="1.01"/>
    <n v="1.23"/>
  </r>
  <r>
    <x v="2"/>
    <s v="Convenience stores"/>
    <x v="3"/>
    <s v="Heineken"/>
    <s v="|33/01/48|"/>
    <n v="60"/>
    <n v="1.1399999999999999"/>
    <n v="1.39"/>
  </r>
  <r>
    <x v="2"/>
    <s v="Convenience stores"/>
    <x v="3"/>
    <s v="Heineken"/>
    <s v="|33/01/49|"/>
    <n v="72"/>
    <n v="1"/>
    <n v="1.35"/>
  </r>
  <r>
    <x v="2"/>
    <s v="Convenience stores"/>
    <x v="3"/>
    <s v="Heineken"/>
    <s v="|33/01/50|"/>
    <n v="72"/>
    <n v="1.1000000000000001"/>
    <n v="1.28"/>
  </r>
  <r>
    <x v="2"/>
    <s v="Convenience stores"/>
    <x v="3"/>
    <s v="Heineken"/>
    <s v="|33/01/51|"/>
    <n v="60"/>
    <n v="1.0900000000000001"/>
    <n v="1.24"/>
  </r>
  <r>
    <x v="2"/>
    <s v="Convenience stores"/>
    <x v="3"/>
    <s v="Heineken"/>
    <s v="|33/01/52|"/>
    <n v="60"/>
    <n v="1.0900000000000001"/>
    <n v="1.33"/>
  </r>
  <r>
    <x v="2"/>
    <s v="Convenience stores"/>
    <x v="3"/>
    <s v="Heineken"/>
    <s v="|33/01/60|"/>
    <n v="48"/>
    <n v="1.1599999999999999"/>
    <n v="1.36"/>
  </r>
  <r>
    <x v="2"/>
    <s v="Convenience stores"/>
    <x v="3"/>
    <s v="Heineken"/>
    <s v="|33/01/61|"/>
    <n v="60"/>
    <n v="1.2"/>
    <n v="1.25"/>
  </r>
  <r>
    <x v="2"/>
    <s v="Convenience stores"/>
    <x v="3"/>
    <s v="Heineken"/>
    <s v="|33/01/62|"/>
    <n v="60"/>
    <n v="1.1100000000000001"/>
    <n v="1.34"/>
  </r>
  <r>
    <x v="2"/>
    <s v="Convenience stores"/>
    <x v="3"/>
    <s v="Heineken"/>
    <s v="|33/01/63|"/>
    <n v="72"/>
    <n v="1.06"/>
    <n v="1.34"/>
  </r>
  <r>
    <x v="2"/>
    <s v="Convenience stores"/>
    <x v="3"/>
    <s v="Heineken"/>
    <s v="|33/01/64|"/>
    <n v="48"/>
    <n v="1.03"/>
    <n v="1.34"/>
  </r>
  <r>
    <x v="2"/>
    <s v="Convenience stores"/>
    <x v="3"/>
    <s v="Heineken"/>
    <s v="|33/01/65|"/>
    <n v="72"/>
    <n v="1.1000000000000001"/>
    <n v="1.24"/>
  </r>
  <r>
    <x v="2"/>
    <s v="Convenience stores"/>
    <x v="3"/>
    <s v="Heineken"/>
    <s v="|33/01/66|"/>
    <n v="72"/>
    <n v="1"/>
    <n v="1.34"/>
  </r>
  <r>
    <x v="2"/>
    <s v="Convenience stores"/>
    <x v="3"/>
    <s v="Heineken"/>
    <s v="|33/10/01|"/>
    <n v="48"/>
    <n v="1.05"/>
    <n v="1.21"/>
  </r>
  <r>
    <x v="2"/>
    <s v="Convenience stores"/>
    <x v="3"/>
    <s v="Heineken"/>
    <s v="|33/99/91|"/>
    <n v="72"/>
    <n v="1.03"/>
    <n v="1.29"/>
  </r>
  <r>
    <x v="2"/>
    <s v="Convenience stores"/>
    <x v="3"/>
    <s v="Heineken"/>
    <s v="|33/99/92|"/>
    <n v="60"/>
    <n v="1.0900000000000001"/>
    <n v="1.21"/>
  </r>
  <r>
    <x v="2"/>
    <s v="Convenience stores"/>
    <x v="3"/>
    <s v="Heineken"/>
    <s v="|33/99/93|"/>
    <n v="48"/>
    <n v="1.19"/>
    <n v="1.35"/>
  </r>
  <r>
    <x v="2"/>
    <s v="Convenience stores"/>
    <x v="3"/>
    <s v="Heineken"/>
    <s v="|33/99/94|"/>
    <n v="48"/>
    <n v="1.02"/>
    <n v="1.28"/>
  </r>
  <r>
    <x v="2"/>
    <s v="Convenience stores"/>
    <x v="3"/>
    <s v="Heineken"/>
    <s v="|33/99/95|"/>
    <n v="72"/>
    <n v="1.1000000000000001"/>
    <n v="1.24"/>
  </r>
  <r>
    <x v="2"/>
    <s v="Convenience stores"/>
    <x v="3"/>
    <s v="Heineken"/>
    <s v="|33/99/96|"/>
    <n v="48"/>
    <n v="1.06"/>
    <n v="1.4"/>
  </r>
  <r>
    <x v="2"/>
    <s v="Convenience stores"/>
    <x v="3"/>
    <s v="Heineken"/>
    <s v="|33/99/98|"/>
    <n v="72"/>
    <n v="1.04"/>
    <n v="1.4"/>
  </r>
  <r>
    <x v="2"/>
    <s v="Convenience stores"/>
    <x v="3"/>
    <s v="Heineken"/>
    <s v="|33/99/99|"/>
    <n v="60"/>
    <n v="1.1599999999999999"/>
    <n v="1.36"/>
  </r>
  <r>
    <x v="2"/>
    <s v="Convenience stores"/>
    <x v="3"/>
    <s v="Tuborg"/>
    <s v="|33/99/97|"/>
    <n v="72"/>
    <n v="1.03"/>
    <n v="1.36"/>
  </r>
  <r>
    <x v="2"/>
    <s v="Convenience stores"/>
    <x v="3"/>
    <s v="Tuborg"/>
    <s v="|97/01/01|"/>
    <n v="48"/>
    <n v="1.1599999999999999"/>
    <n v="1.25"/>
  </r>
  <r>
    <x v="2"/>
    <s v="Convenience stores"/>
    <x v="3"/>
    <s v="Tuborg"/>
    <s v="|97/01/02|"/>
    <n v="60"/>
    <n v="1.19"/>
    <n v="1.27"/>
  </r>
  <r>
    <x v="2"/>
    <s v="Convenience stores"/>
    <x v="3"/>
    <s v="Tuborg"/>
    <s v="|97/01/03|"/>
    <n v="60"/>
    <n v="1.1499999999999999"/>
    <n v="1.21"/>
  </r>
  <r>
    <x v="2"/>
    <s v="Convenience stores"/>
    <x v="3"/>
    <s v="Tuborg"/>
    <s v="|97/02/01|"/>
    <n v="48"/>
    <n v="1.1100000000000001"/>
    <n v="1.38"/>
  </r>
  <r>
    <x v="2"/>
    <s v="Convenience stores"/>
    <x v="3"/>
    <s v="Tuborg"/>
    <s v="|97/02/02|"/>
    <n v="60"/>
    <n v="1.1000000000000001"/>
    <n v="1.3"/>
  </r>
  <r>
    <x v="2"/>
    <s v="Convenience stores"/>
    <x v="3"/>
    <s v="Tuborg"/>
    <s v="|97/02/03|"/>
    <n v="60"/>
    <n v="1.07"/>
    <n v="1.29"/>
  </r>
  <r>
    <x v="2"/>
    <s v="Convenience stores"/>
    <x v="3"/>
    <s v="Tuborg"/>
    <s v="|97/02/05|"/>
    <n v="72"/>
    <n v="1.0900000000000001"/>
    <n v="1.29"/>
  </r>
  <r>
    <x v="2"/>
    <s v="Convenience stores"/>
    <x v="6"/>
    <s v="Optima"/>
    <s v="|64/01/01|"/>
    <n v="2712"/>
    <n v="2.36"/>
    <n v="3.49"/>
  </r>
  <r>
    <x v="2"/>
    <s v="Convenience stores"/>
    <x v="6"/>
    <s v="Optima"/>
    <s v="|64/01/02|"/>
    <n v="1620"/>
    <n v="2.92"/>
    <n v="3.43"/>
  </r>
  <r>
    <x v="2"/>
    <s v="Convenience stores"/>
    <x v="6"/>
    <s v="Optima"/>
    <s v="|64/02/01|"/>
    <n v="2256"/>
    <n v="2.71"/>
    <n v="3.59"/>
  </r>
  <r>
    <x v="2"/>
    <s v="Convenience stores"/>
    <x v="6"/>
    <s v="Optima"/>
    <s v="|64/02/02|"/>
    <n v="2256"/>
    <n v="2.4500000000000002"/>
    <n v="3.51"/>
  </r>
  <r>
    <x v="2"/>
    <s v="Convenience stores"/>
    <x v="6"/>
    <s v="Optima"/>
    <s v="|64/02/03|"/>
    <n v="1452"/>
    <n v="2.63"/>
    <n v="3.56"/>
  </r>
  <r>
    <x v="2"/>
    <s v="Convenience stores"/>
    <x v="6"/>
    <s v="Optima"/>
    <s v="|64/02/04|"/>
    <n v="2124"/>
    <n v="2.5499999999999998"/>
    <n v="3.97"/>
  </r>
  <r>
    <x v="2"/>
    <s v="Convenience stores"/>
    <x v="6"/>
    <s v="Optima"/>
    <s v="|64/02/05|"/>
    <n v="1872"/>
    <n v="2.86"/>
    <n v="3.7"/>
  </r>
  <r>
    <x v="2"/>
    <s v="Convenience stores"/>
    <x v="4"/>
    <s v="Genco"/>
    <s v="|20/10/02|"/>
    <n v="348"/>
    <n v="4.66"/>
    <n v="5.21"/>
  </r>
  <r>
    <x v="2"/>
    <s v="Convenience stores"/>
    <x v="4"/>
    <s v="Genco"/>
    <s v="|20/10/03|"/>
    <n v="552"/>
    <n v="4.5199999999999996"/>
    <n v="5.04"/>
  </r>
  <r>
    <x v="2"/>
    <s v="Convenience stores"/>
    <x v="4"/>
    <s v="Genco"/>
    <s v="|20/10/04|"/>
    <n v="528"/>
    <n v="4.62"/>
    <n v="5.27"/>
  </r>
  <r>
    <x v="2"/>
    <s v="Convenience stores"/>
    <x v="4"/>
    <s v="Genco"/>
    <s v="|20/10/05|"/>
    <n v="624"/>
    <n v="4.46"/>
    <n v="5.07"/>
  </r>
  <r>
    <x v="2"/>
    <s v="Convenience stores"/>
    <x v="4"/>
    <s v="Genco"/>
    <s v="|20/10/06|"/>
    <n v="528"/>
    <n v="4.71"/>
    <n v="5.4"/>
  </r>
  <r>
    <x v="2"/>
    <s v="Convenience stores"/>
    <x v="4"/>
    <s v="Genco"/>
    <s v="|20/10/07|"/>
    <n v="528"/>
    <n v="4.38"/>
    <n v="5.0199999999999996"/>
  </r>
  <r>
    <x v="2"/>
    <s v="Convenience stores"/>
    <x v="4"/>
    <s v="Genco"/>
    <s v="|20/10/08|"/>
    <n v="648"/>
    <n v="4.1500000000000004"/>
    <n v="5.34"/>
  </r>
  <r>
    <x v="2"/>
    <s v="Convenience stores"/>
    <x v="4"/>
    <s v="Genco"/>
    <s v="|20/10/09|"/>
    <n v="672"/>
    <n v="4.21"/>
    <n v="5.0199999999999996"/>
  </r>
  <r>
    <x v="2"/>
    <s v="Convenience stores"/>
    <x v="4"/>
    <s v="Genco"/>
    <s v="|20/10/10|"/>
    <n v="288"/>
    <n v="4.5199999999999996"/>
    <n v="5.17"/>
  </r>
  <r>
    <x v="2"/>
    <s v="Convenience stores"/>
    <x v="4"/>
    <s v="Genco"/>
    <s v="|20/10/11|"/>
    <n v="612"/>
    <n v="4.87"/>
    <n v="5.35"/>
  </r>
  <r>
    <x v="2"/>
    <s v="Convenience stores"/>
    <x v="4"/>
    <s v="Genco"/>
    <s v="|20/10/12|"/>
    <n v="396"/>
    <n v="4.9000000000000004"/>
    <n v="5.1100000000000003"/>
  </r>
  <r>
    <x v="2"/>
    <s v="Convenience stores"/>
    <x v="4"/>
    <s v="Genco"/>
    <s v="|20/13/01|"/>
    <n v="672"/>
    <n v="4.47"/>
    <n v="5.21"/>
  </r>
  <r>
    <x v="2"/>
    <s v="Convenience stores"/>
    <x v="4"/>
    <s v="Genco"/>
    <s v="|20/13/02|"/>
    <n v="516"/>
    <n v="4.42"/>
    <n v="5.21"/>
  </r>
  <r>
    <x v="2"/>
    <s v="Convenience stores"/>
    <x v="4"/>
    <s v="Genco"/>
    <s v="|20/13/03|"/>
    <n v="612"/>
    <n v="4.47"/>
    <n v="5.3"/>
  </r>
  <r>
    <x v="2"/>
    <s v="Convenience stores"/>
    <x v="4"/>
    <s v="Genco"/>
    <s v="|20/13/04|"/>
    <n v="420"/>
    <n v="4.66"/>
    <n v="5.14"/>
  </r>
  <r>
    <x v="2"/>
    <s v="Convenience stores"/>
    <x v="4"/>
    <s v="Genco"/>
    <s v="|20/13/05|"/>
    <n v="396"/>
    <n v="4.03"/>
    <n v="5.35"/>
  </r>
  <r>
    <x v="2"/>
    <s v="Convenience stores"/>
    <x v="4"/>
    <s v="Genco"/>
    <s v="|20/13/06|"/>
    <n v="564"/>
    <n v="4.5199999999999996"/>
    <n v="5.14"/>
  </r>
  <r>
    <x v="2"/>
    <s v="Convenience stores"/>
    <x v="4"/>
    <s v="Genco"/>
    <s v="|20/13/07|"/>
    <n v="336"/>
    <n v="4.04"/>
    <n v="5.2"/>
  </r>
  <r>
    <x v="2"/>
    <s v="Convenience stores"/>
    <x v="4"/>
    <s v="Genco"/>
    <s v="|20/13/08|"/>
    <n v="492"/>
    <n v="4.8099999999999996"/>
    <n v="5.19"/>
  </r>
  <r>
    <x v="2"/>
    <s v="Convenience stores"/>
    <x v="4"/>
    <s v="Genco"/>
    <s v="|20/13/09|"/>
    <n v="408"/>
    <n v="4.01"/>
    <n v="5.4"/>
  </r>
  <r>
    <x v="2"/>
    <s v="Convenience stores"/>
    <x v="4"/>
    <s v="Genco"/>
    <s v="|20/13/10|"/>
    <n v="360"/>
    <n v="4.91"/>
    <n v="5.38"/>
  </r>
  <r>
    <x v="2"/>
    <s v="Convenience stores"/>
    <x v="4"/>
    <s v="Genco"/>
    <s v="|20/13/11|"/>
    <n v="264"/>
    <n v="4.83"/>
    <n v="5.34"/>
  </r>
  <r>
    <x v="2"/>
    <s v="Convenience stores"/>
    <x v="4"/>
    <s v="Genco"/>
    <s v="|20/13/12|"/>
    <n v="264"/>
    <n v="4.95"/>
    <n v="5.0199999999999996"/>
  </r>
  <r>
    <x v="2"/>
    <s v="Convenience stores"/>
    <x v="4"/>
    <s v="Genco"/>
    <s v="|20/13/13|"/>
    <n v="348"/>
    <n v="4.59"/>
    <n v="5.35"/>
  </r>
  <r>
    <x v="2"/>
    <s v="Convenience stores"/>
    <x v="4"/>
    <s v="Genco"/>
    <s v="|20/13/14|"/>
    <n v="384"/>
    <n v="4.6399999999999997"/>
    <n v="5.18"/>
  </r>
  <r>
    <x v="2"/>
    <s v="Convenience stores"/>
    <x v="4"/>
    <s v="Genco"/>
    <s v="|20/13/15|"/>
    <n v="696"/>
    <n v="4.7699999999999996"/>
    <n v="5.24"/>
  </r>
  <r>
    <x v="2"/>
    <s v="Convenience stores"/>
    <x v="4"/>
    <s v="Genco"/>
    <s v="|20/13/16|"/>
    <n v="324"/>
    <n v="4.49"/>
    <n v="5.13"/>
  </r>
  <r>
    <x v="2"/>
    <s v="Convenience stores"/>
    <x v="4"/>
    <s v="Genco"/>
    <s v="|20/13/17|"/>
    <n v="240"/>
    <n v="4.42"/>
    <n v="5"/>
  </r>
  <r>
    <x v="2"/>
    <s v="Convenience stores"/>
    <x v="4"/>
    <s v="Genco"/>
    <s v="|20/13/18|"/>
    <n v="624"/>
    <n v="5"/>
    <n v="5.15"/>
  </r>
  <r>
    <x v="2"/>
    <s v="Convenience stores"/>
    <x v="4"/>
    <s v="Genco"/>
    <s v="|20/13/19|"/>
    <n v="300"/>
    <n v="4.32"/>
    <n v="5.0999999999999996"/>
  </r>
  <r>
    <x v="2"/>
    <s v="Convenience stores"/>
    <x v="4"/>
    <s v="Genco"/>
    <s v="|20/13/20|"/>
    <n v="612"/>
    <n v="4.43"/>
    <n v="5.15"/>
  </r>
  <r>
    <x v="2"/>
    <s v="Convenience stores"/>
    <x v="4"/>
    <s v="Genco"/>
    <s v="|20/13/21|"/>
    <n v="624"/>
    <n v="4.93"/>
    <n v="5.13"/>
  </r>
  <r>
    <x v="2"/>
    <s v="Convenience stores"/>
    <x v="4"/>
    <s v="Genco"/>
    <s v="|20/13/22|"/>
    <n v="648"/>
    <n v="4.6900000000000004"/>
    <n v="5.35"/>
  </r>
  <r>
    <x v="2"/>
    <s v="Convenience stores"/>
    <x v="4"/>
    <s v="Genco"/>
    <s v="|20/13/23|"/>
    <n v="312"/>
    <n v="4.46"/>
    <n v="5.1100000000000003"/>
  </r>
  <r>
    <x v="2"/>
    <s v="Convenience stores"/>
    <x v="4"/>
    <s v="Genco"/>
    <s v="|20/13/24|"/>
    <n v="624"/>
    <n v="4.29"/>
    <n v="5.27"/>
  </r>
  <r>
    <x v="2"/>
    <s v="Convenience stores"/>
    <x v="4"/>
    <s v="Genco"/>
    <s v="|20/13/28|"/>
    <n v="552"/>
    <n v="4.16"/>
    <n v="5.4"/>
  </r>
  <r>
    <x v="2"/>
    <s v="Convenience stores"/>
    <x v="4"/>
    <s v="Genco"/>
    <s v="|20/13/29|"/>
    <n v="336"/>
    <n v="4"/>
    <n v="5.28"/>
  </r>
  <r>
    <x v="2"/>
    <s v="Convenience stores"/>
    <x v="4"/>
    <s v="Genco"/>
    <s v="|20/13/30|"/>
    <n v="696"/>
    <n v="4.88"/>
    <n v="5.29"/>
  </r>
  <r>
    <x v="2"/>
    <s v="Convenience stores"/>
    <x v="4"/>
    <s v="Genco"/>
    <s v="|20/13/31|"/>
    <n v="504"/>
    <n v="4.67"/>
    <n v="5.13"/>
  </r>
  <r>
    <x v="2"/>
    <s v="Convenience stores"/>
    <x v="4"/>
    <s v="Genco"/>
    <s v="|20/13/32|"/>
    <n v="312"/>
    <n v="4.17"/>
    <n v="5.2"/>
  </r>
  <r>
    <x v="2"/>
    <s v="Convenience stores"/>
    <x v="4"/>
    <s v="Genco"/>
    <s v="|20/13/33|"/>
    <n v="636"/>
    <n v="4.41"/>
    <n v="5.25"/>
  </r>
  <r>
    <x v="2"/>
    <s v="Convenience stores"/>
    <x v="4"/>
    <s v="Genco"/>
    <s v="|20/13/34|"/>
    <n v="660"/>
    <n v="4.88"/>
    <n v="5.15"/>
  </r>
  <r>
    <x v="2"/>
    <s v="Convenience stores"/>
    <x v="4"/>
    <s v="Genco"/>
    <s v="|20/13/35|"/>
    <n v="288"/>
    <n v="4"/>
    <n v="5.39"/>
  </r>
  <r>
    <x v="2"/>
    <s v="Convenience stores"/>
    <x v="4"/>
    <s v="Genco"/>
    <s v="|20/13/36|"/>
    <n v="360"/>
    <n v="4.3600000000000003"/>
    <n v="5.08"/>
  </r>
  <r>
    <x v="2"/>
    <s v="Convenience stores"/>
    <x v="4"/>
    <s v="Genco"/>
    <s v="|20/13/37|"/>
    <n v="648"/>
    <n v="4.8099999999999996"/>
    <n v="5.13"/>
  </r>
  <r>
    <x v="2"/>
    <s v="Convenience stores"/>
    <x v="4"/>
    <s v="Genco"/>
    <s v="|20/13/38|"/>
    <n v="240"/>
    <n v="4.2"/>
    <n v="5.39"/>
  </r>
  <r>
    <x v="2"/>
    <s v="Convenience stores"/>
    <x v="4"/>
    <s v="Genco"/>
    <s v="|20/13/39|"/>
    <n v="516"/>
    <n v="4.32"/>
    <n v="5.21"/>
  </r>
  <r>
    <x v="2"/>
    <s v="Convenience stores"/>
    <x v="4"/>
    <s v="Genco"/>
    <s v="|20/13/40|"/>
    <n v="300"/>
    <n v="4.07"/>
    <n v="5.16"/>
  </r>
  <r>
    <x v="2"/>
    <s v="Convenience stores"/>
    <x v="4"/>
    <s v="Genco"/>
    <s v="|20/13/42|"/>
    <n v="528"/>
    <n v="4.42"/>
    <n v="5.4"/>
  </r>
  <r>
    <x v="2"/>
    <s v="Convenience stores"/>
    <x v="4"/>
    <s v="Genco"/>
    <s v="|20/13/43|"/>
    <n v="708"/>
    <n v="4.72"/>
    <n v="5.01"/>
  </r>
  <r>
    <x v="2"/>
    <s v="Convenience stores"/>
    <x v="4"/>
    <s v="Genco"/>
    <s v="|20/13/44|"/>
    <n v="384"/>
    <n v="4.84"/>
    <n v="5.23"/>
  </r>
  <r>
    <x v="2"/>
    <s v="Convenience stores"/>
    <x v="4"/>
    <s v="Genco"/>
    <s v="|20/13/45|"/>
    <n v="564"/>
    <n v="4.04"/>
    <n v="5.17"/>
  </r>
  <r>
    <x v="2"/>
    <s v="Convenience stores"/>
    <x v="4"/>
    <s v="Genco"/>
    <s v="|20/13/46|"/>
    <n v="444"/>
    <n v="4.8600000000000003"/>
    <n v="5.0999999999999996"/>
  </r>
  <r>
    <x v="2"/>
    <s v="Convenience stores"/>
    <x v="4"/>
    <s v="Genco"/>
    <s v="|20/13/47|"/>
    <n v="444"/>
    <n v="4.2300000000000004"/>
    <n v="5.21"/>
  </r>
  <r>
    <x v="2"/>
    <s v="Convenience stores"/>
    <x v="4"/>
    <s v="Genco"/>
    <s v="|20/13/48|"/>
    <n v="420"/>
    <n v="4.7"/>
    <n v="5.09"/>
  </r>
  <r>
    <x v="2"/>
    <s v="Convenience stores"/>
    <x v="4"/>
    <s v="Genco"/>
    <s v="|20/13/49a|"/>
    <n v="684"/>
    <n v="4"/>
    <n v="5.12"/>
  </r>
  <r>
    <x v="2"/>
    <s v="Convenience stores"/>
    <x v="4"/>
    <s v="Genco"/>
    <s v="|20/13/49|"/>
    <n v="360"/>
    <n v="4.99"/>
    <n v="5.04"/>
  </r>
  <r>
    <x v="2"/>
    <s v="Convenience stores"/>
    <x v="4"/>
    <s v="Genco"/>
    <s v="|20/13/50|"/>
    <n v="324"/>
    <n v="4.95"/>
    <n v="5.16"/>
  </r>
  <r>
    <x v="2"/>
    <s v="Convenience stores"/>
    <x v="4"/>
    <s v="Genco"/>
    <s v="|20/13/51|"/>
    <n v="552"/>
    <n v="4.29"/>
    <n v="5.23"/>
  </r>
  <r>
    <x v="2"/>
    <s v="Convenience stores"/>
    <x v="4"/>
    <s v="Genco"/>
    <s v="|20/13/52|"/>
    <n v="312"/>
    <n v="4.03"/>
    <n v="5.18"/>
  </r>
  <r>
    <x v="2"/>
    <s v="Convenience stores"/>
    <x v="4"/>
    <s v="Genco"/>
    <s v="|20/13/53|"/>
    <n v="636"/>
    <n v="4.91"/>
    <n v="5.09"/>
  </r>
  <r>
    <x v="2"/>
    <s v="Convenience stores"/>
    <x v="4"/>
    <s v="Genco"/>
    <s v="|20/13/54|"/>
    <n v="408"/>
    <n v="4.66"/>
    <n v="5.12"/>
  </r>
  <r>
    <x v="2"/>
    <s v="Convenience stores"/>
    <x v="4"/>
    <s v="Genco"/>
    <s v="|20/13/55|"/>
    <n v="312"/>
    <n v="4.5199999999999996"/>
    <n v="5.39"/>
  </r>
  <r>
    <x v="2"/>
    <s v="Convenience stores"/>
    <x v="4"/>
    <s v="Genco"/>
    <s v="|20/13/56|"/>
    <n v="552"/>
    <n v="4.83"/>
    <n v="5.05"/>
  </r>
  <r>
    <x v="2"/>
    <s v="Convenience stores"/>
    <x v="4"/>
    <s v="Genco"/>
    <s v="|20/13/57|"/>
    <n v="348"/>
    <n v="4.3600000000000003"/>
    <n v="5.03"/>
  </r>
  <r>
    <x v="2"/>
    <s v="Convenience stores"/>
    <x v="4"/>
    <s v="Genco"/>
    <s v="|20/13/58|"/>
    <n v="648"/>
    <n v="4.3899999999999997"/>
    <n v="5.08"/>
  </r>
  <r>
    <x v="2"/>
    <s v="Convenience stores"/>
    <x v="4"/>
    <s v="Genco"/>
    <s v="|20/13/78|"/>
    <n v="432"/>
    <n v="4.4800000000000004"/>
    <n v="5.32"/>
  </r>
  <r>
    <x v="2"/>
    <s v="Convenience stores"/>
    <x v="4"/>
    <s v="Genco"/>
    <s v="|20/13/79|"/>
    <n v="252"/>
    <n v="4.25"/>
    <n v="5.26"/>
  </r>
  <r>
    <x v="2"/>
    <s v="Convenience stores"/>
    <x v="4"/>
    <s v="Genco"/>
    <s v="|20/13/80|"/>
    <n v="516"/>
    <n v="4.96"/>
    <n v="5.17"/>
  </r>
  <r>
    <x v="2"/>
    <s v="Convenience stores"/>
    <x v="4"/>
    <s v="Genco"/>
    <s v="|20/13/91|"/>
    <n v="420"/>
    <n v="4.4000000000000004"/>
    <n v="5.2"/>
  </r>
  <r>
    <x v="2"/>
    <s v="Convenience stores"/>
    <x v="4"/>
    <s v="Genco"/>
    <s v="|20/13/98|"/>
    <n v="456"/>
    <n v="4.8"/>
    <n v="5.27"/>
  </r>
  <r>
    <x v="2"/>
    <s v="Convenience stores"/>
    <x v="4"/>
    <s v="Genco"/>
    <s v="|20/13/99|"/>
    <n v="600"/>
    <n v="4.03"/>
    <n v="5.16"/>
  </r>
  <r>
    <x v="2"/>
    <s v="Convenience stores"/>
    <x v="4"/>
    <s v="Genco"/>
    <s v="|20/13/100|"/>
    <n v="588"/>
    <n v="4.6900000000000004"/>
    <n v="5.08"/>
  </r>
  <r>
    <x v="2"/>
    <s v="Convenience stores"/>
    <x v="4"/>
    <s v="Genco"/>
    <s v="|20/13/101|"/>
    <n v="312"/>
    <n v="4.47"/>
    <n v="5.16"/>
  </r>
  <r>
    <x v="2"/>
    <s v="Convenience stores"/>
    <x v="4"/>
    <s v="Genco"/>
    <s v="|20/13/102|"/>
    <n v="264"/>
    <n v="4.71"/>
    <n v="5.12"/>
  </r>
  <r>
    <x v="2"/>
    <s v="Convenience stores"/>
    <x v="4"/>
    <s v="Genco"/>
    <s v="|20/13/59|"/>
    <n v="648"/>
    <n v="4.87"/>
    <n v="5.03"/>
  </r>
  <r>
    <x v="2"/>
    <s v="Convenience stores"/>
    <x v="4"/>
    <s v="Genco"/>
    <s v="|20/13/60|"/>
    <n v="408"/>
    <n v="4.13"/>
    <n v="5.04"/>
  </r>
  <r>
    <x v="2"/>
    <s v="Convenience stores"/>
    <x v="3"/>
    <s v="Genco"/>
    <s v="|20/13/61|"/>
    <n v="48"/>
    <n v="1.1399999999999999"/>
    <n v="1.4"/>
  </r>
  <r>
    <x v="2"/>
    <s v="Convenience stores"/>
    <x v="3"/>
    <s v="Genco"/>
    <s v="|20/14/01|"/>
    <n v="48"/>
    <n v="1.02"/>
    <n v="1.29"/>
  </r>
  <r>
    <x v="2"/>
    <s v="Convenience stores"/>
    <x v="3"/>
    <s v="Genco"/>
    <s v="|20/14/02|"/>
    <n v="48"/>
    <n v="1.08"/>
    <n v="1.35"/>
  </r>
  <r>
    <x v="2"/>
    <s v="Convenience stores"/>
    <x v="3"/>
    <s v="Genco"/>
    <s v="|20/14/03|"/>
    <n v="72"/>
    <n v="1.1100000000000001"/>
    <n v="1.39"/>
  </r>
  <r>
    <x v="2"/>
    <s v="Convenience stores"/>
    <x v="3"/>
    <s v="Genco"/>
    <s v="|20/14/04|"/>
    <n v="48"/>
    <n v="1.17"/>
    <n v="1.25"/>
  </r>
  <r>
    <x v="2"/>
    <s v="Convenience stores"/>
    <x v="3"/>
    <s v="Genco"/>
    <s v="|20/14/05|"/>
    <n v="60"/>
    <n v="1.1599999999999999"/>
    <n v="1.36"/>
  </r>
  <r>
    <x v="2"/>
    <s v="Convenience stores"/>
    <x v="3"/>
    <s v="Genco"/>
    <s v="|20/14/06|"/>
    <n v="48"/>
    <n v="1.03"/>
    <n v="1.25"/>
  </r>
  <r>
    <x v="2"/>
    <s v="Convenience stores"/>
    <x v="3"/>
    <s v="Genco"/>
    <s v="|20/14/08|"/>
    <n v="48"/>
    <n v="1.1100000000000001"/>
    <n v="1.39"/>
  </r>
  <r>
    <x v="2"/>
    <s v="Convenience stores"/>
    <x v="3"/>
    <s v="Genco"/>
    <s v="|20/14/09|"/>
    <n v="72"/>
    <n v="1.0900000000000001"/>
    <n v="1.37"/>
  </r>
  <r>
    <x v="2"/>
    <s v="Convenience stores"/>
    <x v="3"/>
    <s v="Genco"/>
    <s v="|20/17/01|"/>
    <n v="48"/>
    <n v="1.1200000000000001"/>
    <n v="1.23"/>
  </r>
  <r>
    <x v="2"/>
    <s v="Convenience stores"/>
    <x v="3"/>
    <s v="Genco"/>
    <s v="|20/17/02|"/>
    <n v="60"/>
    <n v="1.03"/>
    <n v="1.37"/>
  </r>
  <r>
    <x v="2"/>
    <s v="Convenience stores"/>
    <x v="3"/>
    <s v="Genco"/>
    <s v="|20/17/03|"/>
    <n v="60"/>
    <n v="1.18"/>
    <n v="1.2"/>
  </r>
  <r>
    <x v="2"/>
    <s v="Convenience stores"/>
    <x v="3"/>
    <s v="Genco"/>
    <s v="|20/17/05|"/>
    <n v="60"/>
    <n v="1.19"/>
    <n v="1.24"/>
  </r>
  <r>
    <x v="2"/>
    <s v="Convenience stores"/>
    <x v="3"/>
    <s v="Genco"/>
    <s v="|20/99/91|"/>
    <n v="48"/>
    <n v="1.2"/>
    <n v="1.25"/>
  </r>
  <r>
    <x v="2"/>
    <s v="Convenience stores"/>
    <x v="6"/>
    <s v="Brembo"/>
    <s v="|46/01/01|"/>
    <n v="1248"/>
    <n v="2.62"/>
    <n v="3.65"/>
  </r>
  <r>
    <x v="2"/>
    <s v="Convenience stores"/>
    <x v="6"/>
    <s v="Brembo"/>
    <s v="|46/01/02|"/>
    <n v="1428"/>
    <n v="2.86"/>
    <n v="3.97"/>
  </r>
  <r>
    <x v="2"/>
    <s v="Convenience stores"/>
    <x v="6"/>
    <s v="Brembo"/>
    <s v="|46/01/03|"/>
    <n v="1284"/>
    <n v="2.89"/>
    <n v="3.8"/>
  </r>
  <r>
    <x v="2"/>
    <s v="Convenience stores"/>
    <x v="6"/>
    <s v="Brembo"/>
    <s v="|46/01/04|"/>
    <n v="1236"/>
    <n v="2.98"/>
    <n v="3.47"/>
  </r>
  <r>
    <x v="2"/>
    <s v="Convenience stores"/>
    <x v="6"/>
    <s v="Brembo"/>
    <s v="|46/01/05|"/>
    <n v="1356"/>
    <n v="2.5"/>
    <n v="3.78"/>
  </r>
  <r>
    <x v="2"/>
    <s v="Convenience stores"/>
    <x v="6"/>
    <s v="Brembo"/>
    <s v="|46/01/06|"/>
    <n v="1980"/>
    <n v="2.33"/>
    <n v="3.49"/>
  </r>
  <r>
    <x v="2"/>
    <s v="Convenience stores"/>
    <x v="6"/>
    <s v="Brembo"/>
    <s v="|46/01/07|"/>
    <n v="2088"/>
    <n v="2.7"/>
    <n v="3.39"/>
  </r>
  <r>
    <x v="2"/>
    <s v="Convenience stores"/>
    <x v="6"/>
    <s v="Brembo"/>
    <s v="|46/01/08|"/>
    <n v="1980"/>
    <n v="2.58"/>
    <n v="3.86"/>
  </r>
  <r>
    <x v="2"/>
    <s v="Convenience stores"/>
    <x v="6"/>
    <s v="Brembo"/>
    <s v="|46/01/09|"/>
    <n v="2232"/>
    <n v="2.64"/>
    <n v="3.79"/>
  </r>
  <r>
    <x v="2"/>
    <s v="Convenience stores"/>
    <x v="6"/>
    <s v="Brembo"/>
    <s v="|46/01/10|"/>
    <n v="1380"/>
    <n v="2.69"/>
    <n v="3.39"/>
  </r>
  <r>
    <x v="2"/>
    <s v="Convenience stores"/>
    <x v="6"/>
    <s v="Brembo"/>
    <s v="|46/01/11|"/>
    <n v="1980"/>
    <n v="2.38"/>
    <n v="3.67"/>
  </r>
  <r>
    <x v="2"/>
    <s v="Convenience stores"/>
    <x v="6"/>
    <s v="Brembo"/>
    <s v="|46/01/12|"/>
    <n v="1632"/>
    <n v="2.91"/>
    <n v="3.56"/>
  </r>
  <r>
    <x v="2"/>
    <s v="Convenience stores"/>
    <x v="6"/>
    <s v="Brembo"/>
    <s v="|46/01/13|"/>
    <n v="1788"/>
    <n v="2.3199999999999998"/>
    <n v="3.45"/>
  </r>
  <r>
    <x v="2"/>
    <s v="Convenience stores"/>
    <x v="6"/>
    <s v="Brembo"/>
    <s v="|46/01/14|"/>
    <n v="2196"/>
    <n v="2.66"/>
    <n v="3.48"/>
  </r>
  <r>
    <x v="2"/>
    <s v="Convenience stores"/>
    <x v="6"/>
    <s v="Brembo"/>
    <s v="|46/01/20|"/>
    <n v="1260"/>
    <n v="2.73"/>
    <n v="3.43"/>
  </r>
  <r>
    <x v="2"/>
    <s v="Convenience stores"/>
    <x v="2"/>
    <s v="Illy"/>
    <s v="|80/01/01|"/>
    <n v="7296"/>
    <n v="0.43"/>
    <n v="1.02"/>
  </r>
  <r>
    <x v="2"/>
    <s v="Convenience stores"/>
    <x v="2"/>
    <s v="Illy"/>
    <s v="|80/01/02|"/>
    <n v="8748"/>
    <n v="1.01"/>
    <n v="1.1599999999999999"/>
  </r>
  <r>
    <x v="2"/>
    <s v="Convenience stores"/>
    <x v="2"/>
    <s v="Illy"/>
    <s v="|80/01/03|"/>
    <n v="9468"/>
    <n v="0.81"/>
    <n v="1.17"/>
  </r>
  <r>
    <x v="2"/>
    <s v="Convenience stores"/>
    <x v="2"/>
    <s v="Illy"/>
    <s v="|80/01/04|"/>
    <n v="6156"/>
    <n v="0.71"/>
    <n v="1.02"/>
  </r>
  <r>
    <x v="2"/>
    <s v="Convenience stores"/>
    <x v="2"/>
    <s v="Illy"/>
    <s v="|80/01/05|"/>
    <n v="8760"/>
    <n v="0.67"/>
    <n v="1"/>
  </r>
  <r>
    <x v="2"/>
    <s v="Convenience stores"/>
    <x v="2"/>
    <s v="Illy"/>
    <s v="|80/01/06|"/>
    <n v="9492"/>
    <n v="0.52"/>
    <n v="0.93"/>
  </r>
  <r>
    <x v="2"/>
    <s v="Convenience stores"/>
    <x v="2"/>
    <s v="Illy"/>
    <s v="|80/01/07|"/>
    <n v="7824"/>
    <n v="0.7"/>
    <n v="1.1000000000000001"/>
  </r>
  <r>
    <x v="2"/>
    <s v="Convenience stores"/>
    <x v="2"/>
    <s v="Illy"/>
    <s v="|80/01/08|"/>
    <n v="7764"/>
    <n v="0.59"/>
    <n v="1.06"/>
  </r>
  <r>
    <x v="2"/>
    <s v="Convenience stores"/>
    <x v="2"/>
    <s v="Illy"/>
    <s v="|80/01/09|"/>
    <n v="6120"/>
    <n v="0.8"/>
    <n v="1.07"/>
  </r>
  <r>
    <x v="2"/>
    <s v="Convenience stores"/>
    <x v="2"/>
    <s v="Illy"/>
    <s v="|80/01/10|"/>
    <n v="8184"/>
    <n v="0.76"/>
    <n v="1.0900000000000001"/>
  </r>
  <r>
    <x v="2"/>
    <s v="Convenience stores"/>
    <x v="2"/>
    <s v="Illy"/>
    <s v="|80/01/11|"/>
    <n v="4836"/>
    <n v="0.57999999999999996"/>
    <n v="1.1200000000000001"/>
  </r>
  <r>
    <x v="2"/>
    <s v="Convenience stores"/>
    <x v="2"/>
    <s v="Illy"/>
    <s v="|80/01/12|"/>
    <n v="6600"/>
    <n v="0.47"/>
    <n v="1.1599999999999999"/>
  </r>
  <r>
    <x v="2"/>
    <s v="Convenience stores"/>
    <x v="2"/>
    <s v="Illy"/>
    <s v="|80/01/13|"/>
    <n v="8136"/>
    <n v="1.2"/>
    <n v="0.95"/>
  </r>
  <r>
    <x v="2"/>
    <s v="Convenience stores"/>
    <x v="2"/>
    <s v="Illy"/>
    <s v="|80/01/14|"/>
    <n v="7392"/>
    <n v="0.71"/>
    <n v="1.01"/>
  </r>
  <r>
    <x v="2"/>
    <s v="Convenience stores"/>
    <x v="2"/>
    <s v="Illy"/>
    <s v="|80/01/15|"/>
    <n v="6996"/>
    <n v="1.19"/>
    <n v="1.01"/>
  </r>
  <r>
    <x v="2"/>
    <s v="Convenience stores"/>
    <x v="2"/>
    <s v="Illy"/>
    <s v="|80/01/16|"/>
    <n v="6372"/>
    <n v="0.55000000000000004"/>
    <n v="0.9"/>
  </r>
  <r>
    <x v="2"/>
    <s v="Convenience stores"/>
    <x v="2"/>
    <s v="Illy"/>
    <s v="|80/01/17|"/>
    <n v="5292"/>
    <n v="0.42"/>
    <n v="1.19"/>
  </r>
  <r>
    <x v="2"/>
    <s v="Convenience stores"/>
    <x v="2"/>
    <s v="Illy"/>
    <s v="|80/01/18|"/>
    <n v="5988"/>
    <n v="0.86"/>
    <n v="1.1000000000000001"/>
  </r>
  <r>
    <x v="2"/>
    <s v="Convenience stores"/>
    <x v="2"/>
    <s v="Illy"/>
    <s v="|80/01/19|"/>
    <n v="7104"/>
    <n v="0.84"/>
    <n v="1.18"/>
  </r>
  <r>
    <x v="2"/>
    <s v="Convenience stores"/>
    <x v="2"/>
    <s v="Illy"/>
    <s v="|80/01/20|"/>
    <n v="7392"/>
    <n v="0.47"/>
    <n v="1.19"/>
  </r>
  <r>
    <x v="2"/>
    <s v="Convenience stores"/>
    <x v="2"/>
    <s v="Illy"/>
    <s v="|80/01/21|"/>
    <n v="9564"/>
    <n v="1.03"/>
    <n v="1.17"/>
  </r>
  <r>
    <x v="2"/>
    <s v="Convenience stores"/>
    <x v="2"/>
    <s v="Illy"/>
    <s v="|80/01/22|"/>
    <n v="5352"/>
    <n v="0.53"/>
    <n v="0.93"/>
  </r>
  <r>
    <x v="2"/>
    <s v="Convenience stores"/>
    <x v="2"/>
    <s v="Illy"/>
    <s v="|80/01/23|"/>
    <n v="7584"/>
    <n v="1.07"/>
    <n v="0.91"/>
  </r>
  <r>
    <x v="2"/>
    <s v="Convenience stores"/>
    <x v="2"/>
    <s v="Illy"/>
    <s v="|80/01/24|"/>
    <n v="7488"/>
    <n v="0.69"/>
    <n v="1.0900000000000001"/>
  </r>
  <r>
    <x v="2"/>
    <s v="Convenience stores"/>
    <x v="2"/>
    <s v="Illy"/>
    <s v="|80/01/25|"/>
    <n v="7620"/>
    <n v="0.83"/>
    <n v="1.02"/>
  </r>
  <r>
    <x v="2"/>
    <s v="Convenience stores"/>
    <x v="2"/>
    <s v="Illy"/>
    <s v="|80/01/26|"/>
    <n v="9576"/>
    <n v="0.52"/>
    <n v="0.91"/>
  </r>
  <r>
    <x v="2"/>
    <s v="Convenience stores"/>
    <x v="2"/>
    <s v="Illy"/>
    <s v="|80/01/27|"/>
    <n v="8640"/>
    <n v="0.52"/>
    <n v="1.19"/>
  </r>
  <r>
    <x v="2"/>
    <s v="Convenience stores"/>
    <x v="2"/>
    <s v="Illy"/>
    <s v="|80/01/28|"/>
    <n v="8748"/>
    <n v="0.78"/>
    <n v="1.1499999999999999"/>
  </r>
  <r>
    <x v="2"/>
    <s v="Convenience stores"/>
    <x v="2"/>
    <s v="Illy"/>
    <s v="|80/01/29|"/>
    <n v="8412"/>
    <n v="0.5"/>
    <n v="0.91"/>
  </r>
  <r>
    <x v="2"/>
    <s v="Convenience stores"/>
    <x v="2"/>
    <s v="Illy"/>
    <s v="|80/01/30|"/>
    <n v="6840"/>
    <n v="1.1299999999999999"/>
    <n v="1.19"/>
  </r>
  <r>
    <x v="2"/>
    <s v="Convenience stores"/>
    <x v="2"/>
    <s v="Illy"/>
    <s v="|80/01/31|"/>
    <n v="9492"/>
    <n v="0.6"/>
    <n v="0.98"/>
  </r>
  <r>
    <x v="2"/>
    <s v="Convenience stores"/>
    <x v="2"/>
    <s v="Illy"/>
    <s v="|80/01/32|"/>
    <n v="9048"/>
    <n v="0.51"/>
    <n v="0.92"/>
  </r>
  <r>
    <x v="2"/>
    <s v="Convenience stores"/>
    <x v="2"/>
    <s v="Illy"/>
    <s v="|80/01/33|"/>
    <n v="9564"/>
    <n v="1.08"/>
    <n v="1.1000000000000001"/>
  </r>
  <r>
    <x v="2"/>
    <s v="Convenience stores"/>
    <x v="2"/>
    <s v="Illy"/>
    <s v="|80/01/34|"/>
    <n v="6684"/>
    <n v="0.71"/>
    <n v="1.02"/>
  </r>
  <r>
    <x v="2"/>
    <s v="Convenience stores"/>
    <x v="2"/>
    <s v="Illy"/>
    <s v="|80/01/35|"/>
    <n v="6636"/>
    <n v="1.1299999999999999"/>
    <n v="1.1100000000000001"/>
  </r>
  <r>
    <x v="2"/>
    <s v="Convenience stores"/>
    <x v="2"/>
    <s v="Illy"/>
    <s v="|80/01/36|"/>
    <n v="5292"/>
    <n v="0.9"/>
    <n v="1.17"/>
  </r>
  <r>
    <x v="2"/>
    <s v="Convenience stores"/>
    <x v="2"/>
    <s v="Illy"/>
    <s v="|80/01/37|"/>
    <n v="6000"/>
    <n v="0.66"/>
    <n v="1.04"/>
  </r>
  <r>
    <x v="2"/>
    <s v="Convenience stores"/>
    <x v="2"/>
    <s v="Illy"/>
    <s v="|80/01/38|"/>
    <n v="9432"/>
    <n v="0.84"/>
    <n v="1.07"/>
  </r>
  <r>
    <x v="2"/>
    <s v="Convenience stores"/>
    <x v="2"/>
    <s v="Illy"/>
    <s v="|80/01/40|"/>
    <n v="5124"/>
    <n v="0.55000000000000004"/>
    <n v="1.1100000000000001"/>
  </r>
  <r>
    <x v="2"/>
    <s v="Convenience stores"/>
    <x v="2"/>
    <s v="Illy"/>
    <s v="|80/01/41|"/>
    <n v="5004"/>
    <n v="1.1399999999999999"/>
    <n v="0.95"/>
  </r>
  <r>
    <x v="2"/>
    <s v="Convenience stores"/>
    <x v="2"/>
    <s v="Illy"/>
    <s v="|80/01/42|"/>
    <n v="6576"/>
    <n v="1.1200000000000001"/>
    <n v="0.98"/>
  </r>
  <r>
    <x v="2"/>
    <s v="Convenience stores"/>
    <x v="2"/>
    <s v="Illy"/>
    <s v="|80/01/43|"/>
    <n v="5856"/>
    <n v="0.86"/>
    <n v="1.1200000000000001"/>
  </r>
  <r>
    <x v="2"/>
    <s v="Convenience stores"/>
    <x v="2"/>
    <s v="Illy"/>
    <s v="|80/01/45|"/>
    <n v="4872"/>
    <n v="0.9"/>
    <n v="1.1299999999999999"/>
  </r>
  <r>
    <x v="2"/>
    <s v="Convenience stores"/>
    <x v="7"/>
    <s v="Kraus"/>
    <s v="|126/01/01|"/>
    <n v="1164"/>
    <n v="2.62"/>
    <n v="3.42"/>
  </r>
  <r>
    <x v="2"/>
    <s v="Convenience stores"/>
    <x v="7"/>
    <s v="Kraus"/>
    <s v="|126/01/02|"/>
    <n v="732"/>
    <n v="2.19"/>
    <n v="3.49"/>
  </r>
  <r>
    <x v="2"/>
    <s v="Convenience stores"/>
    <x v="7"/>
    <s v="Kraus"/>
    <s v="|126/01/03|"/>
    <n v="708"/>
    <n v="2.97"/>
    <n v="3.88"/>
  </r>
  <r>
    <x v="2"/>
    <s v="Convenience stores"/>
    <x v="7"/>
    <s v="Kraus"/>
    <s v="|126/01/04|"/>
    <n v="792"/>
    <n v="2.78"/>
    <n v="3.3"/>
  </r>
  <r>
    <x v="2"/>
    <s v="Convenience stores"/>
    <x v="7"/>
    <s v="Kraus"/>
    <s v="|126/01/05|"/>
    <n v="1044"/>
    <n v="2.98"/>
    <n v="3.42"/>
  </r>
  <r>
    <x v="2"/>
    <s v="Convenience stores"/>
    <x v="7"/>
    <s v="Kraus"/>
    <s v="|126/01/06|"/>
    <n v="672"/>
    <n v="2.02"/>
    <n v="3.77"/>
  </r>
  <r>
    <x v="2"/>
    <s v="Convenience stores"/>
    <x v="7"/>
    <s v="Kraus"/>
    <s v="|126/01/07|"/>
    <n v="900"/>
    <n v="2.71"/>
    <n v="3.46"/>
  </r>
  <r>
    <x v="2"/>
    <s v="Convenience stores"/>
    <x v="7"/>
    <s v="Kraus"/>
    <s v="|126/01/08|"/>
    <n v="612"/>
    <n v="2.5"/>
    <n v="3.73"/>
  </r>
  <r>
    <x v="2"/>
    <s v="Convenience stores"/>
    <x v="7"/>
    <s v="Kraus"/>
    <s v="|126/01/09|"/>
    <n v="1008"/>
    <n v="2.2999999999999998"/>
    <n v="3.83"/>
  </r>
  <r>
    <x v="2"/>
    <s v="Convenience stores"/>
    <x v="7"/>
    <s v="Kraus"/>
    <s v="|126/02/01|"/>
    <n v="636"/>
    <n v="2.88"/>
    <n v="3.21"/>
  </r>
  <r>
    <x v="2"/>
    <s v="Convenience stores"/>
    <x v="7"/>
    <s v="Kraus"/>
    <s v="|126/02/02|"/>
    <n v="672"/>
    <n v="2.93"/>
    <n v="3.62"/>
  </r>
  <r>
    <x v="2"/>
    <s v="Convenience stores"/>
    <x v="7"/>
    <s v="Kraus"/>
    <s v="|126/02/03|"/>
    <n v="744"/>
    <n v="2.0299999999999998"/>
    <n v="3.24"/>
  </r>
  <r>
    <x v="2"/>
    <s v="Convenience stores"/>
    <x v="7"/>
    <s v="Kraus"/>
    <s v="|126/02/04|"/>
    <n v="924"/>
    <n v="2.04"/>
    <n v="3.28"/>
  </r>
  <r>
    <x v="2"/>
    <s v="Convenience stores"/>
    <x v="7"/>
    <s v="Kraus"/>
    <s v="|126/02/05|"/>
    <n v="924"/>
    <n v="2.4500000000000002"/>
    <n v="3.58"/>
  </r>
  <r>
    <x v="2"/>
    <s v="Convenience stores"/>
    <x v="7"/>
    <s v="Kraus"/>
    <s v="|126/02/06|"/>
    <n v="708"/>
    <n v="2.71"/>
    <n v="3.51"/>
  </r>
  <r>
    <x v="2"/>
    <s v="Convenience stores"/>
    <x v="7"/>
    <s v="Kraus"/>
    <s v="|126/02/07|"/>
    <n v="1200"/>
    <n v="2.89"/>
    <n v="3.5"/>
  </r>
  <r>
    <x v="2"/>
    <s v="Convenience stores"/>
    <x v="7"/>
    <s v="Kraus"/>
    <s v="|126/02/08|"/>
    <n v="1068"/>
    <n v="2.93"/>
    <n v="3.69"/>
  </r>
  <r>
    <x v="2"/>
    <s v="Convenience stores"/>
    <x v="7"/>
    <s v="Kraus"/>
    <s v="|126/02/09|"/>
    <n v="1152"/>
    <n v="2.5499999999999998"/>
    <n v="3.22"/>
  </r>
  <r>
    <x v="2"/>
    <s v="Convenience stores"/>
    <x v="7"/>
    <s v="Kraus"/>
    <s v="|126/02/10|"/>
    <n v="636"/>
    <n v="2.96"/>
    <n v="3.87"/>
  </r>
  <r>
    <x v="2"/>
    <s v="Convenience stores"/>
    <x v="7"/>
    <s v="Kraus"/>
    <s v="|126/02/11|"/>
    <n v="1068"/>
    <n v="2.6"/>
    <n v="3.27"/>
  </r>
  <r>
    <x v="2"/>
    <s v="Convenience stores"/>
    <x v="7"/>
    <s v="Kraus"/>
    <s v="|126/02/12|"/>
    <n v="984"/>
    <n v="2.52"/>
    <n v="3.52"/>
  </r>
  <r>
    <x v="2"/>
    <s v="Convenience stores"/>
    <x v="7"/>
    <s v="Kraus"/>
    <s v="|126/02/13|"/>
    <n v="1032"/>
    <n v="2.38"/>
    <n v="3.83"/>
  </r>
  <r>
    <x v="2"/>
    <s v="Convenience stores"/>
    <x v="7"/>
    <s v="Kraus"/>
    <s v="|126/02/14|"/>
    <n v="1056"/>
    <n v="2.56"/>
    <n v="3.61"/>
  </r>
  <r>
    <x v="2"/>
    <s v="Convenience stores"/>
    <x v="7"/>
    <s v="Kraus"/>
    <s v="|126/03/01|"/>
    <n v="972"/>
    <n v="2.44"/>
    <n v="3.64"/>
  </r>
  <r>
    <x v="2"/>
    <s v="Convenience stores"/>
    <x v="7"/>
    <s v="Kraus"/>
    <s v="|126/03/02|"/>
    <n v="936"/>
    <n v="2.52"/>
    <n v="3.86"/>
  </r>
  <r>
    <x v="2"/>
    <s v="Convenience stores"/>
    <x v="7"/>
    <s v="Kraus"/>
    <s v="|126/03/03|"/>
    <n v="768"/>
    <n v="2.77"/>
    <n v="3.73"/>
  </r>
  <r>
    <x v="2"/>
    <s v="Convenience stores"/>
    <x v="7"/>
    <s v="Kraus"/>
    <s v="|126/03/04|"/>
    <n v="612"/>
    <n v="2.82"/>
    <n v="3.6"/>
  </r>
  <r>
    <x v="2"/>
    <s v="Convenience stores"/>
    <x v="7"/>
    <s v="Kraus"/>
    <s v="|126/03/05|"/>
    <n v="792"/>
    <n v="2.88"/>
    <n v="3.27"/>
  </r>
  <r>
    <x v="2"/>
    <s v="Convenience stores"/>
    <x v="4"/>
    <s v="Malizia"/>
    <s v="|01/02/01|"/>
    <n v="564"/>
    <n v="4.45"/>
    <n v="5.31"/>
  </r>
  <r>
    <x v="2"/>
    <s v="Convenience stores"/>
    <x v="4"/>
    <s v="Malizia"/>
    <s v="|01/02/02|"/>
    <n v="660"/>
    <n v="4.22"/>
    <n v="5.25"/>
  </r>
  <r>
    <x v="2"/>
    <s v="Convenience stores"/>
    <x v="4"/>
    <s v="Malizia"/>
    <s v="|01/02/03|"/>
    <n v="444"/>
    <n v="4.0999999999999996"/>
    <n v="5.22"/>
  </r>
  <r>
    <x v="2"/>
    <s v="Convenience stores"/>
    <x v="4"/>
    <s v="Malizia"/>
    <s v="|01/02/04|"/>
    <n v="624"/>
    <n v="4.6100000000000003"/>
    <n v="5.09"/>
  </r>
  <r>
    <x v="2"/>
    <s v="Convenience stores"/>
    <x v="4"/>
    <s v="Malizia"/>
    <s v="|01/02/05|"/>
    <n v="372"/>
    <n v="4.88"/>
    <n v="5.4"/>
  </r>
  <r>
    <x v="2"/>
    <s v="Convenience stores"/>
    <x v="7"/>
    <s v="Fast&amp;Easy"/>
    <s v="|82/02/23|"/>
    <n v="684"/>
    <n v="2.39"/>
    <n v="3.72"/>
  </r>
  <r>
    <x v="2"/>
    <s v="Convenience stores"/>
    <x v="7"/>
    <s v="Fast&amp;Easy"/>
    <s v="|82/02/24|"/>
    <n v="936"/>
    <n v="2.06"/>
    <n v="3.78"/>
  </r>
  <r>
    <x v="2"/>
    <s v="Convenience stores"/>
    <x v="7"/>
    <s v="Fast&amp;Easy"/>
    <s v="|125/02/01|"/>
    <n v="1032"/>
    <n v="2"/>
    <n v="3.95"/>
  </r>
  <r>
    <x v="2"/>
    <s v="Convenience stores"/>
    <x v="7"/>
    <s v="Fast&amp;Easy"/>
    <s v="|125/02/04|"/>
    <n v="756"/>
    <n v="2.2999999999999998"/>
    <n v="3.95"/>
  </r>
  <r>
    <x v="2"/>
    <s v="Convenience stores"/>
    <x v="7"/>
    <s v="Fast&amp;Easy"/>
    <s v="|125/02/06|"/>
    <n v="984"/>
    <n v="2.12"/>
    <n v="3.64"/>
  </r>
  <r>
    <x v="2"/>
    <s v="Convenience stores"/>
    <x v="7"/>
    <s v="Fast&amp;Easy"/>
    <s v="|125/02/07|"/>
    <n v="888"/>
    <n v="2.4500000000000002"/>
    <n v="3.24"/>
  </r>
  <r>
    <x v="2"/>
    <s v="Convenience stores"/>
    <x v="7"/>
    <s v="Fast&amp;Easy"/>
    <s v="|125/02/08|"/>
    <n v="864"/>
    <n v="2.31"/>
    <n v="3.57"/>
  </r>
  <r>
    <x v="2"/>
    <s v="Convenience stores"/>
    <x v="7"/>
    <s v="Fast&amp;Easy"/>
    <s v="|125/04/01|"/>
    <n v="1152"/>
    <n v="2.0699999999999998"/>
    <n v="3.27"/>
  </r>
  <r>
    <x v="2"/>
    <s v="Convenience stores"/>
    <x v="7"/>
    <s v="Fast&amp;Easy"/>
    <s v="|125/04/16|"/>
    <n v="768"/>
    <n v="2.98"/>
    <n v="3.88"/>
  </r>
  <r>
    <x v="2"/>
    <s v="Convenience stores"/>
    <x v="7"/>
    <s v="Fast&amp;Easy"/>
    <s v="|125/04/17|"/>
    <n v="732"/>
    <n v="2.74"/>
    <n v="3.58"/>
  </r>
  <r>
    <x v="2"/>
    <s v="Convenience stores"/>
    <x v="7"/>
    <s v="Fast&amp;Easy"/>
    <s v="|125/05/02|"/>
    <n v="1080"/>
    <n v="3"/>
    <n v="3.57"/>
  </r>
  <r>
    <x v="2"/>
    <s v="Convenience stores"/>
    <x v="7"/>
    <s v="Fast&amp;Easy"/>
    <s v="|125/05/03|"/>
    <n v="648"/>
    <n v="2.66"/>
    <n v="3.47"/>
  </r>
  <r>
    <x v="2"/>
    <s v="Convenience stores"/>
    <x v="7"/>
    <s v="Fast&amp;Easy"/>
    <s v="|125/05/04|"/>
    <n v="1032"/>
    <n v="2.7"/>
    <n v="3.69"/>
  </r>
  <r>
    <x v="2"/>
    <s v="Convenience stores"/>
    <x v="7"/>
    <s v="Fast&amp;Easy"/>
    <s v="|125/05/06|"/>
    <n v="816"/>
    <n v="2.57"/>
    <n v="3.76"/>
  </r>
  <r>
    <x v="2"/>
    <s v="Convenience stores"/>
    <x v="7"/>
    <s v="Fast&amp;Easy"/>
    <s v="|125/05/07|"/>
    <n v="816"/>
    <n v="2.12"/>
    <n v="3.6"/>
  </r>
  <r>
    <x v="2"/>
    <s v="Convenience stores"/>
    <x v="7"/>
    <s v="Fast&amp;Easy"/>
    <s v="|125/05/08|"/>
    <n v="744"/>
    <n v="2.57"/>
    <n v="3.96"/>
  </r>
  <r>
    <x v="2"/>
    <s v="Convenience stores"/>
    <x v="7"/>
    <s v="Fast&amp;Easy"/>
    <s v="|125/05/09|"/>
    <n v="636"/>
    <n v="2.86"/>
    <n v="3.94"/>
  </r>
  <r>
    <x v="2"/>
    <s v="Convenience stores"/>
    <x v="7"/>
    <s v="Fast&amp;Easy"/>
    <s v="|125/05/15|"/>
    <n v="1092"/>
    <n v="2.74"/>
    <n v="3.73"/>
  </r>
  <r>
    <x v="2"/>
    <s v="Convenience stores"/>
    <x v="7"/>
    <s v="Fast&amp;Easy"/>
    <s v="|125/05/17|"/>
    <n v="948"/>
    <n v="2.41"/>
    <n v="3.75"/>
  </r>
  <r>
    <x v="2"/>
    <s v="Convenience stores"/>
    <x v="7"/>
    <s v="Fast&amp;Easy"/>
    <s v="|125/05/18|"/>
    <n v="1008"/>
    <n v="2.4"/>
    <n v="3.68"/>
  </r>
  <r>
    <x v="2"/>
    <s v="Convenience stores"/>
    <x v="7"/>
    <s v="Fast&amp;Easy"/>
    <s v="|125/05/20|"/>
    <n v="624"/>
    <n v="2.04"/>
    <n v="3.22"/>
  </r>
  <r>
    <x v="2"/>
    <s v="Convenience stores"/>
    <x v="7"/>
    <s v="Fast&amp;Easy"/>
    <s v="|125/05/22|"/>
    <n v="852"/>
    <n v="2.93"/>
    <n v="3.78"/>
  </r>
  <r>
    <x v="2"/>
    <s v="Convenience stores"/>
    <x v="7"/>
    <s v="Fast&amp;Easy"/>
    <s v="|125/05/23|"/>
    <n v="876"/>
    <n v="2.7"/>
    <n v="3.27"/>
  </r>
  <r>
    <x v="2"/>
    <s v="Convenience stores"/>
    <x v="7"/>
    <s v="Fast&amp;Easy"/>
    <s v="|125/05/28|"/>
    <n v="672"/>
    <n v="2.31"/>
    <n v="3.25"/>
  </r>
  <r>
    <x v="2"/>
    <s v="Convenience stores"/>
    <x v="7"/>
    <s v="Fast&amp;Easy"/>
    <s v="|125/05/32|"/>
    <n v="756"/>
    <n v="2.83"/>
    <n v="3.8"/>
  </r>
  <r>
    <x v="2"/>
    <s v="Convenience stores"/>
    <x v="7"/>
    <s v="Fast&amp;Easy"/>
    <s v="|125/05/37|"/>
    <n v="648"/>
    <n v="2.0499999999999998"/>
    <n v="3.75"/>
  </r>
  <r>
    <x v="2"/>
    <s v="Convenience stores"/>
    <x v="7"/>
    <s v="Fast&amp;Easy"/>
    <s v="|125/05/42|"/>
    <n v="612"/>
    <n v="2.68"/>
    <n v="3.46"/>
  </r>
  <r>
    <x v="2"/>
    <s v="Convenience stores"/>
    <x v="7"/>
    <s v="Fast&amp;Easy"/>
    <s v="|125/05/50|"/>
    <n v="936"/>
    <n v="2.37"/>
    <n v="3.36"/>
  </r>
  <r>
    <x v="2"/>
    <s v="Convenience stores"/>
    <x v="7"/>
    <s v="Fast&amp;Easy"/>
    <s v="|125/05/58|"/>
    <n v="1020"/>
    <n v="2.5099999999999998"/>
    <n v="3.73"/>
  </r>
  <r>
    <x v="2"/>
    <s v="Convenience stores"/>
    <x v="7"/>
    <s v="Fast&amp;Easy"/>
    <s v="|125/05/59|"/>
    <n v="960"/>
    <n v="2.33"/>
    <n v="3.26"/>
  </r>
  <r>
    <x v="2"/>
    <s v="Convenience stores"/>
    <x v="6"/>
    <s v="Ice Allstars"/>
    <s v="|10/01/01|"/>
    <n v="2424"/>
    <n v="2.42"/>
    <n v="3.89"/>
  </r>
  <r>
    <x v="2"/>
    <s v="Convenience stores"/>
    <x v="6"/>
    <s v="Ice Allstars"/>
    <s v="|10/01/02|"/>
    <n v="2340"/>
    <n v="2.76"/>
    <n v="3.88"/>
  </r>
  <r>
    <x v="2"/>
    <s v="Convenience stores"/>
    <x v="6"/>
    <s v="Ice Allstars"/>
    <s v="|10/01/03|"/>
    <n v="1944"/>
    <n v="2.97"/>
    <n v="3.83"/>
  </r>
  <r>
    <x v="2"/>
    <s v="Convenience stores"/>
    <x v="6"/>
    <s v="Ice Allstars"/>
    <s v="|10/01/04|"/>
    <n v="1956"/>
    <n v="2.82"/>
    <n v="3.62"/>
  </r>
  <r>
    <x v="2"/>
    <s v="Convenience stores"/>
    <x v="6"/>
    <s v="Ice Allstars"/>
    <s v="|10/01/05|"/>
    <n v="1776"/>
    <n v="2.98"/>
    <n v="3.7"/>
  </r>
  <r>
    <x v="2"/>
    <s v="Convenience stores"/>
    <x v="6"/>
    <s v="Ice Allstars"/>
    <s v="|10/01/06|"/>
    <n v="1476"/>
    <n v="2.59"/>
    <n v="3.84"/>
  </r>
  <r>
    <x v="2"/>
    <s v="Convenience stores"/>
    <x v="6"/>
    <s v="Ice Allstars"/>
    <s v="|10/01/07|"/>
    <n v="1464"/>
    <n v="2.7"/>
    <n v="3.8"/>
  </r>
  <r>
    <x v="2"/>
    <s v="Convenience stores"/>
    <x v="6"/>
    <s v="Ice Allstars"/>
    <s v="|10/01/08|"/>
    <n v="1392"/>
    <n v="2.33"/>
    <n v="3.92"/>
  </r>
  <r>
    <x v="2"/>
    <s v="Convenience stores"/>
    <x v="6"/>
    <s v="Ice Allstars"/>
    <s v="|10/01/09|"/>
    <n v="2532"/>
    <n v="2.93"/>
    <n v="3.37"/>
  </r>
  <r>
    <x v="2"/>
    <s v="Convenience stores"/>
    <x v="6"/>
    <s v="Ice Allstars"/>
    <s v="|10/01/12|"/>
    <n v="1656"/>
    <n v="2.39"/>
    <n v="3.4"/>
  </r>
  <r>
    <x v="2"/>
    <s v="Convenience stores"/>
    <x v="6"/>
    <s v="Ice Allstars"/>
    <s v="|10/01/21|"/>
    <n v="1836"/>
    <n v="2.73"/>
    <n v="3.46"/>
  </r>
  <r>
    <x v="2"/>
    <s v="Convenience stores"/>
    <x v="6"/>
    <s v="Ice Allstars"/>
    <s v="|10/01/22|"/>
    <n v="2724"/>
    <n v="2.96"/>
    <n v="3.34"/>
  </r>
  <r>
    <x v="2"/>
    <s v="Convenience stores"/>
    <x v="6"/>
    <s v="Ice Allstars"/>
    <s v="|10/01/23|"/>
    <n v="1560"/>
    <n v="2.54"/>
    <n v="3.54"/>
  </r>
  <r>
    <x v="2"/>
    <s v="Convenience stores"/>
    <x v="6"/>
    <s v="Ice Allstars"/>
    <s v="|10/01/24|"/>
    <n v="1752"/>
    <n v="2.76"/>
    <n v="4"/>
  </r>
  <r>
    <x v="2"/>
    <s v="Convenience stores"/>
    <x v="7"/>
    <s v="Doleo"/>
    <s v="|113/01/01|"/>
    <n v="960"/>
    <n v="2.67"/>
    <n v="3.84"/>
  </r>
  <r>
    <x v="2"/>
    <s v="Convenience stores"/>
    <x v="7"/>
    <s v="Doleo"/>
    <s v="|113/01/04|"/>
    <n v="636"/>
    <n v="2.0299999999999998"/>
    <n v="3.57"/>
  </r>
  <r>
    <x v="2"/>
    <s v="Convenience stores"/>
    <x v="7"/>
    <s v="Doleo"/>
    <s v="|113/01/05|"/>
    <n v="888"/>
    <n v="2.36"/>
    <n v="3.51"/>
  </r>
  <r>
    <x v="2"/>
    <s v="Convenience stores"/>
    <x v="7"/>
    <s v="Doleo"/>
    <s v="|113/01/09|"/>
    <n v="1164"/>
    <n v="2.81"/>
    <n v="3.44"/>
  </r>
  <r>
    <x v="2"/>
    <s v="Convenience stores"/>
    <x v="7"/>
    <s v="Doleo"/>
    <s v="|113/01/23|"/>
    <n v="900"/>
    <n v="2.17"/>
    <n v="3.74"/>
  </r>
  <r>
    <x v="2"/>
    <s v="Convenience stores"/>
    <x v="7"/>
    <s v="Doleo"/>
    <s v="|113/01/30|"/>
    <n v="948"/>
    <n v="2.13"/>
    <n v="3.61"/>
  </r>
  <r>
    <x v="2"/>
    <s v="Convenience stores"/>
    <x v="7"/>
    <s v="Doleo"/>
    <s v="|113/01/31|"/>
    <n v="612"/>
    <n v="2.63"/>
    <n v="3.71"/>
  </r>
  <r>
    <x v="2"/>
    <s v="Convenience stores"/>
    <x v="7"/>
    <s v="Doleo"/>
    <s v="|113/01/33|"/>
    <n v="708"/>
    <n v="2.25"/>
    <n v="4"/>
  </r>
  <r>
    <x v="2"/>
    <s v="Convenience stores"/>
    <x v="7"/>
    <s v="Doleo"/>
    <s v="|113/01/34|"/>
    <n v="1008"/>
    <n v="2.63"/>
    <n v="3.99"/>
  </r>
  <r>
    <x v="2"/>
    <s v="Convenience stores"/>
    <x v="7"/>
    <s v="Doleo"/>
    <s v="|113/01/36|"/>
    <n v="1044"/>
    <n v="2.4300000000000002"/>
    <n v="3.9"/>
  </r>
  <r>
    <x v="2"/>
    <s v="Convenience stores"/>
    <x v="7"/>
    <s v="Doleo"/>
    <s v="|113/01/59|"/>
    <n v="864"/>
    <n v="2.04"/>
    <n v="3.6"/>
  </r>
  <r>
    <x v="2"/>
    <s v="Convenience stores"/>
    <x v="7"/>
    <s v="Doleo"/>
    <s v="|113/01/76|"/>
    <n v="828"/>
    <n v="2.02"/>
    <n v="3.76"/>
  </r>
  <r>
    <x v="2"/>
    <s v="Convenience stores"/>
    <x v="6"/>
    <s v="Real ice"/>
    <s v="|112/01/01|"/>
    <n v="2412"/>
    <n v="2.5"/>
    <n v="3.72"/>
  </r>
  <r>
    <x v="2"/>
    <s v="Convenience stores"/>
    <x v="6"/>
    <s v="Real ice"/>
    <s v="|112/01/02|"/>
    <n v="2640"/>
    <n v="2.8"/>
    <n v="3.73"/>
  </r>
  <r>
    <x v="2"/>
    <s v="Convenience stores"/>
    <x v="6"/>
    <s v="Real ice"/>
    <s v="|112/01/03|"/>
    <n v="1524"/>
    <n v="2.46"/>
    <n v="3.93"/>
  </r>
  <r>
    <x v="2"/>
    <s v="Convenience stores"/>
    <x v="6"/>
    <s v="Real ice"/>
    <s v="|112/01/05|"/>
    <n v="1320"/>
    <n v="2.5"/>
    <n v="3.86"/>
  </r>
  <r>
    <x v="2"/>
    <s v="Convenience stores"/>
    <x v="6"/>
    <s v="Real ice"/>
    <s v="|112/01/20|"/>
    <n v="2484"/>
    <n v="2.37"/>
    <n v="3.9"/>
  </r>
  <r>
    <x v="2"/>
    <s v="Convenience stores"/>
    <x v="6"/>
    <s v="Real ice"/>
    <s v="|112/01/21|"/>
    <n v="1272"/>
    <n v="2.82"/>
    <n v="3.87"/>
  </r>
  <r>
    <x v="2"/>
    <s v="Convenience stores"/>
    <x v="6"/>
    <s v="Real ice"/>
    <s v="|112/01/22|"/>
    <n v="2376"/>
    <n v="2.3199999999999998"/>
    <n v="3.86"/>
  </r>
  <r>
    <x v="2"/>
    <s v="Convenience stores"/>
    <x v="4"/>
    <s v="L'Oreal"/>
    <s v="|116/01/01|"/>
    <n v="360"/>
    <n v="4.13"/>
    <n v="5.31"/>
  </r>
  <r>
    <x v="2"/>
    <s v="Convenience stores"/>
    <x v="4"/>
    <s v="L'Oreal"/>
    <s v="|116/01/02|"/>
    <n v="552"/>
    <n v="4.6399999999999997"/>
    <n v="5.34"/>
  </r>
  <r>
    <x v="2"/>
    <s v="Convenience stores"/>
    <x v="4"/>
    <s v="L'Oreal"/>
    <s v="|116/01/03|"/>
    <n v="516"/>
    <n v="4.03"/>
    <n v="5.22"/>
  </r>
  <r>
    <x v="2"/>
    <s v="Convenience stores"/>
    <x v="4"/>
    <s v="L'Oreal"/>
    <s v="|116/01/04|"/>
    <n v="348"/>
    <n v="4.74"/>
    <n v="5.07"/>
  </r>
  <r>
    <x v="2"/>
    <s v="Convenience stores"/>
    <x v="7"/>
    <s v="Green stars"/>
    <s v="|62/10/01|"/>
    <n v="1092"/>
    <n v="2.5"/>
    <n v="3.26"/>
  </r>
  <r>
    <x v="2"/>
    <s v="Convenience stores"/>
    <x v="7"/>
    <s v="Green stars"/>
    <s v="|62/11/15|"/>
    <n v="636"/>
    <n v="2.62"/>
    <n v="3.77"/>
  </r>
  <r>
    <x v="2"/>
    <s v="Convenience stores"/>
    <x v="7"/>
    <s v="Green stars"/>
    <s v="|82/01/03|"/>
    <n v="732"/>
    <n v="2.11"/>
    <n v="3.62"/>
  </r>
  <r>
    <x v="2"/>
    <s v="Convenience stores"/>
    <x v="7"/>
    <s v="Green stars"/>
    <s v="|82/01/04|"/>
    <n v="936"/>
    <n v="2.33"/>
    <n v="3.99"/>
  </r>
  <r>
    <x v="2"/>
    <s v="Convenience stores"/>
    <x v="7"/>
    <s v="Green stars"/>
    <s v="|82/01/05|"/>
    <n v="1200"/>
    <n v="2.4500000000000002"/>
    <n v="3.97"/>
  </r>
  <r>
    <x v="2"/>
    <s v="Convenience stores"/>
    <x v="7"/>
    <s v="Green stars"/>
    <s v="|82/01/06|"/>
    <n v="732"/>
    <n v="2.72"/>
    <n v="3.76"/>
  </r>
  <r>
    <x v="2"/>
    <s v="Convenience stores"/>
    <x v="7"/>
    <s v="Green stars"/>
    <s v="|82/01/07|"/>
    <n v="912"/>
    <n v="2.73"/>
    <n v="3.51"/>
  </r>
  <r>
    <x v="2"/>
    <s v="Convenience stores"/>
    <x v="7"/>
    <s v="Green stars"/>
    <s v="|82/01/08|"/>
    <n v="624"/>
    <n v="2.93"/>
    <n v="3.59"/>
  </r>
  <r>
    <x v="2"/>
    <s v="Convenience stores"/>
    <x v="7"/>
    <s v="Green stars"/>
    <s v="|82/01/09|"/>
    <n v="1032"/>
    <n v="2.74"/>
    <n v="3.67"/>
  </r>
  <r>
    <x v="2"/>
    <s v="Convenience stores"/>
    <x v="7"/>
    <s v="Green stars"/>
    <s v="|82/01/11|"/>
    <n v="924"/>
    <n v="2.34"/>
    <n v="3.82"/>
  </r>
  <r>
    <x v="2"/>
    <s v="Convenience stores"/>
    <x v="7"/>
    <s v="Green stars"/>
    <s v="|82/01/12|"/>
    <n v="1032"/>
    <n v="2.02"/>
    <n v="3.96"/>
  </r>
  <r>
    <x v="2"/>
    <s v="Convenience stores"/>
    <x v="7"/>
    <s v="Green stars"/>
    <s v="|82/01/13|"/>
    <n v="1200"/>
    <n v="2.98"/>
    <n v="3.69"/>
  </r>
  <r>
    <x v="2"/>
    <s v="Convenience stores"/>
    <x v="7"/>
    <s v="Green stars"/>
    <s v="|82/01/16|"/>
    <n v="1020"/>
    <n v="2.76"/>
    <n v="3.98"/>
  </r>
  <r>
    <x v="2"/>
    <s v="Convenience stores"/>
    <x v="7"/>
    <s v="Green stars"/>
    <s v="|82/01/17|"/>
    <n v="1032"/>
    <n v="2.15"/>
    <n v="4"/>
  </r>
  <r>
    <x v="2"/>
    <s v="Convenience stores"/>
    <x v="7"/>
    <s v="Green stars"/>
    <s v="|82/01/18|"/>
    <n v="816"/>
    <n v="2.33"/>
    <n v="3.9"/>
  </r>
  <r>
    <x v="2"/>
    <s v="Convenience stores"/>
    <x v="7"/>
    <s v="Green stars"/>
    <s v="|82/01/19|"/>
    <n v="1152"/>
    <n v="2.37"/>
    <n v="3.59"/>
  </r>
  <r>
    <x v="2"/>
    <s v="Convenience stores"/>
    <x v="7"/>
    <s v="Green stars"/>
    <s v="|82/01/20|"/>
    <n v="756"/>
    <n v="2.58"/>
    <n v="3.93"/>
  </r>
  <r>
    <x v="2"/>
    <s v="Convenience stores"/>
    <x v="7"/>
    <s v="Green stars"/>
    <s v="|82/01/21|"/>
    <n v="876"/>
    <n v="2.2799999999999998"/>
    <n v="3.54"/>
  </r>
  <r>
    <x v="2"/>
    <s v="Convenience stores"/>
    <x v="7"/>
    <s v="Green stars"/>
    <s v="|82/01/22|"/>
    <n v="780"/>
    <n v="2.21"/>
    <n v="3.56"/>
  </r>
  <r>
    <x v="2"/>
    <s v="Convenience stores"/>
    <x v="7"/>
    <s v="Green stars"/>
    <s v="|82/01/23|"/>
    <n v="1128"/>
    <n v="2.75"/>
    <n v="3.81"/>
  </r>
  <r>
    <x v="2"/>
    <s v="Convenience stores"/>
    <x v="7"/>
    <s v="Green stars"/>
    <s v="|82/01/24|"/>
    <n v="1080"/>
    <n v="2.37"/>
    <n v="3.36"/>
  </r>
  <r>
    <x v="2"/>
    <s v="Convenience stores"/>
    <x v="7"/>
    <s v="Green stars"/>
    <s v="|82/01/25|"/>
    <n v="780"/>
    <n v="2.4900000000000002"/>
    <n v="3.75"/>
  </r>
  <r>
    <x v="2"/>
    <s v="Convenience stores"/>
    <x v="7"/>
    <s v="Green stars"/>
    <s v="|82/01/26|"/>
    <n v="1056"/>
    <n v="2.93"/>
    <n v="3.79"/>
  </r>
  <r>
    <x v="2"/>
    <s v="Convenience stores"/>
    <x v="7"/>
    <s v="Green stars"/>
    <s v="|82/01/27|"/>
    <n v="636"/>
    <n v="2.62"/>
    <n v="3.59"/>
  </r>
  <r>
    <x v="2"/>
    <s v="Convenience stores"/>
    <x v="7"/>
    <s v="Green stars"/>
    <s v="|82/01/28|"/>
    <n v="756"/>
    <n v="2.89"/>
    <n v="3.27"/>
  </r>
  <r>
    <x v="2"/>
    <s v="Convenience stores"/>
    <x v="7"/>
    <s v="Green stars"/>
    <s v="|82/01/29|"/>
    <n v="1200"/>
    <n v="2.66"/>
    <n v="3.77"/>
  </r>
  <r>
    <x v="2"/>
    <s v="Convenience stores"/>
    <x v="7"/>
    <s v="Green stars"/>
    <s v="|82/01/30|"/>
    <n v="888"/>
    <n v="2.63"/>
    <n v="4"/>
  </r>
  <r>
    <x v="2"/>
    <s v="Convenience stores"/>
    <x v="7"/>
    <s v="Green stars"/>
    <s v="|82/01/31|"/>
    <n v="768"/>
    <n v="2.2000000000000002"/>
    <n v="3.31"/>
  </r>
  <r>
    <x v="2"/>
    <s v="Convenience stores"/>
    <x v="7"/>
    <s v="Green stars"/>
    <s v="|82/01/32|"/>
    <n v="1044"/>
    <n v="2.63"/>
    <n v="3.87"/>
  </r>
  <r>
    <x v="2"/>
    <s v="Convenience stores"/>
    <x v="7"/>
    <s v="Green stars"/>
    <s v="|82/01/33|"/>
    <n v="900"/>
    <n v="2.19"/>
    <n v="3.47"/>
  </r>
  <r>
    <x v="2"/>
    <s v="Convenience stores"/>
    <x v="7"/>
    <s v="Green stars"/>
    <s v="|82/01/34|"/>
    <n v="756"/>
    <n v="2.3199999999999998"/>
    <n v="3.45"/>
  </r>
  <r>
    <x v="2"/>
    <s v="Convenience stores"/>
    <x v="7"/>
    <s v="Green stars"/>
    <s v="|82/01/35|"/>
    <n v="1044"/>
    <n v="2.68"/>
    <n v="3.71"/>
  </r>
  <r>
    <x v="2"/>
    <s v="Convenience stores"/>
    <x v="7"/>
    <s v="Green stars"/>
    <s v="|82/01/36|"/>
    <n v="1200"/>
    <n v="2.85"/>
    <n v="3.48"/>
  </r>
  <r>
    <x v="2"/>
    <s v="Convenience stores"/>
    <x v="7"/>
    <s v="Green stars"/>
    <s v="|82/01/37|"/>
    <n v="1092"/>
    <n v="2.0499999999999998"/>
    <n v="3.59"/>
  </r>
  <r>
    <x v="2"/>
    <s v="Convenience stores"/>
    <x v="7"/>
    <s v="Green stars"/>
    <s v="|82/01/38|"/>
    <n v="660"/>
    <n v="2.79"/>
    <n v="3.77"/>
  </r>
  <r>
    <x v="2"/>
    <s v="Convenience stores"/>
    <x v="7"/>
    <s v="Green stars"/>
    <s v="|82/01/39|"/>
    <n v="1140"/>
    <n v="2.0499999999999998"/>
    <n v="3.73"/>
  </r>
  <r>
    <x v="2"/>
    <s v="Convenience stores"/>
    <x v="7"/>
    <s v="Green stars"/>
    <s v="|82/01/40|"/>
    <n v="900"/>
    <n v="2.74"/>
    <n v="3.66"/>
  </r>
  <r>
    <x v="2"/>
    <s v="Convenience stores"/>
    <x v="7"/>
    <s v="Green stars"/>
    <s v="|82/01/41|"/>
    <n v="780"/>
    <n v="2.04"/>
    <n v="3.51"/>
  </r>
  <r>
    <x v="2"/>
    <s v="Convenience stores"/>
    <x v="7"/>
    <s v="Green stars"/>
    <s v="|82/01/42|"/>
    <n v="696"/>
    <n v="2.63"/>
    <n v="3.82"/>
  </r>
  <r>
    <x v="2"/>
    <s v="Convenience stores"/>
    <x v="7"/>
    <s v="Green stars"/>
    <s v="|82/01/43|"/>
    <n v="720"/>
    <n v="2.66"/>
    <n v="3.41"/>
  </r>
  <r>
    <x v="2"/>
    <s v="Convenience stores"/>
    <x v="7"/>
    <s v="Green stars"/>
    <s v="|82/01/44|"/>
    <n v="876"/>
    <n v="3"/>
    <n v="3.99"/>
  </r>
  <r>
    <x v="2"/>
    <s v="Convenience stores"/>
    <x v="7"/>
    <s v="Green stars"/>
    <s v="|82/01/45|"/>
    <n v="1092"/>
    <n v="2.29"/>
    <n v="3.25"/>
  </r>
  <r>
    <x v="2"/>
    <s v="Convenience stores"/>
    <x v="7"/>
    <s v="Green stars"/>
    <s v="|82/01/46|"/>
    <n v="732"/>
    <n v="2.9"/>
    <n v="3.7"/>
  </r>
  <r>
    <x v="2"/>
    <s v="Convenience stores"/>
    <x v="7"/>
    <s v="Green stars"/>
    <s v="|82/01/47|"/>
    <n v="1068"/>
    <n v="2.5299999999999998"/>
    <n v="3.21"/>
  </r>
  <r>
    <x v="2"/>
    <s v="Convenience stores"/>
    <x v="7"/>
    <s v="Green stars"/>
    <s v="|82/01/48|"/>
    <n v="660"/>
    <n v="2.72"/>
    <n v="3.6"/>
  </r>
  <r>
    <x v="2"/>
    <s v="Convenience stores"/>
    <x v="7"/>
    <s v="Green stars"/>
    <s v="|82/01/49|"/>
    <n v="612"/>
    <n v="2.56"/>
    <n v="3.53"/>
  </r>
  <r>
    <x v="2"/>
    <s v="Convenience stores"/>
    <x v="7"/>
    <s v="Green stars"/>
    <s v="|82/01/50|"/>
    <n v="948"/>
    <n v="2.87"/>
    <n v="3.67"/>
  </r>
  <r>
    <x v="2"/>
    <s v="Convenience stores"/>
    <x v="7"/>
    <s v="Green stars"/>
    <s v="|82/01/51|"/>
    <n v="1200"/>
    <n v="2.54"/>
    <n v="3.35"/>
  </r>
  <r>
    <x v="2"/>
    <s v="Convenience stores"/>
    <x v="7"/>
    <s v="Green stars"/>
    <s v="|82/01/52|"/>
    <n v="900"/>
    <n v="2.62"/>
    <n v="3.38"/>
  </r>
  <r>
    <x v="2"/>
    <s v="Convenience stores"/>
    <x v="7"/>
    <s v="Green stars"/>
    <s v="|82/01/53|"/>
    <n v="972"/>
    <n v="2.76"/>
    <n v="3.93"/>
  </r>
  <r>
    <x v="2"/>
    <s v="Convenience stores"/>
    <x v="7"/>
    <s v="Green stars"/>
    <s v="|82/01/54|"/>
    <n v="888"/>
    <n v="2.16"/>
    <n v="3.74"/>
  </r>
  <r>
    <x v="2"/>
    <s v="Convenience stores"/>
    <x v="7"/>
    <s v="Green stars"/>
    <s v="|82/01/55|"/>
    <n v="600"/>
    <n v="2.66"/>
    <n v="3.88"/>
  </r>
  <r>
    <x v="2"/>
    <s v="Convenience stores"/>
    <x v="7"/>
    <s v="Green stars"/>
    <s v="|82/01/57|"/>
    <n v="828"/>
    <n v="2.95"/>
    <n v="3.85"/>
  </r>
  <r>
    <x v="2"/>
    <s v="Convenience stores"/>
    <x v="7"/>
    <s v="Green stars"/>
    <s v="|82/02/01|"/>
    <n v="816"/>
    <n v="2.39"/>
    <n v="3.8"/>
  </r>
  <r>
    <x v="2"/>
    <s v="Convenience stores"/>
    <x v="7"/>
    <s v="Green stars"/>
    <s v="|82/02/02|"/>
    <n v="996"/>
    <n v="2.04"/>
    <n v="3.91"/>
  </r>
  <r>
    <x v="2"/>
    <s v="Convenience stores"/>
    <x v="7"/>
    <s v="Green stars"/>
    <s v="|82/02/03|"/>
    <n v="1080"/>
    <n v="2.91"/>
    <n v="3.54"/>
  </r>
  <r>
    <x v="2"/>
    <s v="Convenience stores"/>
    <x v="7"/>
    <s v="Green stars"/>
    <s v="|82/02/05|"/>
    <n v="960"/>
    <n v="2.16"/>
    <n v="3.65"/>
  </r>
  <r>
    <x v="2"/>
    <s v="Convenience stores"/>
    <x v="7"/>
    <s v="Green stars"/>
    <s v="|82/02/06|"/>
    <n v="1128"/>
    <n v="2.4700000000000002"/>
    <n v="3.31"/>
  </r>
  <r>
    <x v="2"/>
    <s v="Convenience stores"/>
    <x v="7"/>
    <s v="Green stars"/>
    <s v="|82/03/01|"/>
    <n v="636"/>
    <n v="2.0499999999999998"/>
    <n v="3.82"/>
  </r>
  <r>
    <x v="2"/>
    <s v="Convenience stores"/>
    <x v="3"/>
    <s v="Turgsbro"/>
    <s v="|26/99/99|"/>
    <n v="48"/>
    <n v="1.05"/>
    <n v="1.3"/>
  </r>
  <r>
    <x v="2"/>
    <s v="Convenience stores"/>
    <x v="7"/>
    <s v="Bonduelle"/>
    <s v="|26/04/18|"/>
    <n v="672"/>
    <n v="2.65"/>
    <n v="3.7"/>
  </r>
  <r>
    <x v="2"/>
    <s v="Convenience stores"/>
    <x v="7"/>
    <s v="Bonduelle"/>
    <s v="|62/01/01|"/>
    <n v="948"/>
    <n v="2.0299999999999998"/>
    <n v="3.77"/>
  </r>
  <r>
    <x v="2"/>
    <s v="Convenience stores"/>
    <x v="7"/>
    <s v="Bonduelle"/>
    <s v="|62/01/02|"/>
    <n v="828"/>
    <n v="2.81"/>
    <n v="3.94"/>
  </r>
  <r>
    <x v="2"/>
    <s v="Convenience stores"/>
    <x v="7"/>
    <s v="Bonduelle"/>
    <s v="|62/01/03|"/>
    <n v="852"/>
    <n v="2.92"/>
    <n v="3.91"/>
  </r>
  <r>
    <x v="2"/>
    <s v="Convenience stores"/>
    <x v="7"/>
    <s v="Bonduelle"/>
    <s v="|62/01/04|"/>
    <n v="1008"/>
    <n v="2.54"/>
    <n v="3.24"/>
  </r>
  <r>
    <x v="2"/>
    <s v="Convenience stores"/>
    <x v="7"/>
    <s v="Bonduelle"/>
    <s v="|62/01/05|"/>
    <n v="744"/>
    <n v="2.72"/>
    <n v="3.77"/>
  </r>
  <r>
    <x v="2"/>
    <s v="Convenience stores"/>
    <x v="7"/>
    <s v="Bonduelle"/>
    <s v="|62/01/06|"/>
    <n v="876"/>
    <n v="2.84"/>
    <n v="3.82"/>
  </r>
  <r>
    <x v="2"/>
    <s v="Convenience stores"/>
    <x v="7"/>
    <s v="Bonduelle"/>
    <s v="|62/01/07|"/>
    <n v="636"/>
    <n v="2.09"/>
    <n v="3.69"/>
  </r>
  <r>
    <x v="2"/>
    <s v="Convenience stores"/>
    <x v="7"/>
    <s v="Bonduelle"/>
    <s v="|62/01/08|"/>
    <n v="876"/>
    <n v="2.34"/>
    <n v="3.47"/>
  </r>
  <r>
    <x v="2"/>
    <s v="Convenience stores"/>
    <x v="7"/>
    <s v="Bonduelle"/>
    <s v="|62/01/09|"/>
    <n v="1128"/>
    <n v="2.91"/>
    <n v="3.94"/>
  </r>
  <r>
    <x v="2"/>
    <s v="Convenience stores"/>
    <x v="7"/>
    <s v="Bonduelle"/>
    <s v="|62/01/10|"/>
    <n v="1032"/>
    <n v="2"/>
    <n v="3.59"/>
  </r>
  <r>
    <x v="2"/>
    <s v="Convenience stores"/>
    <x v="7"/>
    <s v="Bonduelle"/>
    <s v="|62/01/11|"/>
    <n v="1080"/>
    <n v="2.89"/>
    <n v="3.23"/>
  </r>
  <r>
    <x v="2"/>
    <s v="Convenience stores"/>
    <x v="7"/>
    <s v="Bonduelle"/>
    <s v="|62/01/12|"/>
    <n v="648"/>
    <n v="2.2599999999999998"/>
    <n v="3.36"/>
  </r>
  <r>
    <x v="2"/>
    <s v="Convenience stores"/>
    <x v="7"/>
    <s v="Bonduelle"/>
    <s v="|62/01/13|"/>
    <n v="1056"/>
    <n v="2.09"/>
    <n v="3.51"/>
  </r>
  <r>
    <x v="2"/>
    <s v="Convenience stores"/>
    <x v="7"/>
    <s v="Bonduelle"/>
    <s v="|62/01/14|"/>
    <n v="1056"/>
    <n v="2.0699999999999998"/>
    <n v="3.91"/>
  </r>
  <r>
    <x v="2"/>
    <s v="Convenience stores"/>
    <x v="7"/>
    <s v="Bonduelle"/>
    <s v="|62/01/15|"/>
    <n v="1164"/>
    <n v="2.4900000000000002"/>
    <n v="3.79"/>
  </r>
  <r>
    <x v="2"/>
    <s v="Convenience stores"/>
    <x v="7"/>
    <s v="Bonduelle"/>
    <s v="|62/01/16|"/>
    <n v="888"/>
    <n v="2.2000000000000002"/>
    <n v="3.33"/>
  </r>
  <r>
    <x v="2"/>
    <s v="Convenience stores"/>
    <x v="7"/>
    <s v="Bonduelle"/>
    <s v="|62/01/17|"/>
    <n v="1128"/>
    <n v="2.4"/>
    <n v="3.47"/>
  </r>
  <r>
    <x v="2"/>
    <s v="Convenience stores"/>
    <x v="7"/>
    <s v="Bonduelle"/>
    <s v="|62/01/18|"/>
    <n v="1080"/>
    <n v="2.84"/>
    <n v="3.28"/>
  </r>
  <r>
    <x v="2"/>
    <s v="Convenience stores"/>
    <x v="7"/>
    <s v="Bonduelle"/>
    <s v="|62/01/19|"/>
    <n v="600"/>
    <n v="2.85"/>
    <n v="3.23"/>
  </r>
  <r>
    <x v="2"/>
    <s v="Convenience stores"/>
    <x v="7"/>
    <s v="Bonduelle"/>
    <s v="|62/01/20|"/>
    <n v="888"/>
    <n v="2.39"/>
    <n v="3.91"/>
  </r>
  <r>
    <x v="2"/>
    <s v="Convenience stores"/>
    <x v="7"/>
    <s v="Bonduelle"/>
    <s v="|62/01/21|"/>
    <n v="948"/>
    <n v="2.99"/>
    <n v="3.92"/>
  </r>
  <r>
    <x v="2"/>
    <s v="Convenience stores"/>
    <x v="7"/>
    <s v="Bonduelle"/>
    <s v="|62/01/22|"/>
    <n v="996"/>
    <n v="2.76"/>
    <n v="3.98"/>
  </r>
  <r>
    <x v="2"/>
    <s v="Convenience stores"/>
    <x v="7"/>
    <s v="Bonduelle"/>
    <s v="|62/01/23|"/>
    <n v="612"/>
    <n v="2.65"/>
    <n v="3.76"/>
  </r>
  <r>
    <x v="2"/>
    <s v="Convenience stores"/>
    <x v="7"/>
    <s v="Bonduelle"/>
    <s v="|62/01/24|"/>
    <n v="612"/>
    <n v="2.19"/>
    <n v="3.96"/>
  </r>
  <r>
    <x v="2"/>
    <s v="Convenience stores"/>
    <x v="7"/>
    <s v="Bonduelle"/>
    <s v="|62/01/25|"/>
    <n v="1200"/>
    <n v="2.6"/>
    <n v="3.53"/>
  </r>
  <r>
    <x v="2"/>
    <s v="Convenience stores"/>
    <x v="7"/>
    <s v="Bonduelle"/>
    <s v="|62/01/26|"/>
    <n v="1092"/>
    <n v="2.2999999999999998"/>
    <n v="3.37"/>
  </r>
  <r>
    <x v="2"/>
    <s v="Convenience stores"/>
    <x v="7"/>
    <s v="Bonduelle"/>
    <s v="|62/01/27|"/>
    <n v="1032"/>
    <n v="2.02"/>
    <n v="3.88"/>
  </r>
  <r>
    <x v="2"/>
    <s v="Convenience stores"/>
    <x v="7"/>
    <s v="Bonduelle"/>
    <s v="|62/01/28|"/>
    <n v="864"/>
    <n v="2.2999999999999998"/>
    <n v="3.6"/>
  </r>
  <r>
    <x v="2"/>
    <s v="Convenience stores"/>
    <x v="7"/>
    <s v="Bonduelle"/>
    <s v="|62/01/29|"/>
    <n v="600"/>
    <n v="2.34"/>
    <n v="3.41"/>
  </r>
  <r>
    <x v="2"/>
    <s v="Convenience stores"/>
    <x v="7"/>
    <s v="Bonduelle"/>
    <s v="|62/01/30|"/>
    <n v="948"/>
    <n v="2.4300000000000002"/>
    <n v="3.91"/>
  </r>
  <r>
    <x v="2"/>
    <s v="Convenience stores"/>
    <x v="7"/>
    <s v="Bonduelle"/>
    <s v="|62/01/31|"/>
    <n v="1056"/>
    <n v="2.6"/>
    <n v="3.79"/>
  </r>
  <r>
    <x v="2"/>
    <s v="Convenience stores"/>
    <x v="7"/>
    <s v="Bonduelle"/>
    <s v="|62/01/32|"/>
    <n v="1128"/>
    <n v="2.19"/>
    <n v="3.63"/>
  </r>
  <r>
    <x v="2"/>
    <s v="Convenience stores"/>
    <x v="7"/>
    <s v="Bonduelle"/>
    <s v="|62/01/33|"/>
    <n v="936"/>
    <n v="2.39"/>
    <n v="3.51"/>
  </r>
  <r>
    <x v="2"/>
    <s v="Convenience stores"/>
    <x v="7"/>
    <s v="Bonduelle"/>
    <s v="|62/01/34|"/>
    <n v="1044"/>
    <n v="2.4500000000000002"/>
    <n v="3.48"/>
  </r>
  <r>
    <x v="2"/>
    <s v="Convenience stores"/>
    <x v="7"/>
    <s v="Bonduelle"/>
    <s v="|62/01/35|"/>
    <n v="984"/>
    <n v="2.41"/>
    <n v="3.62"/>
  </r>
  <r>
    <x v="2"/>
    <s v="Convenience stores"/>
    <x v="7"/>
    <s v="Bonduelle"/>
    <s v="|62/01/36|"/>
    <n v="912"/>
    <n v="2.29"/>
    <n v="3.72"/>
  </r>
  <r>
    <x v="2"/>
    <s v="Convenience stores"/>
    <x v="7"/>
    <s v="Bonduelle"/>
    <s v="|62/01/37|"/>
    <n v="864"/>
    <n v="2.76"/>
    <n v="3.2"/>
  </r>
  <r>
    <x v="2"/>
    <s v="Convenience stores"/>
    <x v="7"/>
    <s v="Bonduelle"/>
    <s v="|62/01/38|"/>
    <n v="672"/>
    <n v="2.37"/>
    <n v="3.72"/>
  </r>
  <r>
    <x v="2"/>
    <s v="Convenience stores"/>
    <x v="7"/>
    <s v="Bonduelle"/>
    <s v="|62/01/39|"/>
    <n v="960"/>
    <n v="2.36"/>
    <n v="3.48"/>
  </r>
  <r>
    <x v="2"/>
    <s v="Convenience stores"/>
    <x v="7"/>
    <s v="Bonduelle"/>
    <s v="|62/01/40|"/>
    <n v="1140"/>
    <n v="2.08"/>
    <n v="3.93"/>
  </r>
  <r>
    <x v="2"/>
    <s v="Convenience stores"/>
    <x v="7"/>
    <s v="Bonduelle"/>
    <s v="|62/01/41|"/>
    <n v="768"/>
    <n v="2.04"/>
    <n v="3.72"/>
  </r>
  <r>
    <x v="2"/>
    <s v="Convenience stores"/>
    <x v="7"/>
    <s v="Bonduelle"/>
    <s v="|62/01/42|"/>
    <n v="912"/>
    <n v="2.91"/>
    <n v="3.27"/>
  </r>
  <r>
    <x v="2"/>
    <s v="Convenience stores"/>
    <x v="7"/>
    <s v="Bonduelle"/>
    <s v="|62/01/43|"/>
    <n v="924"/>
    <n v="2.79"/>
    <n v="3.58"/>
  </r>
  <r>
    <x v="2"/>
    <s v="Convenience stores"/>
    <x v="7"/>
    <s v="Bonduelle"/>
    <s v="|62/01/44|"/>
    <n v="876"/>
    <n v="2.86"/>
    <n v="3.85"/>
  </r>
  <r>
    <x v="2"/>
    <s v="Convenience stores"/>
    <x v="7"/>
    <s v="Bonduelle"/>
    <s v="|62/01/45|"/>
    <n v="984"/>
    <n v="2.41"/>
    <n v="3.47"/>
  </r>
  <r>
    <x v="2"/>
    <s v="Convenience stores"/>
    <x v="7"/>
    <s v="Bonduelle"/>
    <s v="|62/01/46|"/>
    <n v="696"/>
    <n v="2.2000000000000002"/>
    <n v="3.97"/>
  </r>
  <r>
    <x v="2"/>
    <s v="Convenience stores"/>
    <x v="7"/>
    <s v="Bonduelle"/>
    <s v="|62/01/99|"/>
    <n v="696"/>
    <n v="2.6"/>
    <n v="3.44"/>
  </r>
  <r>
    <x v="2"/>
    <s v="Convenience stores"/>
    <x v="7"/>
    <s v="Bonduelle"/>
    <s v="|62/02/01|"/>
    <n v="684"/>
    <n v="2.39"/>
    <n v="3.83"/>
  </r>
  <r>
    <x v="2"/>
    <s v="Convenience stores"/>
    <x v="7"/>
    <s v="Bonduelle"/>
    <s v="|62/02/02|"/>
    <n v="936"/>
    <n v="2.12"/>
    <n v="3.48"/>
  </r>
  <r>
    <x v="2"/>
    <s v="Convenience stores"/>
    <x v="7"/>
    <s v="Bonduelle"/>
    <s v="|62/02/03|"/>
    <n v="780"/>
    <n v="2.17"/>
    <n v="3.95"/>
  </r>
  <r>
    <x v="2"/>
    <s v="Convenience stores"/>
    <x v="7"/>
    <s v="Bonduelle"/>
    <s v="|62/02/04|"/>
    <n v="732"/>
    <n v="2.92"/>
    <n v="3.97"/>
  </r>
  <r>
    <x v="2"/>
    <s v="Convenience stores"/>
    <x v="7"/>
    <s v="Bonduelle"/>
    <s v="|62/02/05|"/>
    <n v="672"/>
    <n v="2.0699999999999998"/>
    <n v="3.29"/>
  </r>
  <r>
    <x v="2"/>
    <s v="Convenience stores"/>
    <x v="7"/>
    <s v="Bonduelle"/>
    <s v="|62/02/06|"/>
    <n v="672"/>
    <n v="2.09"/>
    <n v="3.83"/>
  </r>
  <r>
    <x v="2"/>
    <s v="Convenience stores"/>
    <x v="7"/>
    <s v="Bonduelle"/>
    <s v="|62/02/07|"/>
    <n v="972"/>
    <n v="2.83"/>
    <n v="3.57"/>
  </r>
  <r>
    <x v="2"/>
    <s v="Convenience stores"/>
    <x v="7"/>
    <s v="Bonduelle"/>
    <s v="|62/02/08|"/>
    <n v="1068"/>
    <n v="2.09"/>
    <n v="3.92"/>
  </r>
  <r>
    <x v="2"/>
    <s v="Convenience stores"/>
    <x v="7"/>
    <s v="Bonduelle"/>
    <s v="|62/02/09|"/>
    <n v="612"/>
    <n v="2.02"/>
    <n v="3.37"/>
  </r>
  <r>
    <x v="2"/>
    <s v="Convenience stores"/>
    <x v="7"/>
    <s v="Bonduelle"/>
    <s v="|62/02/10|"/>
    <n v="732"/>
    <n v="2.15"/>
    <n v="3.72"/>
  </r>
  <r>
    <x v="2"/>
    <s v="Convenience stores"/>
    <x v="7"/>
    <s v="Bonduelle"/>
    <s v="|62/02/11|"/>
    <n v="1176"/>
    <n v="2.37"/>
    <n v="3.86"/>
  </r>
  <r>
    <x v="2"/>
    <s v="Convenience stores"/>
    <x v="7"/>
    <s v="Bonduelle"/>
    <s v="|62/02/13|"/>
    <n v="1164"/>
    <n v="2.04"/>
    <n v="3.52"/>
  </r>
  <r>
    <x v="2"/>
    <s v="Convenience stores"/>
    <x v="7"/>
    <s v="Bonduelle"/>
    <s v="|62/02/14|"/>
    <n v="996"/>
    <n v="2.54"/>
    <n v="3.92"/>
  </r>
  <r>
    <x v="2"/>
    <s v="Convenience stores"/>
    <x v="7"/>
    <s v="Bonduelle"/>
    <s v="|62/02/15|"/>
    <n v="1188"/>
    <n v="2.33"/>
    <n v="3.64"/>
  </r>
  <r>
    <x v="2"/>
    <s v="Convenience stores"/>
    <x v="7"/>
    <s v="Bonduelle"/>
    <s v="|62/03/01|"/>
    <n v="876"/>
    <n v="2.75"/>
    <n v="3.56"/>
  </r>
  <r>
    <x v="2"/>
    <s v="Convenience stores"/>
    <x v="7"/>
    <s v="Bonduelle"/>
    <s v="|62/03/02|"/>
    <n v="720"/>
    <n v="2.38"/>
    <n v="3.41"/>
  </r>
  <r>
    <x v="2"/>
    <s v="Convenience stores"/>
    <x v="7"/>
    <s v="Bonduelle"/>
    <s v="|62/03/03|"/>
    <n v="744"/>
    <n v="3"/>
    <n v="3.29"/>
  </r>
  <r>
    <x v="2"/>
    <s v="Convenience stores"/>
    <x v="7"/>
    <s v="Bonduelle"/>
    <s v="|62/03/04|"/>
    <n v="876"/>
    <n v="2.98"/>
    <n v="4"/>
  </r>
  <r>
    <x v="2"/>
    <s v="Convenience stores"/>
    <x v="7"/>
    <s v="Bonduelle"/>
    <s v="|62/03/05|"/>
    <n v="1008"/>
    <n v="2.75"/>
    <n v="3.95"/>
  </r>
  <r>
    <x v="2"/>
    <s v="Convenience stores"/>
    <x v="7"/>
    <s v="Bonduelle"/>
    <s v="|62/03/06|"/>
    <n v="900"/>
    <n v="2.68"/>
    <n v="3.59"/>
  </r>
  <r>
    <x v="2"/>
    <s v="Convenience stores"/>
    <x v="7"/>
    <s v="Bonduelle"/>
    <s v="|62/03/07|"/>
    <n v="1020"/>
    <n v="2.44"/>
    <n v="3.77"/>
  </r>
  <r>
    <x v="2"/>
    <s v="Convenience stores"/>
    <x v="7"/>
    <s v="Bonduelle"/>
    <s v="|62/03/08|"/>
    <n v="684"/>
    <n v="2.23"/>
    <n v="3.36"/>
  </r>
  <r>
    <x v="2"/>
    <s v="Convenience stores"/>
    <x v="7"/>
    <s v="Bonduelle"/>
    <s v="|62/03/09|"/>
    <n v="720"/>
    <n v="2.77"/>
    <n v="3.72"/>
  </r>
  <r>
    <x v="2"/>
    <s v="Convenience stores"/>
    <x v="7"/>
    <s v="Bonduelle"/>
    <s v="|62/03/10|"/>
    <n v="1104"/>
    <n v="2"/>
    <n v="3.35"/>
  </r>
  <r>
    <x v="2"/>
    <s v="Convenience stores"/>
    <x v="7"/>
    <s v="Bonduelle"/>
    <s v="|62/03/11|"/>
    <n v="888"/>
    <n v="2.23"/>
    <n v="3.36"/>
  </r>
  <r>
    <x v="2"/>
    <s v="Convenience stores"/>
    <x v="7"/>
    <s v="Bonduelle"/>
    <s v="|62/03/12|"/>
    <n v="1128"/>
    <n v="2.11"/>
    <n v="3.72"/>
  </r>
  <r>
    <x v="2"/>
    <s v="Convenience stores"/>
    <x v="7"/>
    <s v="Bonduelle"/>
    <s v="|62/03/13|"/>
    <n v="1008"/>
    <n v="2.79"/>
    <n v="3.58"/>
  </r>
  <r>
    <x v="2"/>
    <s v="Convenience stores"/>
    <x v="7"/>
    <s v="Bonduelle"/>
    <s v="|62/03/14|"/>
    <n v="732"/>
    <n v="2.5099999999999998"/>
    <n v="3.44"/>
  </r>
  <r>
    <x v="2"/>
    <s v="Convenience stores"/>
    <x v="7"/>
    <s v="Bonduelle"/>
    <s v="|62/03/15|"/>
    <n v="1080"/>
    <n v="2.2400000000000002"/>
    <n v="3.63"/>
  </r>
  <r>
    <x v="2"/>
    <s v="Convenience stores"/>
    <x v="7"/>
    <s v="Bonduelle"/>
    <s v="|62/03/16|"/>
    <n v="1056"/>
    <n v="2.27"/>
    <n v="3.78"/>
  </r>
  <r>
    <x v="2"/>
    <s v="Convenience stores"/>
    <x v="7"/>
    <s v="Bonduelle"/>
    <s v="|62/03/17|"/>
    <n v="1104"/>
    <n v="2.1"/>
    <n v="3.55"/>
  </r>
  <r>
    <x v="2"/>
    <s v="Convenience stores"/>
    <x v="7"/>
    <s v="Bonduelle"/>
    <s v="|62/03/18|"/>
    <n v="924"/>
    <n v="2.17"/>
    <n v="3.8"/>
  </r>
  <r>
    <x v="2"/>
    <s v="Convenience stores"/>
    <x v="7"/>
    <s v="Bonduelle"/>
    <s v="|62/03/19|"/>
    <n v="1128"/>
    <n v="2.5099999999999998"/>
    <n v="3.67"/>
  </r>
  <r>
    <x v="2"/>
    <s v="Convenience stores"/>
    <x v="7"/>
    <s v="Bonduelle"/>
    <s v="|62/03/20|"/>
    <n v="732"/>
    <n v="2.54"/>
    <n v="3.7"/>
  </r>
  <r>
    <x v="2"/>
    <s v="Convenience stores"/>
    <x v="7"/>
    <s v="Bonduelle"/>
    <s v="|62/03/21|"/>
    <n v="1128"/>
    <n v="2.96"/>
    <n v="3.87"/>
  </r>
  <r>
    <x v="2"/>
    <s v="Convenience stores"/>
    <x v="7"/>
    <s v="Bonduelle"/>
    <s v="|62/03/22|"/>
    <n v="600"/>
    <n v="2.5"/>
    <n v="3.89"/>
  </r>
  <r>
    <x v="2"/>
    <s v="Convenience stores"/>
    <x v="7"/>
    <s v="Bonduelle"/>
    <s v="|62/03/23|"/>
    <n v="1176"/>
    <n v="2.8"/>
    <n v="3.46"/>
  </r>
  <r>
    <x v="2"/>
    <s v="Convenience stores"/>
    <x v="7"/>
    <s v="Bonduelle"/>
    <s v="|62/03/24|"/>
    <n v="672"/>
    <n v="2.69"/>
    <n v="3.64"/>
  </r>
  <r>
    <x v="2"/>
    <s v="Convenience stores"/>
    <x v="7"/>
    <s v="Bonduelle"/>
    <s v="|62/03/25|"/>
    <n v="1176"/>
    <n v="2.62"/>
    <n v="3.31"/>
  </r>
  <r>
    <x v="2"/>
    <s v="Convenience stores"/>
    <x v="7"/>
    <s v="Bonduelle"/>
    <s v="|62/03/26|"/>
    <n v="1176"/>
    <n v="2.4900000000000002"/>
    <n v="3.71"/>
  </r>
  <r>
    <x v="2"/>
    <s v="Convenience stores"/>
    <x v="7"/>
    <s v="Bonduelle"/>
    <s v="|62/03/27|"/>
    <n v="1164"/>
    <n v="2.74"/>
    <n v="3.82"/>
  </r>
  <r>
    <x v="2"/>
    <s v="Convenience stores"/>
    <x v="7"/>
    <s v="Bonduelle"/>
    <s v="|62/03/28|"/>
    <n v="744"/>
    <n v="2.09"/>
    <n v="3.95"/>
  </r>
  <r>
    <x v="2"/>
    <s v="Convenience stores"/>
    <x v="7"/>
    <s v="Bonduelle"/>
    <s v="|62/03/29|"/>
    <n v="960"/>
    <n v="2.21"/>
    <n v="3.64"/>
  </r>
  <r>
    <x v="2"/>
    <s v="Convenience stores"/>
    <x v="7"/>
    <s v="Bonduelle"/>
    <s v="|62/03/30|"/>
    <n v="816"/>
    <n v="2.25"/>
    <n v="3.3"/>
  </r>
  <r>
    <x v="2"/>
    <s v="Convenience stores"/>
    <x v="7"/>
    <s v="Bonduelle"/>
    <s v="|62/03/31|"/>
    <n v="780"/>
    <n v="2.84"/>
    <n v="3.96"/>
  </r>
  <r>
    <x v="2"/>
    <s v="Convenience stores"/>
    <x v="7"/>
    <s v="Bonduelle"/>
    <s v="|62/03/32|"/>
    <n v="1188"/>
    <n v="2.97"/>
    <n v="3.29"/>
  </r>
  <r>
    <x v="2"/>
    <s v="Convenience stores"/>
    <x v="7"/>
    <s v="Bonduelle"/>
    <s v="|62/03/33|"/>
    <n v="1176"/>
    <n v="2.2999999999999998"/>
    <n v="3.36"/>
  </r>
  <r>
    <x v="2"/>
    <s v="Convenience stores"/>
    <x v="7"/>
    <s v="Bonduelle"/>
    <s v="|62/03/34|"/>
    <n v="648"/>
    <n v="2.64"/>
    <n v="3.5"/>
  </r>
  <r>
    <x v="2"/>
    <s v="Convenience stores"/>
    <x v="7"/>
    <s v="Bonduelle"/>
    <s v="|62/03/35|"/>
    <n v="1104"/>
    <n v="2.25"/>
    <n v="3.38"/>
  </r>
  <r>
    <x v="2"/>
    <s v="Convenience stores"/>
    <x v="7"/>
    <s v="Bonduelle"/>
    <s v="|62/03/36|"/>
    <n v="1020"/>
    <n v="2.4900000000000002"/>
    <n v="3.89"/>
  </r>
  <r>
    <x v="2"/>
    <s v="Convenience stores"/>
    <x v="7"/>
    <s v="Bonduelle"/>
    <s v="|62/03/37|"/>
    <n v="1116"/>
    <n v="2.04"/>
    <n v="3.45"/>
  </r>
  <r>
    <x v="2"/>
    <s v="Convenience stores"/>
    <x v="7"/>
    <s v="Bonduelle"/>
    <s v="|62/03/38|"/>
    <n v="924"/>
    <n v="2.42"/>
    <n v="3.48"/>
  </r>
  <r>
    <x v="2"/>
    <s v="Convenience stores"/>
    <x v="7"/>
    <s v="Bonduelle"/>
    <s v="|62/03/39|"/>
    <n v="960"/>
    <n v="2.61"/>
    <n v="3.21"/>
  </r>
  <r>
    <x v="2"/>
    <s v="Convenience stores"/>
    <x v="7"/>
    <s v="Bonduelle"/>
    <s v="|62/03/40|"/>
    <n v="792"/>
    <n v="2.34"/>
    <n v="3.84"/>
  </r>
  <r>
    <x v="2"/>
    <s v="Convenience stores"/>
    <x v="7"/>
    <s v="Bonduelle"/>
    <s v="|62/03/41|"/>
    <n v="1056"/>
    <n v="2.73"/>
    <n v="3.47"/>
  </r>
  <r>
    <x v="2"/>
    <s v="Convenience stores"/>
    <x v="7"/>
    <s v="Bonduelle"/>
    <s v="|62/03/42|"/>
    <n v="864"/>
    <n v="2.73"/>
    <n v="3.61"/>
  </r>
  <r>
    <x v="2"/>
    <s v="Convenience stores"/>
    <x v="7"/>
    <s v="Bonduelle"/>
    <s v="|62/03/43|"/>
    <n v="1164"/>
    <n v="2.91"/>
    <n v="3.71"/>
  </r>
  <r>
    <x v="2"/>
    <s v="Convenience stores"/>
    <x v="7"/>
    <s v="Bonduelle"/>
    <s v="|62/03/44|"/>
    <n v="972"/>
    <n v="2.91"/>
    <n v="3.52"/>
  </r>
  <r>
    <x v="2"/>
    <s v="Convenience stores"/>
    <x v="7"/>
    <s v="Bonduelle"/>
    <s v="|62/03/45|"/>
    <n v="852"/>
    <n v="2.9"/>
    <n v="3.59"/>
  </r>
  <r>
    <x v="2"/>
    <s v="Convenience stores"/>
    <x v="7"/>
    <s v="Bonduelle"/>
    <s v="|62/03/46|"/>
    <n v="1056"/>
    <n v="2.81"/>
    <n v="3.78"/>
  </r>
  <r>
    <x v="2"/>
    <s v="Convenience stores"/>
    <x v="7"/>
    <s v="Bonduelle"/>
    <s v="|62/03/47|"/>
    <n v="1092"/>
    <n v="3"/>
    <n v="3.23"/>
  </r>
  <r>
    <x v="2"/>
    <s v="Convenience stores"/>
    <x v="7"/>
    <s v="Bonduelle"/>
    <s v="|62/03/48|"/>
    <n v="708"/>
    <n v="2.74"/>
    <n v="3.67"/>
  </r>
  <r>
    <x v="2"/>
    <s v="Convenience stores"/>
    <x v="7"/>
    <s v="Bonduelle"/>
    <s v="|62/03/49|"/>
    <n v="1056"/>
    <n v="2.72"/>
    <n v="3.25"/>
  </r>
  <r>
    <x v="2"/>
    <s v="Convenience stores"/>
    <x v="7"/>
    <s v="Bonduelle"/>
    <s v="|62/03/50|"/>
    <n v="732"/>
    <n v="2.1800000000000002"/>
    <n v="3.76"/>
  </r>
  <r>
    <x v="2"/>
    <s v="Convenience stores"/>
    <x v="7"/>
    <s v="Bonduelle"/>
    <s v="|62/03/51|"/>
    <n v="1200"/>
    <n v="2.76"/>
    <n v="3.53"/>
  </r>
  <r>
    <x v="2"/>
    <s v="Convenience stores"/>
    <x v="7"/>
    <s v="Bonduelle"/>
    <s v="|62/03/52|"/>
    <n v="1140"/>
    <n v="2.4700000000000002"/>
    <n v="3.25"/>
  </r>
  <r>
    <x v="2"/>
    <s v="Convenience stores"/>
    <x v="7"/>
    <s v="Bonduelle"/>
    <s v="|62/03/53|"/>
    <n v="1092"/>
    <n v="2.17"/>
    <n v="3.65"/>
  </r>
  <r>
    <x v="2"/>
    <s v="Convenience stores"/>
    <x v="7"/>
    <s v="Bonduelle"/>
    <s v="|62/03/54|"/>
    <n v="984"/>
    <n v="2.0299999999999998"/>
    <n v="3.62"/>
  </r>
  <r>
    <x v="2"/>
    <s v="Convenience stores"/>
    <x v="7"/>
    <s v="Bonduelle"/>
    <s v="|62/03/55|"/>
    <n v="900"/>
    <n v="2.5099999999999998"/>
    <n v="3.21"/>
  </r>
  <r>
    <x v="2"/>
    <s v="Convenience stores"/>
    <x v="7"/>
    <s v="Bonduelle"/>
    <s v="|62/03/56|"/>
    <n v="948"/>
    <n v="2.96"/>
    <n v="3.97"/>
  </r>
  <r>
    <x v="2"/>
    <s v="Convenience stores"/>
    <x v="7"/>
    <s v="Bonduelle"/>
    <s v="|62/03/57|"/>
    <n v="924"/>
    <n v="2.93"/>
    <n v="3.43"/>
  </r>
  <r>
    <x v="2"/>
    <s v="Convenience stores"/>
    <x v="7"/>
    <s v="Bonduelle"/>
    <s v="|62/03/58|"/>
    <n v="1200"/>
    <n v="2.81"/>
    <n v="3.53"/>
  </r>
  <r>
    <x v="2"/>
    <s v="Convenience stores"/>
    <x v="7"/>
    <s v="Bonduelle"/>
    <s v="|62/03/59|"/>
    <n v="1164"/>
    <n v="2.78"/>
    <n v="3.83"/>
  </r>
  <r>
    <x v="2"/>
    <s v="Convenience stores"/>
    <x v="7"/>
    <s v="Bonduelle"/>
    <s v="|62/03/60|"/>
    <n v="900"/>
    <n v="2.0299999999999998"/>
    <n v="3.44"/>
  </r>
  <r>
    <x v="2"/>
    <s v="Convenience stores"/>
    <x v="7"/>
    <s v="Bonduelle"/>
    <s v="|62/03/61|"/>
    <n v="876"/>
    <n v="2.4700000000000002"/>
    <n v="3.93"/>
  </r>
  <r>
    <x v="2"/>
    <s v="Convenience stores"/>
    <x v="7"/>
    <s v="Bonduelle"/>
    <s v="|62/03/62|"/>
    <n v="924"/>
    <n v="2.06"/>
    <n v="3.38"/>
  </r>
  <r>
    <x v="2"/>
    <s v="Convenience stores"/>
    <x v="7"/>
    <s v="Bonduelle"/>
    <s v="|62/03/63|"/>
    <n v="660"/>
    <n v="2.76"/>
    <n v="3.29"/>
  </r>
  <r>
    <x v="2"/>
    <s v="Convenience stores"/>
    <x v="7"/>
    <s v="Bonduelle"/>
    <s v="|62/03/64|"/>
    <n v="660"/>
    <n v="2.1"/>
    <n v="3.66"/>
  </r>
  <r>
    <x v="2"/>
    <s v="Convenience stores"/>
    <x v="7"/>
    <s v="Bonduelle"/>
    <s v="|62/03/66|"/>
    <n v="648"/>
    <n v="2.83"/>
    <n v="3.67"/>
  </r>
  <r>
    <x v="2"/>
    <s v="Convenience stores"/>
    <x v="7"/>
    <s v="Bonduelle"/>
    <s v="|62/03/68|"/>
    <n v="624"/>
    <n v="2.2000000000000002"/>
    <n v="3.6"/>
  </r>
  <r>
    <x v="2"/>
    <s v="Convenience stores"/>
    <x v="7"/>
    <s v="Bonduelle"/>
    <s v="|62/03/69|"/>
    <n v="612"/>
    <n v="2.73"/>
    <n v="3.83"/>
  </r>
  <r>
    <x v="2"/>
    <s v="Convenience stores"/>
    <x v="7"/>
    <s v="Bonduelle"/>
    <s v="|62/03/72|"/>
    <n v="672"/>
    <n v="2.25"/>
    <n v="3.91"/>
  </r>
  <r>
    <x v="2"/>
    <s v="Convenience stores"/>
    <x v="7"/>
    <s v="Bonduelle"/>
    <s v="|62/03/73|"/>
    <n v="948"/>
    <n v="2.31"/>
    <n v="3.9"/>
  </r>
  <r>
    <x v="2"/>
    <s v="Convenience stores"/>
    <x v="7"/>
    <s v="Bonduelle"/>
    <s v="|62/03/74|"/>
    <n v="732"/>
    <n v="2.4700000000000002"/>
    <n v="3.75"/>
  </r>
  <r>
    <x v="2"/>
    <s v="Convenience stores"/>
    <x v="7"/>
    <s v="Bonduelle"/>
    <s v="|62/03/75|"/>
    <n v="1092"/>
    <n v="2.69"/>
    <n v="3.99"/>
  </r>
  <r>
    <x v="2"/>
    <s v="Convenience stores"/>
    <x v="7"/>
    <s v="Bonduelle"/>
    <s v="|62/03/76|"/>
    <n v="1116"/>
    <n v="2.94"/>
    <n v="3.27"/>
  </r>
  <r>
    <x v="2"/>
    <s v="Convenience stores"/>
    <x v="7"/>
    <s v="Bonduelle"/>
    <s v="|62/03/77|"/>
    <n v="972"/>
    <n v="2.37"/>
    <n v="3.83"/>
  </r>
  <r>
    <x v="2"/>
    <s v="Convenience stores"/>
    <x v="7"/>
    <s v="Bonduelle"/>
    <s v="|62/03/78|"/>
    <n v="972"/>
    <n v="2.62"/>
    <n v="3.5"/>
  </r>
  <r>
    <x v="2"/>
    <s v="Convenience stores"/>
    <x v="7"/>
    <s v="Bonduelle"/>
    <s v="|62/03/79|"/>
    <n v="1044"/>
    <n v="2.4300000000000002"/>
    <n v="3.29"/>
  </r>
  <r>
    <x v="2"/>
    <s v="Convenience stores"/>
    <x v="7"/>
    <s v="Bonduelle"/>
    <s v="|62/03/82|"/>
    <n v="624"/>
    <n v="2.52"/>
    <n v="3.84"/>
  </r>
  <r>
    <x v="2"/>
    <s v="Convenience stores"/>
    <x v="7"/>
    <s v="Bonduelle"/>
    <s v="|62/04/01|"/>
    <n v="1068"/>
    <n v="2.0299999999999998"/>
    <n v="3.36"/>
  </r>
  <r>
    <x v="2"/>
    <s v="Convenience stores"/>
    <x v="7"/>
    <s v="Bonduelle"/>
    <s v="|62/04/02|"/>
    <n v="900"/>
    <n v="2.02"/>
    <n v="3.35"/>
  </r>
  <r>
    <x v="2"/>
    <s v="Convenience stores"/>
    <x v="7"/>
    <s v="Bonduelle"/>
    <s v="|62/04/03|"/>
    <n v="780"/>
    <n v="2.57"/>
    <n v="3.42"/>
  </r>
  <r>
    <x v="2"/>
    <s v="Convenience stores"/>
    <x v="7"/>
    <s v="Bonduelle"/>
    <s v="|62/04/04|"/>
    <n v="1164"/>
    <n v="2.23"/>
    <n v="3.53"/>
  </r>
  <r>
    <x v="2"/>
    <s v="Convenience stores"/>
    <x v="7"/>
    <s v="Bonduelle"/>
    <s v="|62/04/05|"/>
    <n v="936"/>
    <n v="2.72"/>
    <n v="3.25"/>
  </r>
  <r>
    <x v="2"/>
    <s v="Convenience stores"/>
    <x v="7"/>
    <s v="Bonduelle"/>
    <s v="|62/04/06|"/>
    <n v="1104"/>
    <n v="2.38"/>
    <n v="3.49"/>
  </r>
  <r>
    <x v="2"/>
    <s v="Convenience stores"/>
    <x v="7"/>
    <s v="Bonduelle"/>
    <s v="|62/04/07|"/>
    <n v="768"/>
    <n v="2.4"/>
    <n v="3.52"/>
  </r>
  <r>
    <x v="2"/>
    <s v="Convenience stores"/>
    <x v="7"/>
    <s v="Bonduelle"/>
    <s v="|62/04/08|"/>
    <n v="756"/>
    <n v="2.5099999999999998"/>
    <n v="3.39"/>
  </r>
  <r>
    <x v="2"/>
    <s v="Convenience stores"/>
    <x v="7"/>
    <s v="Bonduelle"/>
    <s v="|62/04/09|"/>
    <n v="1188"/>
    <n v="2.69"/>
    <n v="3.52"/>
  </r>
  <r>
    <x v="2"/>
    <s v="Convenience stores"/>
    <x v="7"/>
    <s v="Bonduelle"/>
    <s v="|62/04/10|"/>
    <n v="972"/>
    <n v="2.09"/>
    <n v="3.67"/>
  </r>
  <r>
    <x v="2"/>
    <s v="Convenience stores"/>
    <x v="7"/>
    <s v="Bonduelle"/>
    <s v="|62/04/11|"/>
    <n v="864"/>
    <n v="2.91"/>
    <n v="3.85"/>
  </r>
  <r>
    <x v="2"/>
    <s v="Convenience stores"/>
    <x v="7"/>
    <s v="Bonduelle"/>
    <s v="|62/04/13|"/>
    <n v="1080"/>
    <n v="2.2799999999999998"/>
    <n v="3.91"/>
  </r>
  <r>
    <x v="2"/>
    <s v="Convenience stores"/>
    <x v="7"/>
    <s v="Bonduelle"/>
    <s v="|62/04/14|"/>
    <n v="948"/>
    <n v="2.61"/>
    <n v="3.58"/>
  </r>
  <r>
    <x v="2"/>
    <s v="Convenience stores"/>
    <x v="7"/>
    <s v="Bonduelle"/>
    <s v="|62/04/15|"/>
    <n v="924"/>
    <n v="2.71"/>
    <n v="3.21"/>
  </r>
  <r>
    <x v="2"/>
    <s v="Convenience stores"/>
    <x v="7"/>
    <s v="Bonduelle"/>
    <s v="|62/04/16|"/>
    <n v="780"/>
    <n v="2.04"/>
    <n v="3.36"/>
  </r>
  <r>
    <x v="2"/>
    <s v="Convenience stores"/>
    <x v="7"/>
    <s v="Bonduelle"/>
    <s v="|62/04/17|"/>
    <n v="1068"/>
    <n v="2.46"/>
    <n v="3.97"/>
  </r>
  <r>
    <x v="2"/>
    <s v="Convenience stores"/>
    <x v="7"/>
    <s v="Bonduelle"/>
    <s v="|62/04/18|"/>
    <n v="1080"/>
    <n v="2.0099999999999998"/>
    <n v="3.82"/>
  </r>
  <r>
    <x v="2"/>
    <s v="Convenience stores"/>
    <x v="7"/>
    <s v="Bonduelle"/>
    <s v="|62/04/19|"/>
    <n v="1092"/>
    <n v="3"/>
    <n v="3.62"/>
  </r>
  <r>
    <x v="2"/>
    <s v="Convenience stores"/>
    <x v="7"/>
    <s v="Bonduelle"/>
    <s v="|62/04/20|"/>
    <n v="972"/>
    <n v="2.99"/>
    <n v="3.35"/>
  </r>
  <r>
    <x v="2"/>
    <s v="Convenience stores"/>
    <x v="7"/>
    <s v="Bonduelle"/>
    <s v="|62/04/21|"/>
    <n v="924"/>
    <n v="2.9"/>
    <n v="3.24"/>
  </r>
  <r>
    <x v="2"/>
    <s v="Convenience stores"/>
    <x v="7"/>
    <s v="Bonduelle"/>
    <s v="|62/04/23|"/>
    <n v="780"/>
    <n v="2.15"/>
    <n v="3.88"/>
  </r>
  <r>
    <x v="2"/>
    <s v="Convenience stores"/>
    <x v="7"/>
    <s v="Bonduelle"/>
    <s v="|62/04/25|"/>
    <n v="696"/>
    <n v="2.44"/>
    <n v="3.77"/>
  </r>
  <r>
    <x v="2"/>
    <s v="Convenience stores"/>
    <x v="7"/>
    <s v="Bonduelle"/>
    <s v="|62/04/26|"/>
    <n v="792"/>
    <n v="2.75"/>
    <n v="3.5"/>
  </r>
  <r>
    <x v="2"/>
    <s v="Convenience stores"/>
    <x v="7"/>
    <s v="Bonduelle"/>
    <s v="|62/04/27|"/>
    <n v="900"/>
    <n v="2.62"/>
    <n v="3.43"/>
  </r>
  <r>
    <x v="2"/>
    <s v="Convenience stores"/>
    <x v="7"/>
    <s v="Bonduelle"/>
    <s v="|62/05/01|"/>
    <n v="876"/>
    <n v="2.35"/>
    <n v="3.22"/>
  </r>
  <r>
    <x v="2"/>
    <s v="Convenience stores"/>
    <x v="7"/>
    <s v="Bonduelle"/>
    <s v="|62/05/02|"/>
    <n v="1128"/>
    <n v="2.11"/>
    <n v="3.29"/>
  </r>
  <r>
    <x v="2"/>
    <s v="Convenience stores"/>
    <x v="7"/>
    <s v="Bonduelle"/>
    <s v="|62/05/03|"/>
    <n v="996"/>
    <n v="2.16"/>
    <n v="3.88"/>
  </r>
  <r>
    <x v="2"/>
    <s v="Convenience stores"/>
    <x v="7"/>
    <s v="Bonduelle"/>
    <s v="|62/05/04|"/>
    <n v="816"/>
    <n v="2.98"/>
    <n v="3.48"/>
  </r>
  <r>
    <x v="2"/>
    <s v="Convenience stores"/>
    <x v="7"/>
    <s v="Bonduelle"/>
    <s v="|62/05/05|"/>
    <n v="1068"/>
    <n v="2.85"/>
    <n v="3.98"/>
  </r>
  <r>
    <x v="2"/>
    <s v="Convenience stores"/>
    <x v="7"/>
    <s v="Bonduelle"/>
    <s v="|62/05/06|"/>
    <n v="1008"/>
    <n v="2.1800000000000002"/>
    <n v="3.94"/>
  </r>
  <r>
    <x v="2"/>
    <s v="Convenience stores"/>
    <x v="7"/>
    <s v="Bonduelle"/>
    <s v="|62/05/08|"/>
    <n v="756"/>
    <n v="2.4700000000000002"/>
    <n v="3.84"/>
  </r>
  <r>
    <x v="2"/>
    <s v="Convenience stores"/>
    <x v="7"/>
    <s v="Bonduelle"/>
    <s v="|62/09/01|"/>
    <n v="684"/>
    <n v="2.38"/>
    <n v="3.56"/>
  </r>
  <r>
    <x v="2"/>
    <s v="Convenience stores"/>
    <x v="4"/>
    <s v="Veet"/>
    <s v="|55/01/01|"/>
    <n v="612"/>
    <n v="4.71"/>
    <n v="5.37"/>
  </r>
  <r>
    <x v="2"/>
    <s v="Convenience stores"/>
    <x v="4"/>
    <s v="Veet"/>
    <s v="|55/01/02|"/>
    <n v="492"/>
    <n v="4.1399999999999997"/>
    <n v="5.04"/>
  </r>
  <r>
    <x v="2"/>
    <s v="Convenience stores"/>
    <x v="4"/>
    <s v="Veet"/>
    <s v="|55/01/03|"/>
    <n v="624"/>
    <n v="4.72"/>
    <n v="5.37"/>
  </r>
  <r>
    <x v="2"/>
    <s v="Convenience stores"/>
    <x v="4"/>
    <s v="Veet"/>
    <s v="|55/01/04|"/>
    <n v="264"/>
    <n v="4.37"/>
    <n v="5.19"/>
  </r>
  <r>
    <x v="2"/>
    <s v="Convenience stores"/>
    <x v="4"/>
    <s v="Veet"/>
    <s v="|55/01/05|"/>
    <n v="636"/>
    <n v="4.55"/>
    <n v="5.39"/>
  </r>
  <r>
    <x v="2"/>
    <s v="Convenience stores"/>
    <x v="4"/>
    <s v="Veet"/>
    <s v="|55/01/06|"/>
    <n v="504"/>
    <n v="4.8499999999999996"/>
    <n v="5.38"/>
  </r>
  <r>
    <x v="2"/>
    <s v="Convenience stores"/>
    <x v="4"/>
    <s v="Veet"/>
    <s v="|55/01/07|"/>
    <n v="444"/>
    <n v="4.54"/>
    <n v="5.08"/>
  </r>
  <r>
    <x v="2"/>
    <s v="Convenience stores"/>
    <x v="4"/>
    <s v="Veet"/>
    <s v="|55/01/08|"/>
    <n v="624"/>
    <n v="4.97"/>
    <n v="5.31"/>
  </r>
  <r>
    <x v="2"/>
    <s v="Convenience stores"/>
    <x v="4"/>
    <s v="Veet"/>
    <s v="|55/01/09|"/>
    <n v="528"/>
    <n v="4.38"/>
    <n v="5.18"/>
  </r>
  <r>
    <x v="2"/>
    <s v="Convenience stores"/>
    <x v="4"/>
    <s v="Veet"/>
    <s v="|55/01/10|"/>
    <n v="504"/>
    <n v="4.75"/>
    <n v="5.24"/>
  </r>
  <r>
    <x v="2"/>
    <s v="Convenience stores"/>
    <x v="4"/>
    <s v="Veet"/>
    <s v="|55/01/11|"/>
    <n v="624"/>
    <n v="4.1500000000000004"/>
    <n v="5.16"/>
  </r>
  <r>
    <x v="2"/>
    <s v="Convenience stores"/>
    <x v="4"/>
    <s v="Veet"/>
    <s v="|55/01/12|"/>
    <n v="552"/>
    <n v="4.16"/>
    <n v="5.22"/>
  </r>
  <r>
    <x v="2"/>
    <s v="Convenience stores"/>
    <x v="4"/>
    <s v="Veet"/>
    <s v="|55/01/13|"/>
    <n v="468"/>
    <n v="4.46"/>
    <n v="5.26"/>
  </r>
  <r>
    <x v="2"/>
    <s v="Convenience stores"/>
    <x v="4"/>
    <s v="Veet"/>
    <s v="|55/01/14|"/>
    <n v="336"/>
    <n v="4.87"/>
    <n v="5.22"/>
  </r>
  <r>
    <x v="2"/>
    <s v="Convenience stores"/>
    <x v="4"/>
    <s v="Veet"/>
    <s v="|55/01/15|"/>
    <n v="660"/>
    <n v="4.8"/>
    <n v="5.26"/>
  </r>
  <r>
    <x v="2"/>
    <s v="Convenience stores"/>
    <x v="4"/>
    <s v="Veet"/>
    <s v="|55/01/16|"/>
    <n v="516"/>
    <n v="4.45"/>
    <n v="5.2"/>
  </r>
  <r>
    <x v="2"/>
    <s v="Convenience stores"/>
    <x v="4"/>
    <s v="Veet"/>
    <s v="|55/01/17|"/>
    <n v="348"/>
    <n v="4.4400000000000004"/>
    <n v="5.18"/>
  </r>
  <r>
    <x v="2"/>
    <s v="Convenience stores"/>
    <x v="4"/>
    <s v="Veet"/>
    <s v="|55/01/18|"/>
    <n v="336"/>
    <n v="4.99"/>
    <n v="5.3"/>
  </r>
  <r>
    <x v="2"/>
    <s v="Convenience stores"/>
    <x v="4"/>
    <s v="Veet"/>
    <s v="|55/01/19|"/>
    <n v="420"/>
    <n v="4.07"/>
    <n v="5.05"/>
  </r>
  <r>
    <x v="2"/>
    <s v="Convenience stores"/>
    <x v="4"/>
    <s v="Veet"/>
    <s v="|55/01/20|"/>
    <n v="276"/>
    <n v="4.59"/>
    <n v="5.18"/>
  </r>
  <r>
    <x v="2"/>
    <s v="Convenience stores"/>
    <x v="4"/>
    <s v="Veet"/>
    <s v="|55/01/21|"/>
    <n v="588"/>
    <n v="4.07"/>
    <n v="5.15"/>
  </r>
  <r>
    <x v="2"/>
    <s v="Convenience stores"/>
    <x v="4"/>
    <s v="Veet"/>
    <s v="|55/01/22|"/>
    <n v="672"/>
    <n v="4.55"/>
    <n v="5.14"/>
  </r>
  <r>
    <x v="2"/>
    <s v="Convenience stores"/>
    <x v="4"/>
    <s v="Veet"/>
    <s v="|55/01/23|"/>
    <n v="336"/>
    <n v="4.74"/>
    <n v="5.12"/>
  </r>
  <r>
    <x v="2"/>
    <s v="Convenience stores"/>
    <x v="4"/>
    <s v="Veet"/>
    <s v="|55/01/24|"/>
    <n v="648"/>
    <n v="4.76"/>
    <n v="5.08"/>
  </r>
  <r>
    <x v="2"/>
    <s v="Convenience stores"/>
    <x v="4"/>
    <s v="Veet"/>
    <s v="|55/01/25|"/>
    <n v="492"/>
    <n v="4.82"/>
    <n v="5.33"/>
  </r>
  <r>
    <x v="2"/>
    <s v="Convenience stores"/>
    <x v="4"/>
    <s v="Veet"/>
    <s v="|55/01/26|"/>
    <n v="276"/>
    <n v="4.54"/>
    <n v="5.2"/>
  </r>
  <r>
    <x v="2"/>
    <s v="Convenience stores"/>
    <x v="4"/>
    <s v="Veet"/>
    <s v="|55/01/27|"/>
    <n v="684"/>
    <n v="4.04"/>
    <n v="5.19"/>
  </r>
  <r>
    <x v="2"/>
    <s v="Convenience stores"/>
    <x v="4"/>
    <s v="Veet"/>
    <s v="|55/01/28|"/>
    <n v="252"/>
    <n v="4.38"/>
    <n v="5.2"/>
  </r>
  <r>
    <x v="2"/>
    <s v="Convenience stores"/>
    <x v="4"/>
    <s v="Veet"/>
    <s v="|55/01/29|"/>
    <n v="492"/>
    <n v="4.74"/>
    <n v="5.4"/>
  </r>
  <r>
    <x v="2"/>
    <s v="Convenience stores"/>
    <x v="4"/>
    <s v="Veet"/>
    <s v="|55/01/30|"/>
    <n v="528"/>
    <n v="4.83"/>
    <n v="5.07"/>
  </r>
  <r>
    <x v="2"/>
    <s v="Convenience stores"/>
    <x v="4"/>
    <s v="Veet"/>
    <s v="|55/01/31|"/>
    <n v="312"/>
    <n v="4.53"/>
    <n v="5.2"/>
  </r>
  <r>
    <x v="2"/>
    <s v="Convenience stores"/>
    <x v="4"/>
    <s v="Veet"/>
    <s v="|55/01/32|"/>
    <n v="372"/>
    <n v="4.7300000000000004"/>
    <n v="5.4"/>
  </r>
  <r>
    <x v="2"/>
    <s v="Convenience stores"/>
    <x v="4"/>
    <s v="Veet"/>
    <s v="|55/01/33|"/>
    <n v="684"/>
    <n v="4.3600000000000003"/>
    <n v="5.36"/>
  </r>
  <r>
    <x v="2"/>
    <s v="Convenience stores"/>
    <x v="4"/>
    <s v="Veet"/>
    <s v="|55/01/34|"/>
    <n v="552"/>
    <n v="4.0999999999999996"/>
    <n v="5.17"/>
  </r>
  <r>
    <x v="2"/>
    <s v="Convenience stores"/>
    <x v="4"/>
    <s v="Veet"/>
    <s v="|55/01/35|"/>
    <n v="288"/>
    <n v="4.16"/>
    <n v="5.2"/>
  </r>
  <r>
    <x v="2"/>
    <s v="Convenience stores"/>
    <x v="4"/>
    <s v="Veet"/>
    <s v="|55/01/36|"/>
    <n v="696"/>
    <n v="4.0999999999999996"/>
    <n v="5.3"/>
  </r>
  <r>
    <x v="2"/>
    <s v="Convenience stores"/>
    <x v="4"/>
    <s v="Veet"/>
    <s v="|55/01/37|"/>
    <n v="336"/>
    <n v="4.7"/>
    <n v="5.04"/>
  </r>
  <r>
    <x v="2"/>
    <s v="Convenience stores"/>
    <x v="4"/>
    <s v="Veet"/>
    <s v="|55/01/38|"/>
    <n v="672"/>
    <n v="4.47"/>
    <n v="5.04"/>
  </r>
  <r>
    <x v="2"/>
    <s v="Convenience stores"/>
    <x v="4"/>
    <s v="Veet"/>
    <s v="|55/01/39|"/>
    <n v="672"/>
    <n v="4.8600000000000003"/>
    <n v="5.16"/>
  </r>
  <r>
    <x v="2"/>
    <s v="Convenience stores"/>
    <x v="4"/>
    <s v="Veet"/>
    <s v="|55/01/40|"/>
    <n v="480"/>
    <n v="4.04"/>
    <n v="5.01"/>
  </r>
  <r>
    <x v="2"/>
    <s v="Convenience stores"/>
    <x v="4"/>
    <s v="Veet"/>
    <s v="|55/01/41|"/>
    <n v="348"/>
    <n v="4.91"/>
    <n v="5.4"/>
  </r>
  <r>
    <x v="2"/>
    <s v="Convenience stores"/>
    <x v="4"/>
    <s v="Veet"/>
    <s v="|55/01/42|"/>
    <n v="636"/>
    <n v="4.16"/>
    <n v="5.01"/>
  </r>
  <r>
    <x v="2"/>
    <s v="Convenience stores"/>
    <x v="4"/>
    <s v="Veet"/>
    <s v="|55/01/43|"/>
    <n v="408"/>
    <n v="4.58"/>
    <n v="5.38"/>
  </r>
  <r>
    <x v="2"/>
    <s v="Convenience stores"/>
    <x v="4"/>
    <s v="Veet"/>
    <s v="|55/01/44|"/>
    <n v="696"/>
    <n v="4.3899999999999997"/>
    <n v="5.38"/>
  </r>
  <r>
    <x v="2"/>
    <s v="Convenience stores"/>
    <x v="4"/>
    <s v="Veet"/>
    <s v="|55/01/45|"/>
    <n v="480"/>
    <n v="4.09"/>
    <n v="5.07"/>
  </r>
  <r>
    <x v="2"/>
    <s v="Convenience stores"/>
    <x v="4"/>
    <s v="Veet"/>
    <s v="|55/01/46|"/>
    <n v="708"/>
    <n v="4.6900000000000004"/>
    <n v="5.28"/>
  </r>
  <r>
    <x v="2"/>
    <s v="Convenience stores"/>
    <x v="4"/>
    <s v="Veet"/>
    <s v="|55/01/47|"/>
    <n v="564"/>
    <n v="5"/>
    <n v="5.0599999999999996"/>
  </r>
  <r>
    <x v="2"/>
    <s v="Convenience stores"/>
    <x v="4"/>
    <s v="Veet"/>
    <s v="|55/01/48|"/>
    <n v="252"/>
    <n v="4.62"/>
    <n v="5.39"/>
  </r>
  <r>
    <x v="2"/>
    <s v="Convenience stores"/>
    <x v="4"/>
    <s v="Veet"/>
    <s v="|55/01/60|"/>
    <n v="264"/>
    <n v="4.74"/>
    <n v="5.04"/>
  </r>
  <r>
    <x v="2"/>
    <s v="Convenience stores"/>
    <x v="4"/>
    <s v="Veet"/>
    <s v="|55/01/61|"/>
    <n v="324"/>
    <n v="4.88"/>
    <n v="5.05"/>
  </r>
  <r>
    <x v="2"/>
    <s v="Convenience stores"/>
    <x v="4"/>
    <s v="Veet"/>
    <s v="|55/01/62|"/>
    <n v="456"/>
    <n v="4.0199999999999996"/>
    <n v="5.39"/>
  </r>
  <r>
    <x v="2"/>
    <s v="Convenience stores"/>
    <x v="4"/>
    <s v="Veet"/>
    <s v="|55/01/63|"/>
    <n v="648"/>
    <n v="4.1399999999999997"/>
    <n v="5.23"/>
  </r>
  <r>
    <x v="2"/>
    <s v="Convenience stores"/>
    <x v="4"/>
    <s v="Veet"/>
    <s v="|55/01/64|"/>
    <n v="552"/>
    <n v="4.7300000000000004"/>
    <n v="5.3"/>
  </r>
  <r>
    <x v="2"/>
    <s v="Convenience stores"/>
    <x v="1"/>
    <s v="North Cascade"/>
    <s v="|45/08/01|"/>
    <n v="528"/>
    <n v="6.4266666666666667"/>
    <n v="8.5466666666666669"/>
  </r>
  <r>
    <x v="2"/>
    <s v="Convenience stores"/>
    <x v="1"/>
    <s v="North Cascade"/>
    <s v="|45/30/01|"/>
    <n v="456"/>
    <n v="5.94"/>
    <n v="7.8666666666666663"/>
  </r>
  <r>
    <x v="2"/>
    <s v="Convenience stores"/>
    <x v="1"/>
    <s v="North Cascade"/>
    <s v="|45/50/01|"/>
    <n v="516"/>
    <n v="5.5533333333333337"/>
    <n v="7.833333333333333"/>
  </r>
  <r>
    <x v="2"/>
    <s v="Convenience stores"/>
    <x v="1"/>
    <s v="North Cascade"/>
    <s v="|45/50/02|"/>
    <n v="504"/>
    <n v="5.5533333333333337"/>
    <n v="7.58"/>
  </r>
  <r>
    <x v="2"/>
    <s v="Convenience stores"/>
    <x v="1"/>
    <s v="North Cascade"/>
    <s v="|45/50/03|"/>
    <n v="588"/>
    <n v="6.0133333333333336"/>
    <n v="8.5266666666666673"/>
  </r>
  <r>
    <x v="2"/>
    <s v="Convenience stores"/>
    <x v="1"/>
    <s v="North Cascade"/>
    <s v="|45/50/04|"/>
    <n v="408"/>
    <n v="5.66"/>
    <n v="7.68"/>
  </r>
  <r>
    <x v="2"/>
    <s v="Convenience stores"/>
    <x v="1"/>
    <s v="North Cascade"/>
    <s v="|45/50/05|"/>
    <n v="588"/>
    <n v="5.86"/>
    <n v="8.16"/>
  </r>
  <r>
    <x v="2"/>
    <s v="Convenience stores"/>
    <x v="1"/>
    <s v="North Cascade"/>
    <s v="|45/50/06|"/>
    <n v="444"/>
    <n v="5.746666666666667"/>
    <n v="7.5066666666666668"/>
  </r>
  <r>
    <x v="2"/>
    <s v="Convenience stores"/>
    <x v="1"/>
    <s v="North Cascade"/>
    <s v="|45/50/07|"/>
    <n v="540"/>
    <n v="5.3866666666666667"/>
    <n v="8.2266666666666666"/>
  </r>
  <r>
    <x v="2"/>
    <s v="Convenience stores"/>
    <x v="1"/>
    <s v="North Cascade"/>
    <s v="|45/50/08|"/>
    <n v="576"/>
    <n v="5.6266666666666669"/>
    <n v="7.4666666666666668"/>
  </r>
  <r>
    <x v="2"/>
    <s v="Convenience stores"/>
    <x v="1"/>
    <s v="North Cascade"/>
    <s v="|45/50/09|"/>
    <n v="636"/>
    <n v="5.8466666666666667"/>
    <n v="8.5733333333333341"/>
  </r>
  <r>
    <x v="2"/>
    <s v="Convenience stores"/>
    <x v="1"/>
    <s v="North Cascade"/>
    <s v="|45/50/10|"/>
    <n v="600"/>
    <n v="6.5333333333333332"/>
    <n v="8.2733333333333334"/>
  </r>
  <r>
    <x v="2"/>
    <s v="Convenience stores"/>
    <x v="1"/>
    <s v="North Cascade"/>
    <s v="|45/50/11|"/>
    <n v="540"/>
    <n v="6.3466666666666667"/>
    <n v="8.64"/>
  </r>
  <r>
    <x v="2"/>
    <s v="Convenience stores"/>
    <x v="1"/>
    <s v="North Cascade"/>
    <s v="|45/50/12|"/>
    <n v="504"/>
    <n v="5.8533333333333335"/>
    <n v="7.333333333333333"/>
  </r>
  <r>
    <x v="2"/>
    <s v="Convenience stores"/>
    <x v="1"/>
    <s v="North Cascade"/>
    <s v="|45/50/13|"/>
    <n v="516"/>
    <n v="5.5066666666666668"/>
    <n v="8"/>
  </r>
  <r>
    <x v="2"/>
    <s v="Convenience stores"/>
    <x v="1"/>
    <s v="North Cascade"/>
    <s v="|45/50/14|"/>
    <n v="552"/>
    <n v="5.9933333333333332"/>
    <n v="8.36"/>
  </r>
  <r>
    <x v="2"/>
    <s v="Convenience stores"/>
    <x v="1"/>
    <s v="North Cascade"/>
    <s v="|45/50/15|"/>
    <n v="576"/>
    <n v="5.4666666666666668"/>
    <n v="7.66"/>
  </r>
  <r>
    <x v="2"/>
    <s v="Convenience stores"/>
    <x v="1"/>
    <s v="North Cascade"/>
    <s v="|45/50/16|"/>
    <n v="492"/>
    <n v="5.9733333333333336"/>
    <n v="7.6266666666666669"/>
  </r>
  <r>
    <x v="2"/>
    <s v="Convenience stores"/>
    <x v="1"/>
    <s v="North Cascade"/>
    <s v="|45/50/17|"/>
    <n v="600"/>
    <n v="6.5333333333333332"/>
    <n v="7.5733333333333333"/>
  </r>
  <r>
    <x v="2"/>
    <s v="Convenience stores"/>
    <x v="1"/>
    <s v="North Cascade"/>
    <s v="|45/50/19|"/>
    <n v="564"/>
    <n v="6.4733333333333336"/>
    <n v="7.74"/>
  </r>
  <r>
    <x v="2"/>
    <s v="Convenience stores"/>
    <x v="1"/>
    <s v="North Cascade"/>
    <s v="|45/50/20|"/>
    <n v="492"/>
    <n v="5.94"/>
    <n v="8.6066666666666674"/>
  </r>
  <r>
    <x v="2"/>
    <s v="Convenience stores"/>
    <x v="1"/>
    <s v="North Cascade"/>
    <s v="|45/50/21|"/>
    <n v="492"/>
    <n v="5.5333333333333332"/>
    <n v="7.7"/>
  </r>
  <r>
    <x v="2"/>
    <s v="Convenience stores"/>
    <x v="1"/>
    <s v="North Cascade"/>
    <s v="|45/50/22|"/>
    <n v="600"/>
    <n v="5.6333333333333337"/>
    <n v="8.6"/>
  </r>
  <r>
    <x v="2"/>
    <s v="Convenience stores"/>
    <x v="1"/>
    <s v="North Cascade"/>
    <s v="|45/50/23|"/>
    <n v="552"/>
    <n v="5.6933333333333334"/>
    <n v="7.78"/>
  </r>
  <r>
    <x v="2"/>
    <s v="Convenience stores"/>
    <x v="1"/>
    <s v="North Cascade"/>
    <s v="|45/50/24|"/>
    <n v="624"/>
    <n v="6.5066666666666668"/>
    <n v="7.9933333333333332"/>
  </r>
  <r>
    <x v="2"/>
    <s v="Convenience stores"/>
    <x v="1"/>
    <s v="North Cascade"/>
    <s v="|45/50/25|"/>
    <n v="612"/>
    <n v="5.62"/>
    <n v="8.3333333333333339"/>
  </r>
  <r>
    <x v="2"/>
    <s v="Convenience stores"/>
    <x v="1"/>
    <s v="North Cascade"/>
    <s v="|45/50/26|"/>
    <n v="408"/>
    <n v="5.5066666666666668"/>
    <n v="8.2200000000000006"/>
  </r>
  <r>
    <x v="2"/>
    <s v="Convenience stores"/>
    <x v="1"/>
    <s v="North Cascade"/>
    <s v="|45/50/27|"/>
    <n v="480"/>
    <n v="6.3133333333333335"/>
    <n v="7.5466666666666669"/>
  </r>
  <r>
    <x v="2"/>
    <s v="Convenience stores"/>
    <x v="1"/>
    <s v="North Cascade"/>
    <s v="|45/50/28|"/>
    <n v="492"/>
    <n v="6.22"/>
    <n v="8.42"/>
  </r>
  <r>
    <x v="2"/>
    <s v="Convenience stores"/>
    <x v="1"/>
    <s v="North Cascade"/>
    <s v="|45/50/29|"/>
    <n v="456"/>
    <n v="5.793333333333333"/>
    <n v="8.1066666666666674"/>
  </r>
  <r>
    <x v="2"/>
    <s v="Convenience stores"/>
    <x v="1"/>
    <s v="North Cascade"/>
    <s v="|45/50/30|"/>
    <n v="516"/>
    <n v="5.5666666666666664"/>
    <n v="8.3733333333333331"/>
  </r>
  <r>
    <x v="2"/>
    <s v="Convenience stores"/>
    <x v="1"/>
    <s v="North Cascade"/>
    <s v="|45/50/31|"/>
    <n v="636"/>
    <n v="6.5866666666666669"/>
    <n v="8.52"/>
  </r>
  <r>
    <x v="2"/>
    <s v="Convenience stores"/>
    <x v="1"/>
    <s v="North Cascade"/>
    <s v="|45/50/32|"/>
    <n v="504"/>
    <n v="5.38"/>
    <n v="8.5133333333333336"/>
  </r>
  <r>
    <x v="2"/>
    <s v="Convenience stores"/>
    <x v="1"/>
    <s v="North Cascade"/>
    <s v="|45/50/33|"/>
    <n v="540"/>
    <n v="6.0733333333333333"/>
    <n v="7.9133333333333331"/>
  </r>
  <r>
    <x v="2"/>
    <s v="Convenience stores"/>
    <x v="1"/>
    <s v="North Cascade"/>
    <s v="|45/50/34|"/>
    <n v="612"/>
    <n v="6.0533333333333337"/>
    <n v="7.9133333333333331"/>
  </r>
  <r>
    <x v="2"/>
    <s v="Convenience stores"/>
    <x v="1"/>
    <s v="North Cascade"/>
    <s v="|45/50/35|"/>
    <n v="624"/>
    <n v="5.4066666666666663"/>
    <n v="7.68"/>
  </r>
  <r>
    <x v="2"/>
    <s v="Convenience stores"/>
    <x v="1"/>
    <s v="North Cascade"/>
    <s v="|45/50/36|"/>
    <n v="588"/>
    <n v="5.5733333333333333"/>
    <n v="7.4733333333333336"/>
  </r>
  <r>
    <x v="2"/>
    <s v="Convenience stores"/>
    <x v="1"/>
    <s v="North Cascade"/>
    <s v="|45/50/37|"/>
    <n v="612"/>
    <n v="5.4533333333333331"/>
    <n v="7.5533333333333337"/>
  </r>
  <r>
    <x v="2"/>
    <s v="Convenience stores"/>
    <x v="1"/>
    <s v="North Cascade"/>
    <s v="|45/50/38|"/>
    <n v="468"/>
    <n v="5.6466666666666665"/>
    <n v="8.1333333333333329"/>
  </r>
  <r>
    <x v="2"/>
    <s v="Convenience stores"/>
    <x v="1"/>
    <s v="North Cascade"/>
    <s v="|45/50/39|"/>
    <n v="408"/>
    <n v="5.54"/>
    <n v="8.1666666666666661"/>
  </r>
  <r>
    <x v="2"/>
    <s v="Convenience stores"/>
    <x v="1"/>
    <s v="North Cascade"/>
    <s v="|45/50/40|"/>
    <n v="624"/>
    <n v="6.32"/>
    <n v="8.2466666666666661"/>
  </r>
  <r>
    <x v="2"/>
    <s v="Convenience stores"/>
    <x v="1"/>
    <s v="North Cascade"/>
    <s v="|45/50/40a|"/>
    <n v="588"/>
    <n v="5.8533333333333335"/>
    <n v="7.5133333333333336"/>
  </r>
  <r>
    <x v="2"/>
    <s v="Convenience stores"/>
    <x v="1"/>
    <s v="North Cascade"/>
    <s v="|45/50/40b|"/>
    <n v="600"/>
    <n v="6.1066666666666665"/>
    <n v="7.7133333333333329"/>
  </r>
  <r>
    <x v="2"/>
    <s v="Convenience stores"/>
    <x v="1"/>
    <s v="North Cascade"/>
    <s v="|45/50/40c|"/>
    <n v="456"/>
    <n v="5.82"/>
    <n v="8.1933333333333334"/>
  </r>
  <r>
    <x v="2"/>
    <s v="Convenience stores"/>
    <x v="1"/>
    <s v="North Cascade"/>
    <s v="|45/50/40d|"/>
    <n v="612"/>
    <n v="6.46"/>
    <n v="8.1866666666666674"/>
  </r>
  <r>
    <x v="2"/>
    <s v="Convenience stores"/>
    <x v="1"/>
    <s v="North Cascade"/>
    <s v="|45/50/41|"/>
    <n v="480"/>
    <n v="6.2266666666666666"/>
    <n v="8.14"/>
  </r>
  <r>
    <x v="2"/>
    <s v="Convenience stores"/>
    <x v="1"/>
    <s v="North Cascade"/>
    <s v="|45/50/42|"/>
    <n v="552"/>
    <n v="5.4466666666666663"/>
    <n v="7.38"/>
  </r>
  <r>
    <x v="2"/>
    <s v="Convenience stores"/>
    <x v="1"/>
    <s v="North Cascade"/>
    <s v="|45/50/98|"/>
    <n v="504"/>
    <n v="6.0333333333333332"/>
    <n v="8.5333333333333332"/>
  </r>
  <r>
    <x v="2"/>
    <s v="Convenience stores"/>
    <x v="1"/>
    <s v="North Cascade"/>
    <s v="|45/50/99|"/>
    <n v="432"/>
    <n v="6.1533333333333333"/>
    <n v="8.42"/>
  </r>
  <r>
    <x v="2"/>
    <s v="Convenience stores"/>
    <x v="8"/>
    <s v="North Cascade"/>
    <s v="|45/01/01|"/>
    <n v="1356"/>
    <n v="4"/>
    <n v="6"/>
  </r>
  <r>
    <x v="2"/>
    <s v="Convenience stores"/>
    <x v="8"/>
    <s v="North Cascade"/>
    <s v="|45/01/02|"/>
    <n v="1344"/>
    <n v="4"/>
    <n v="7"/>
  </r>
  <r>
    <x v="2"/>
    <s v="Convenience stores"/>
    <x v="8"/>
    <s v="North Cascade"/>
    <s v="|45/01/03|"/>
    <n v="1476"/>
    <n v="4"/>
    <n v="6"/>
  </r>
  <r>
    <x v="2"/>
    <s v="Convenience stores"/>
    <x v="8"/>
    <s v="North Cascade"/>
    <s v="|45/01/04|"/>
    <n v="1356"/>
    <n v="5"/>
    <n v="6"/>
  </r>
  <r>
    <x v="2"/>
    <s v="Convenience stores"/>
    <x v="8"/>
    <s v="North Cascade"/>
    <s v="|45/01/05|"/>
    <n v="1368"/>
    <n v="4"/>
    <n v="6"/>
  </r>
  <r>
    <x v="2"/>
    <s v="Convenience stores"/>
    <x v="8"/>
    <s v="North Cascade"/>
    <s v="|45/01/11|"/>
    <n v="1428"/>
    <n v="5"/>
    <n v="6"/>
  </r>
  <r>
    <x v="2"/>
    <s v="Convenience stores"/>
    <x v="8"/>
    <s v="North Cascade"/>
    <s v="|45/01/12|"/>
    <n v="1560"/>
    <n v="5"/>
    <n v="6"/>
  </r>
  <r>
    <x v="2"/>
    <s v="Convenience stores"/>
    <x v="8"/>
    <s v="North Cascade"/>
    <s v="|45/01/13|"/>
    <n v="1548"/>
    <n v="5"/>
    <n v="6"/>
  </r>
  <r>
    <x v="2"/>
    <s v="Convenience stores"/>
    <x v="8"/>
    <s v="North Cascade"/>
    <s v="|45/01/14|"/>
    <n v="1560"/>
    <n v="4"/>
    <n v="6"/>
  </r>
  <r>
    <x v="2"/>
    <s v="Convenience stores"/>
    <x v="8"/>
    <s v="North Cascade"/>
    <s v="|45/01/15|"/>
    <n v="1404"/>
    <n v="5"/>
    <n v="7"/>
  </r>
  <r>
    <x v="2"/>
    <s v="Convenience stores"/>
    <x v="8"/>
    <s v="North Cascade"/>
    <s v="|45/01/16|"/>
    <n v="1524"/>
    <n v="5"/>
    <n v="7"/>
  </r>
  <r>
    <x v="2"/>
    <s v="Convenience stores"/>
    <x v="8"/>
    <s v="North Cascade"/>
    <s v="|45/01/20|"/>
    <n v="1320"/>
    <n v="5"/>
    <n v="7"/>
  </r>
  <r>
    <x v="2"/>
    <s v="Convenience stores"/>
    <x v="8"/>
    <s v="North Cascade"/>
    <s v="|45/01/21|"/>
    <n v="1560"/>
    <n v="4"/>
    <n v="6"/>
  </r>
  <r>
    <x v="2"/>
    <s v="Convenience stores"/>
    <x v="8"/>
    <s v="North Cascade"/>
    <s v="|45/01/22|"/>
    <n v="1536"/>
    <n v="4"/>
    <n v="7"/>
  </r>
  <r>
    <x v="2"/>
    <s v="Convenience stores"/>
    <x v="8"/>
    <s v="North Cascade"/>
    <s v="|45/02/01|"/>
    <n v="1380"/>
    <n v="5"/>
    <n v="7"/>
  </r>
  <r>
    <x v="2"/>
    <s v="Convenience stores"/>
    <x v="8"/>
    <s v="North Cascade"/>
    <s v="|45/02/02|"/>
    <n v="1368"/>
    <n v="4"/>
    <n v="7"/>
  </r>
  <r>
    <x v="2"/>
    <s v="Convenience stores"/>
    <x v="8"/>
    <s v="North Cascade"/>
    <s v="|45/02/03|"/>
    <n v="1500"/>
    <n v="4"/>
    <n v="7"/>
  </r>
  <r>
    <x v="2"/>
    <s v="Convenience stores"/>
    <x v="8"/>
    <s v="North Cascade"/>
    <s v="|45/02/04|"/>
    <n v="1452"/>
    <n v="4"/>
    <n v="6"/>
  </r>
  <r>
    <x v="2"/>
    <s v="Convenience stores"/>
    <x v="8"/>
    <s v="North Cascade"/>
    <s v="|45/02/05|"/>
    <n v="1548"/>
    <n v="5"/>
    <n v="6"/>
  </r>
  <r>
    <x v="2"/>
    <s v="Convenience stores"/>
    <x v="8"/>
    <s v="North Cascade"/>
    <s v="|45/02/11|"/>
    <n v="1320"/>
    <n v="4"/>
    <n v="6"/>
  </r>
  <r>
    <x v="2"/>
    <s v="Convenience stores"/>
    <x v="8"/>
    <s v="North Cascade"/>
    <s v="|45/02/12|"/>
    <n v="1368"/>
    <n v="5"/>
    <n v="7"/>
  </r>
  <r>
    <x v="2"/>
    <s v="Convenience stores"/>
    <x v="8"/>
    <s v="North Cascade"/>
    <s v="|45/02/13|"/>
    <n v="1332"/>
    <n v="4"/>
    <n v="7"/>
  </r>
  <r>
    <x v="2"/>
    <s v="Convenience stores"/>
    <x v="8"/>
    <s v="North Cascade"/>
    <s v="|45/02/21|"/>
    <n v="1536"/>
    <n v="4"/>
    <n v="7"/>
  </r>
  <r>
    <x v="2"/>
    <s v="Convenience stores"/>
    <x v="8"/>
    <s v="North Cascade"/>
    <s v="|45/02/22|"/>
    <n v="1536"/>
    <n v="5"/>
    <n v="7"/>
  </r>
  <r>
    <x v="2"/>
    <s v="Convenience stores"/>
    <x v="8"/>
    <s v="North Cascade"/>
    <s v="|45/02/23|"/>
    <n v="1488"/>
    <n v="4"/>
    <n v="6"/>
  </r>
  <r>
    <x v="2"/>
    <s v="Convenience stores"/>
    <x v="8"/>
    <s v="North Cascade"/>
    <s v="|45/02/31|"/>
    <n v="1368"/>
    <n v="5"/>
    <n v="7"/>
  </r>
  <r>
    <x v="2"/>
    <s v="Convenience stores"/>
    <x v="8"/>
    <s v="North Cascade"/>
    <s v="|45/03/01|"/>
    <n v="1548"/>
    <n v="5"/>
    <n v="7"/>
  </r>
  <r>
    <x v="2"/>
    <s v="Convenience stores"/>
    <x v="8"/>
    <s v="North Cascade"/>
    <s v="|45/03/03|"/>
    <n v="1536"/>
    <n v="4"/>
    <n v="6"/>
  </r>
  <r>
    <x v="2"/>
    <s v="Convenience stores"/>
    <x v="8"/>
    <s v="North Cascade"/>
    <s v="|45/03/04|"/>
    <n v="1524"/>
    <n v="5"/>
    <n v="7"/>
  </r>
  <r>
    <x v="2"/>
    <s v="Convenience stores"/>
    <x v="8"/>
    <s v="North Cascade"/>
    <s v="|45/03/05|"/>
    <n v="1512"/>
    <n v="5"/>
    <n v="6"/>
  </r>
  <r>
    <x v="2"/>
    <s v="Convenience stores"/>
    <x v="8"/>
    <s v="North Cascade"/>
    <s v="|45/04/01|"/>
    <n v="1452"/>
    <n v="4"/>
    <n v="6"/>
  </r>
  <r>
    <x v="2"/>
    <s v="Convenience stores"/>
    <x v="8"/>
    <s v="North Cascade"/>
    <s v="|45/04/02|"/>
    <n v="1392"/>
    <n v="4"/>
    <n v="6"/>
  </r>
  <r>
    <x v="2"/>
    <s v="Convenience stores"/>
    <x v="8"/>
    <s v="North Cascade"/>
    <s v="|45/04/03|"/>
    <n v="1512"/>
    <n v="4"/>
    <n v="6"/>
  </r>
  <r>
    <x v="2"/>
    <s v="Convenience stores"/>
    <x v="8"/>
    <s v="North Cascade"/>
    <s v="|45/04/04|"/>
    <n v="1356"/>
    <n v="5"/>
    <n v="7"/>
  </r>
  <r>
    <x v="2"/>
    <s v="Convenience stores"/>
    <x v="8"/>
    <s v="North Cascade"/>
    <s v="|45/04/08|"/>
    <n v="1356"/>
    <n v="4"/>
    <n v="6"/>
  </r>
  <r>
    <x v="2"/>
    <s v="Convenience stores"/>
    <x v="8"/>
    <s v="North Cascade"/>
    <s v="|45/04/09|"/>
    <n v="1332"/>
    <n v="4"/>
    <n v="7"/>
  </r>
  <r>
    <x v="2"/>
    <s v="Convenience stores"/>
    <x v="8"/>
    <s v="North Cascade"/>
    <s v="|45/04/10|"/>
    <n v="1428"/>
    <n v="4"/>
    <n v="7"/>
  </r>
  <r>
    <x v="2"/>
    <s v="Convenience stores"/>
    <x v="8"/>
    <s v="North Cascade"/>
    <s v="|45/04/11|"/>
    <n v="1344"/>
    <n v="4"/>
    <n v="6"/>
  </r>
  <r>
    <x v="2"/>
    <s v="Convenience stores"/>
    <x v="8"/>
    <s v="North Cascade"/>
    <s v="|45/04/12|"/>
    <n v="1548"/>
    <n v="4"/>
    <n v="7"/>
  </r>
  <r>
    <x v="2"/>
    <s v="Convenience stores"/>
    <x v="8"/>
    <s v="North Cascade"/>
    <s v="|45/04/13|"/>
    <n v="1452"/>
    <n v="5"/>
    <n v="7"/>
  </r>
  <r>
    <x v="2"/>
    <s v="Convenience stores"/>
    <x v="8"/>
    <s v="North Cascade"/>
    <s v="|45/04/14|"/>
    <n v="1488"/>
    <n v="4"/>
    <n v="7"/>
  </r>
  <r>
    <x v="2"/>
    <s v="Convenience stores"/>
    <x v="8"/>
    <s v="North Cascade"/>
    <s v="|45/04/21|"/>
    <n v="1380"/>
    <n v="5"/>
    <n v="6"/>
  </r>
  <r>
    <x v="2"/>
    <s v="Convenience stores"/>
    <x v="8"/>
    <s v="North Cascade"/>
    <s v="|45/04/22|"/>
    <n v="1500"/>
    <n v="5"/>
    <n v="6"/>
  </r>
  <r>
    <x v="2"/>
    <s v="Convenience stores"/>
    <x v="8"/>
    <s v="North Cascade"/>
    <s v="|45/04/23|"/>
    <n v="1344"/>
    <n v="4"/>
    <n v="7"/>
  </r>
  <r>
    <x v="2"/>
    <s v="Convenience stores"/>
    <x v="8"/>
    <s v="North Cascade"/>
    <s v="|45/04/31|"/>
    <n v="1512"/>
    <n v="4"/>
    <n v="6"/>
  </r>
  <r>
    <x v="2"/>
    <s v="Convenience stores"/>
    <x v="8"/>
    <s v="North Cascade"/>
    <s v="|45/04/32|"/>
    <n v="1392"/>
    <n v="5"/>
    <n v="6"/>
  </r>
  <r>
    <x v="2"/>
    <s v="Convenience stores"/>
    <x v="8"/>
    <s v="North Cascade"/>
    <s v="|45/04/33|"/>
    <n v="1368"/>
    <n v="4"/>
    <n v="6"/>
  </r>
  <r>
    <x v="2"/>
    <s v="Convenience stores"/>
    <x v="8"/>
    <s v="North Cascade"/>
    <s v="|45/04/41|"/>
    <n v="1452"/>
    <n v="5"/>
    <n v="7"/>
  </r>
  <r>
    <x v="2"/>
    <s v="Convenience stores"/>
    <x v="8"/>
    <s v="North Cascade"/>
    <s v="|45/04/88|"/>
    <n v="1536"/>
    <n v="4"/>
    <n v="7"/>
  </r>
  <r>
    <x v="2"/>
    <s v="Convenience stores"/>
    <x v="8"/>
    <s v="North Cascade"/>
    <s v="|45/04/90|"/>
    <n v="1356"/>
    <n v="4"/>
    <n v="6"/>
  </r>
  <r>
    <x v="2"/>
    <s v="Convenience stores"/>
    <x v="8"/>
    <s v="North Cascade"/>
    <s v="|45/04/91|"/>
    <n v="1416"/>
    <n v="5"/>
    <n v="6"/>
  </r>
  <r>
    <x v="2"/>
    <s v="Convenience stores"/>
    <x v="8"/>
    <s v="North Cascade"/>
    <s v="|45/04/92|"/>
    <n v="1428"/>
    <n v="5"/>
    <n v="7"/>
  </r>
  <r>
    <x v="2"/>
    <s v="Convenience stores"/>
    <x v="8"/>
    <s v="North Cascade"/>
    <s v="|45/04/93|"/>
    <n v="1500"/>
    <n v="4"/>
    <n v="7"/>
  </r>
  <r>
    <x v="2"/>
    <s v="Convenience stores"/>
    <x v="8"/>
    <s v="North Cascade"/>
    <s v="|45/04/94|"/>
    <n v="1500"/>
    <n v="4"/>
    <n v="6"/>
  </r>
  <r>
    <x v="2"/>
    <s v="Convenience stores"/>
    <x v="8"/>
    <s v="North Cascade"/>
    <s v="|45/04/95|"/>
    <n v="1452"/>
    <n v="5"/>
    <n v="7"/>
  </r>
  <r>
    <x v="2"/>
    <s v="Convenience stores"/>
    <x v="8"/>
    <s v="North Cascade"/>
    <s v="|45/04/99|"/>
    <n v="1452"/>
    <n v="4"/>
    <n v="6"/>
  </r>
  <r>
    <x v="2"/>
    <s v="Convenience stores"/>
    <x v="8"/>
    <s v="North Cascade"/>
    <s v="|45/05/01|"/>
    <n v="1332"/>
    <n v="4"/>
    <n v="7"/>
  </r>
  <r>
    <x v="2"/>
    <s v="Convenience stores"/>
    <x v="8"/>
    <s v="North Cascade"/>
    <s v="|45/05/02|"/>
    <n v="1356"/>
    <n v="4"/>
    <n v="6"/>
  </r>
  <r>
    <x v="2"/>
    <s v="Convenience stores"/>
    <x v="8"/>
    <s v="North Cascade"/>
    <s v="|45/05/03|"/>
    <n v="1392"/>
    <n v="5"/>
    <n v="6"/>
  </r>
  <r>
    <x v="2"/>
    <s v="Convenience stores"/>
    <x v="8"/>
    <s v="North Cascade"/>
    <s v="|45/05/04|"/>
    <n v="1500"/>
    <n v="4"/>
    <n v="7"/>
  </r>
  <r>
    <x v="2"/>
    <s v="Convenience stores"/>
    <x v="8"/>
    <s v="North Cascade"/>
    <s v="|45/05/05|"/>
    <n v="1320"/>
    <n v="5"/>
    <n v="7"/>
  </r>
  <r>
    <x v="2"/>
    <s v="Convenience stores"/>
    <x v="8"/>
    <s v="North Cascade"/>
    <s v="|45/05/06|"/>
    <n v="1404"/>
    <n v="4"/>
    <n v="7"/>
  </r>
  <r>
    <x v="2"/>
    <s v="Convenience stores"/>
    <x v="8"/>
    <s v="North Cascade"/>
    <s v="|45/05/07|"/>
    <n v="1548"/>
    <n v="4"/>
    <n v="6"/>
  </r>
  <r>
    <x v="2"/>
    <s v="Convenience stores"/>
    <x v="8"/>
    <s v="North Cascade"/>
    <s v="|45/06/01|"/>
    <n v="1452"/>
    <n v="5"/>
    <n v="6"/>
  </r>
  <r>
    <x v="2"/>
    <s v="Convenience stores"/>
    <x v="8"/>
    <s v="North Cascade"/>
    <s v="|45/06/03|"/>
    <n v="1332"/>
    <n v="5"/>
    <n v="6"/>
  </r>
  <r>
    <x v="2"/>
    <s v="Convenience stores"/>
    <x v="8"/>
    <s v="North Cascade"/>
    <s v="|45/06/04|"/>
    <n v="1476"/>
    <n v="4"/>
    <n v="7"/>
  </r>
  <r>
    <x v="2"/>
    <s v="Convenience stores"/>
    <x v="8"/>
    <s v="North Cascade"/>
    <s v="|45/06/05|"/>
    <n v="1332"/>
    <n v="5"/>
    <n v="6"/>
  </r>
  <r>
    <x v="2"/>
    <s v="Convenience stores"/>
    <x v="8"/>
    <s v="North Cascade"/>
    <s v="|45/07/01|"/>
    <n v="1416"/>
    <n v="4"/>
    <n v="7"/>
  </r>
  <r>
    <x v="2"/>
    <s v="Convenience stores"/>
    <x v="8"/>
    <s v="North Cascade"/>
    <s v="|45/07/02|"/>
    <n v="1524"/>
    <n v="4"/>
    <n v="6"/>
  </r>
  <r>
    <x v="2"/>
    <s v="Convenience stores"/>
    <x v="8"/>
    <s v="North Cascade"/>
    <s v="|45/07/03|"/>
    <n v="1404"/>
    <n v="5"/>
    <n v="6"/>
  </r>
  <r>
    <x v="2"/>
    <s v="Convenience stores"/>
    <x v="8"/>
    <s v="North Cascade"/>
    <s v="|45/07/04|"/>
    <n v="1512"/>
    <n v="4"/>
    <n v="6"/>
  </r>
  <r>
    <x v="2"/>
    <s v="Convenience stores"/>
    <x v="8"/>
    <s v="North Cascade"/>
    <s v="|45/07/05|"/>
    <n v="1332"/>
    <n v="4"/>
    <n v="7"/>
  </r>
  <r>
    <x v="2"/>
    <s v="Convenience stores"/>
    <x v="8"/>
    <s v="North Cascade"/>
    <s v="|45/07/06|"/>
    <n v="1476"/>
    <n v="4"/>
    <n v="6"/>
  </r>
  <r>
    <x v="2"/>
    <s v="Convenience stores"/>
    <x v="8"/>
    <s v="North Cascade"/>
    <s v="|45/07/07|"/>
    <n v="1320"/>
    <n v="5"/>
    <n v="6"/>
  </r>
  <r>
    <x v="2"/>
    <s v="Convenience stores"/>
    <x v="8"/>
    <s v="North Cascade"/>
    <s v="|45/07/08|"/>
    <n v="1380"/>
    <n v="5"/>
    <n v="7"/>
  </r>
  <r>
    <x v="2"/>
    <s v="Convenience stores"/>
    <x v="8"/>
    <s v="North Cascade"/>
    <s v="|45/07/09|"/>
    <n v="1548"/>
    <n v="4"/>
    <n v="6"/>
  </r>
  <r>
    <x v="2"/>
    <s v="Convenience stores"/>
    <x v="8"/>
    <s v="North Cascade"/>
    <s v="|45/07/10|"/>
    <n v="1560"/>
    <n v="5"/>
    <n v="6"/>
  </r>
  <r>
    <x v="2"/>
    <s v="Convenience stores"/>
    <x v="8"/>
    <s v="North Cascade"/>
    <s v="|45/20/01|"/>
    <n v="1500"/>
    <n v="5"/>
    <n v="6"/>
  </r>
  <r>
    <x v="2"/>
    <s v="Convenience stores"/>
    <x v="8"/>
    <s v="North Cascade"/>
    <s v="|45/20/02|"/>
    <n v="1476"/>
    <n v="5"/>
    <n v="6"/>
  </r>
  <r>
    <x v="2"/>
    <s v="Convenience stores"/>
    <x v="8"/>
    <s v="North Cascade"/>
    <s v="|45/20/03|"/>
    <n v="1392"/>
    <n v="4"/>
    <n v="7"/>
  </r>
  <r>
    <x v="2"/>
    <s v="Convenience stores"/>
    <x v="8"/>
    <s v="North Cascade"/>
    <s v="|45/20/04|"/>
    <n v="1464"/>
    <n v="5"/>
    <n v="6"/>
  </r>
  <r>
    <x v="2"/>
    <s v="Convenience stores"/>
    <x v="8"/>
    <s v="North Cascade"/>
    <s v="|45/20/05|"/>
    <n v="1404"/>
    <n v="5"/>
    <n v="6"/>
  </r>
  <r>
    <x v="2"/>
    <s v="Convenience stores"/>
    <x v="8"/>
    <s v="North Cascade"/>
    <s v="|45/20/06|"/>
    <n v="1548"/>
    <n v="4"/>
    <n v="6"/>
  </r>
  <r>
    <x v="2"/>
    <s v="Convenience stores"/>
    <x v="8"/>
    <s v="North Cascade"/>
    <s v="|45/20/07|"/>
    <n v="1356"/>
    <n v="5"/>
    <n v="6"/>
  </r>
  <r>
    <x v="2"/>
    <s v="Convenience stores"/>
    <x v="8"/>
    <s v="North Cascade"/>
    <s v="|45/20/08|"/>
    <n v="1548"/>
    <n v="4"/>
    <n v="6"/>
  </r>
  <r>
    <x v="2"/>
    <s v="Convenience stores"/>
    <x v="8"/>
    <s v="North Cascade"/>
    <s v="|45/20/09|"/>
    <n v="1404"/>
    <n v="5"/>
    <n v="6"/>
  </r>
  <r>
    <x v="2"/>
    <s v="Convenience stores"/>
    <x v="8"/>
    <s v="North Cascade"/>
    <s v="|45/20/10|"/>
    <n v="1548"/>
    <n v="5"/>
    <n v="6"/>
  </r>
  <r>
    <x v="2"/>
    <s v="Convenience stores"/>
    <x v="8"/>
    <s v="North Cascade"/>
    <s v="|45/20/11|"/>
    <n v="1428"/>
    <n v="4"/>
    <n v="7"/>
  </r>
  <r>
    <x v="2"/>
    <s v="Convenience stores"/>
    <x v="8"/>
    <s v="North Cascade"/>
    <s v="|45/20/12|"/>
    <n v="1500"/>
    <n v="4"/>
    <n v="6"/>
  </r>
  <r>
    <x v="2"/>
    <s v="Convenience stores"/>
    <x v="8"/>
    <s v="North Cascade"/>
    <s v="|45/20/13|"/>
    <n v="1536"/>
    <n v="4"/>
    <n v="6"/>
  </r>
  <r>
    <x v="2"/>
    <s v="Convenience stores"/>
    <x v="8"/>
    <s v="North Cascade"/>
    <s v="|45/20/14|"/>
    <n v="1464"/>
    <n v="4"/>
    <n v="7"/>
  </r>
  <r>
    <x v="2"/>
    <s v="Convenience stores"/>
    <x v="8"/>
    <s v="North Cascade"/>
    <s v="|45/20/15|"/>
    <n v="1464"/>
    <n v="4"/>
    <n v="6"/>
  </r>
  <r>
    <x v="2"/>
    <s v="Convenience stores"/>
    <x v="8"/>
    <s v="North Cascade"/>
    <s v="|45/20/16|"/>
    <n v="1380"/>
    <n v="5"/>
    <n v="6"/>
  </r>
  <r>
    <x v="2"/>
    <s v="Convenience stores"/>
    <x v="8"/>
    <s v="North Cascade"/>
    <s v="|45/20/17|"/>
    <n v="1320"/>
    <n v="5"/>
    <n v="7"/>
  </r>
  <r>
    <x v="2"/>
    <s v="Convenience stores"/>
    <x v="8"/>
    <s v="North Cascade"/>
    <s v="|45/20/18|"/>
    <n v="1416"/>
    <n v="4"/>
    <n v="7"/>
  </r>
  <r>
    <x v="2"/>
    <s v="Convenience stores"/>
    <x v="8"/>
    <s v="North Cascade"/>
    <s v="|45/20/19|"/>
    <n v="1464"/>
    <n v="4"/>
    <n v="6"/>
  </r>
  <r>
    <x v="2"/>
    <s v="Convenience stores"/>
    <x v="8"/>
    <s v="North Cascade"/>
    <s v="|45/20/20|"/>
    <n v="1344"/>
    <n v="4"/>
    <n v="7"/>
  </r>
  <r>
    <x v="2"/>
    <s v="Convenience stores"/>
    <x v="8"/>
    <s v="North Cascade"/>
    <s v="|45/20/21|"/>
    <n v="1560"/>
    <n v="4"/>
    <n v="7"/>
  </r>
  <r>
    <x v="2"/>
    <s v="Convenience stores"/>
    <x v="8"/>
    <s v="North Cascade"/>
    <s v="|45/20/22|"/>
    <n v="1524"/>
    <n v="4"/>
    <n v="6"/>
  </r>
  <r>
    <x v="2"/>
    <s v="Convenience stores"/>
    <x v="8"/>
    <s v="North Cascade"/>
    <s v="|45/20/23|"/>
    <n v="1560"/>
    <n v="4"/>
    <n v="7"/>
  </r>
  <r>
    <x v="2"/>
    <s v="Convenience stores"/>
    <x v="8"/>
    <s v="North Cascade"/>
    <s v="|45/20/24|"/>
    <n v="1560"/>
    <n v="4"/>
    <n v="6"/>
  </r>
  <r>
    <x v="2"/>
    <s v="Convenience stores"/>
    <x v="8"/>
    <s v="North Cascade"/>
    <s v="|45/20/25|"/>
    <n v="1536"/>
    <n v="4"/>
    <n v="6"/>
  </r>
  <r>
    <x v="2"/>
    <s v="Convenience stores"/>
    <x v="8"/>
    <s v="North Cascade"/>
    <s v="|45/20/26|"/>
    <n v="1464"/>
    <n v="4"/>
    <n v="6"/>
  </r>
  <r>
    <x v="2"/>
    <s v="Convenience stores"/>
    <x v="8"/>
    <s v="North Cascade"/>
    <s v="|45/20/27|"/>
    <n v="1356"/>
    <n v="5"/>
    <n v="7"/>
  </r>
  <r>
    <x v="2"/>
    <s v="Convenience stores"/>
    <x v="8"/>
    <s v="North Cascade"/>
    <s v="|45/20/28|"/>
    <n v="1416"/>
    <n v="4"/>
    <n v="6"/>
  </r>
  <r>
    <x v="2"/>
    <s v="Convenience stores"/>
    <x v="8"/>
    <s v="North Cascade"/>
    <s v="|45/20/29|"/>
    <n v="1452"/>
    <n v="4"/>
    <n v="6"/>
  </r>
  <r>
    <x v="2"/>
    <s v="Convenience stores"/>
    <x v="8"/>
    <s v="North Cascade"/>
    <s v="|45/20/30|"/>
    <n v="1332"/>
    <n v="5"/>
    <n v="6"/>
  </r>
  <r>
    <x v="2"/>
    <s v="Convenience stores"/>
    <x v="8"/>
    <s v="North Cascade"/>
    <s v="|45/20/31|"/>
    <n v="1536"/>
    <n v="4"/>
    <n v="6"/>
  </r>
  <r>
    <x v="2"/>
    <s v="Convenience stores"/>
    <x v="8"/>
    <s v="North Cascade"/>
    <s v="|45/20/32|"/>
    <n v="1524"/>
    <n v="4"/>
    <n v="7"/>
  </r>
  <r>
    <x v="2"/>
    <s v="Convenience stores"/>
    <x v="8"/>
    <s v="North Cascade"/>
    <s v="|45/20/33|"/>
    <n v="1332"/>
    <n v="4"/>
    <n v="7"/>
  </r>
  <r>
    <x v="2"/>
    <s v="Convenience stores"/>
    <x v="8"/>
    <s v="North Cascade"/>
    <s v="|45/20/34|"/>
    <n v="1560"/>
    <n v="4"/>
    <n v="6"/>
  </r>
  <r>
    <x v="2"/>
    <s v="Convenience stores"/>
    <x v="8"/>
    <s v="North Cascade"/>
    <s v="|45/20/36|"/>
    <n v="1500"/>
    <n v="4"/>
    <n v="7"/>
  </r>
  <r>
    <x v="2"/>
    <s v="Convenience stores"/>
    <x v="8"/>
    <s v="North Cascade"/>
    <s v="|45/20/37|"/>
    <n v="1548"/>
    <n v="5"/>
    <n v="7"/>
  </r>
  <r>
    <x v="2"/>
    <s v="Convenience stores"/>
    <x v="8"/>
    <s v="North Cascade"/>
    <s v="|45/20/38|"/>
    <n v="1356"/>
    <n v="4"/>
    <n v="6"/>
  </r>
  <r>
    <x v="2"/>
    <s v="Convenience stores"/>
    <x v="8"/>
    <s v="North Cascade"/>
    <s v="|45/20/39|"/>
    <n v="1380"/>
    <n v="5"/>
    <n v="6"/>
  </r>
  <r>
    <x v="2"/>
    <s v="Convenience stores"/>
    <x v="8"/>
    <s v="North Cascade"/>
    <s v="|45/20/40|"/>
    <n v="1368"/>
    <n v="5"/>
    <n v="7"/>
  </r>
  <r>
    <x v="2"/>
    <s v="Convenience stores"/>
    <x v="8"/>
    <s v="North Cascade"/>
    <s v="|45/20/41|"/>
    <n v="1536"/>
    <n v="5"/>
    <n v="6"/>
  </r>
  <r>
    <x v="2"/>
    <s v="Convenience stores"/>
    <x v="8"/>
    <s v="North Cascade"/>
    <s v="|45/20/42|"/>
    <n v="1404"/>
    <n v="4"/>
    <n v="7"/>
  </r>
  <r>
    <x v="2"/>
    <s v="Convenience stores"/>
    <x v="8"/>
    <s v="North Cascade"/>
    <s v="|45/20/43|"/>
    <n v="1320"/>
    <n v="4"/>
    <n v="6"/>
  </r>
  <r>
    <x v="2"/>
    <s v="Convenience stores"/>
    <x v="8"/>
    <s v="North Cascade"/>
    <s v="|45/20/45|"/>
    <n v="1320"/>
    <n v="5"/>
    <n v="6"/>
  </r>
  <r>
    <x v="2"/>
    <s v="Convenience stores"/>
    <x v="8"/>
    <s v="North Cascade"/>
    <s v="|45/20/46|"/>
    <n v="1488"/>
    <n v="5"/>
    <n v="6"/>
  </r>
  <r>
    <x v="2"/>
    <s v="Convenience stores"/>
    <x v="8"/>
    <s v="North Cascade"/>
    <s v="|45/20/47|"/>
    <n v="1344"/>
    <n v="4"/>
    <n v="6"/>
  </r>
  <r>
    <x v="2"/>
    <s v="Convenience stores"/>
    <x v="8"/>
    <s v="North Cascade"/>
    <s v="|45/20/48|"/>
    <n v="1476"/>
    <n v="4"/>
    <n v="7"/>
  </r>
  <r>
    <x v="2"/>
    <s v="Convenience stores"/>
    <x v="8"/>
    <s v="North Cascade"/>
    <s v="|45/20/49|"/>
    <n v="1344"/>
    <n v="5"/>
    <n v="7"/>
  </r>
  <r>
    <x v="2"/>
    <s v="Convenience stores"/>
    <x v="8"/>
    <s v="North Cascade"/>
    <s v="|45/20/50|"/>
    <n v="1452"/>
    <n v="4"/>
    <n v="7"/>
  </r>
  <r>
    <x v="2"/>
    <s v="Convenience stores"/>
    <x v="8"/>
    <s v="North Cascade"/>
    <s v="|45/20/51|"/>
    <n v="1344"/>
    <n v="4"/>
    <n v="7"/>
  </r>
  <r>
    <x v="2"/>
    <s v="Convenience stores"/>
    <x v="8"/>
    <s v="North Cascade"/>
    <s v="|45/20/52|"/>
    <n v="1416"/>
    <n v="4"/>
    <n v="6"/>
  </r>
  <r>
    <x v="2"/>
    <s v="Convenience stores"/>
    <x v="8"/>
    <s v="North Cascade"/>
    <s v="|45/20/53|"/>
    <n v="1380"/>
    <n v="4"/>
    <n v="7"/>
  </r>
  <r>
    <x v="2"/>
    <s v="Convenience stores"/>
    <x v="8"/>
    <s v="North Cascade"/>
    <s v="|45/20/54|"/>
    <n v="1500"/>
    <n v="5"/>
    <n v="6"/>
  </r>
  <r>
    <x v="2"/>
    <s v="Convenience stores"/>
    <x v="8"/>
    <s v="North Cascade"/>
    <s v="|45/20/55|"/>
    <n v="1344"/>
    <n v="4"/>
    <n v="7"/>
  </r>
  <r>
    <x v="2"/>
    <s v="Convenience stores"/>
    <x v="8"/>
    <s v="North Cascade"/>
    <s v="|45/20/56|"/>
    <n v="1536"/>
    <n v="4"/>
    <n v="6"/>
  </r>
  <r>
    <x v="2"/>
    <s v="Convenience stores"/>
    <x v="8"/>
    <s v="North Cascade"/>
    <s v="|45/20/57|"/>
    <n v="1380"/>
    <n v="5"/>
    <n v="7"/>
  </r>
  <r>
    <x v="2"/>
    <s v="Convenience stores"/>
    <x v="8"/>
    <s v="North Cascade"/>
    <s v="|45/20/58|"/>
    <n v="1452"/>
    <n v="5"/>
    <n v="6"/>
  </r>
  <r>
    <x v="2"/>
    <s v="Convenience stores"/>
    <x v="8"/>
    <s v="North Cascade"/>
    <s v="|45/20/59|"/>
    <n v="1392"/>
    <n v="4"/>
    <n v="7"/>
  </r>
  <r>
    <x v="2"/>
    <s v="Convenience stores"/>
    <x v="8"/>
    <s v="North Cascade"/>
    <s v="|45/20/60|"/>
    <n v="1356"/>
    <n v="4"/>
    <n v="6"/>
  </r>
  <r>
    <x v="2"/>
    <s v="Convenience stores"/>
    <x v="8"/>
    <s v="North Cascade"/>
    <s v="|45/20/61|"/>
    <n v="1560"/>
    <n v="4"/>
    <n v="6"/>
  </r>
  <r>
    <x v="2"/>
    <s v="Convenience stores"/>
    <x v="8"/>
    <s v="North Cascade"/>
    <s v="|45/20/62|"/>
    <n v="1452"/>
    <n v="4"/>
    <n v="7"/>
  </r>
  <r>
    <x v="2"/>
    <s v="Convenience stores"/>
    <x v="8"/>
    <s v="North Cascade"/>
    <s v="|45/20/63|"/>
    <n v="1464"/>
    <n v="4"/>
    <n v="6"/>
  </r>
  <r>
    <x v="2"/>
    <s v="Convenience stores"/>
    <x v="8"/>
    <s v="North Cascade"/>
    <s v="|45/20/64|"/>
    <n v="1356"/>
    <n v="5"/>
    <n v="6"/>
  </r>
  <r>
    <x v="2"/>
    <s v="Convenience stores"/>
    <x v="8"/>
    <s v="North Cascade"/>
    <s v="|45/20/65|"/>
    <n v="1464"/>
    <n v="5"/>
    <n v="6"/>
  </r>
  <r>
    <x v="2"/>
    <s v="Convenience stores"/>
    <x v="8"/>
    <s v="North Cascade"/>
    <s v="|45/20/66|"/>
    <n v="1332"/>
    <n v="5"/>
    <n v="6"/>
  </r>
  <r>
    <x v="2"/>
    <s v="Convenience stores"/>
    <x v="8"/>
    <s v="North Cascade"/>
    <s v="|45/20/67|"/>
    <n v="1476"/>
    <n v="5"/>
    <n v="6"/>
  </r>
  <r>
    <x v="2"/>
    <s v="Convenience stores"/>
    <x v="8"/>
    <s v="North Cascade"/>
    <s v="|45/20/68|"/>
    <n v="1560"/>
    <n v="5"/>
    <n v="6"/>
  </r>
  <r>
    <x v="2"/>
    <s v="Convenience stores"/>
    <x v="8"/>
    <s v="North Cascade"/>
    <s v="|45/20/69|"/>
    <n v="1332"/>
    <n v="5"/>
    <n v="7"/>
  </r>
  <r>
    <x v="2"/>
    <s v="Convenience stores"/>
    <x v="8"/>
    <s v="North Cascade"/>
    <s v="|45/20/70|"/>
    <n v="1488"/>
    <n v="4"/>
    <n v="7"/>
  </r>
  <r>
    <x v="2"/>
    <s v="Convenience stores"/>
    <x v="8"/>
    <s v="North Cascade"/>
    <s v="|45/20/71|"/>
    <n v="1428"/>
    <n v="5"/>
    <n v="6"/>
  </r>
  <r>
    <x v="2"/>
    <s v="Convenience stores"/>
    <x v="8"/>
    <s v="North Cascade"/>
    <s v="|45/20/72|"/>
    <n v="1452"/>
    <n v="4"/>
    <n v="6"/>
  </r>
  <r>
    <x v="2"/>
    <s v="Convenience stores"/>
    <x v="8"/>
    <s v="North Cascade"/>
    <s v="|45/20/73|"/>
    <n v="1548"/>
    <n v="4"/>
    <n v="7"/>
  </r>
  <r>
    <x v="2"/>
    <s v="Convenience stores"/>
    <x v="8"/>
    <s v="North Cascade"/>
    <s v="|45/20/74|"/>
    <n v="1344"/>
    <n v="4"/>
    <n v="7"/>
  </r>
  <r>
    <x v="2"/>
    <s v="Convenience stores"/>
    <x v="8"/>
    <s v="North Cascade"/>
    <s v="|45/20/75|"/>
    <n v="1392"/>
    <n v="4"/>
    <n v="7"/>
  </r>
  <r>
    <x v="2"/>
    <s v="Convenience stores"/>
    <x v="8"/>
    <s v="North Cascade"/>
    <s v="|45/20/76|"/>
    <n v="1332"/>
    <n v="4"/>
    <n v="7"/>
  </r>
  <r>
    <x v="2"/>
    <s v="Convenience stores"/>
    <x v="8"/>
    <s v="North Cascade"/>
    <s v="|45/20/77|"/>
    <n v="1380"/>
    <n v="5"/>
    <n v="6"/>
  </r>
  <r>
    <x v="2"/>
    <s v="Convenience stores"/>
    <x v="8"/>
    <s v="North Cascade"/>
    <s v="|45/20/78|"/>
    <n v="1464"/>
    <n v="5"/>
    <n v="6"/>
  </r>
  <r>
    <x v="2"/>
    <s v="Convenience stores"/>
    <x v="8"/>
    <s v="North Cascade"/>
    <s v="|45/20/79|"/>
    <n v="1488"/>
    <n v="4"/>
    <n v="7"/>
  </r>
  <r>
    <x v="2"/>
    <s v="Convenience stores"/>
    <x v="8"/>
    <s v="North Cascade"/>
    <s v="|45/20/80|"/>
    <n v="1380"/>
    <n v="4"/>
    <n v="6"/>
  </r>
  <r>
    <x v="2"/>
    <s v="Convenience stores"/>
    <x v="8"/>
    <s v="North Cascade"/>
    <s v="|45/20/81|"/>
    <n v="1368"/>
    <n v="5"/>
    <n v="7"/>
  </r>
  <r>
    <x v="2"/>
    <s v="Convenience stores"/>
    <x v="8"/>
    <s v="North Cascade"/>
    <s v="|45/20/82|"/>
    <n v="1500"/>
    <n v="5"/>
    <n v="7"/>
  </r>
  <r>
    <x v="2"/>
    <s v="Convenience stores"/>
    <x v="8"/>
    <s v="North Cascade"/>
    <s v="|45/21/01|"/>
    <n v="1344"/>
    <n v="5"/>
    <n v="7"/>
  </r>
  <r>
    <x v="2"/>
    <s v="Convenience stores"/>
    <x v="8"/>
    <s v="North Cascade"/>
    <s v="|45/21/40|"/>
    <n v="1440"/>
    <n v="4"/>
    <n v="6"/>
  </r>
  <r>
    <x v="2"/>
    <s v="Convenience stores"/>
    <x v="8"/>
    <s v="North Cascade"/>
    <s v="|45/50/49|"/>
    <n v="1404"/>
    <n v="4"/>
    <n v="6"/>
  </r>
  <r>
    <x v="2"/>
    <s v="Convenience stores"/>
    <x v="8"/>
    <s v="North Cascade"/>
    <s v="|50/01/01|"/>
    <n v="1464"/>
    <n v="5"/>
    <n v="7"/>
  </r>
  <r>
    <x v="2"/>
    <s v="Convenience stores"/>
    <x v="8"/>
    <s v="North Cascade"/>
    <s v="|50/01/03|"/>
    <n v="1320"/>
    <n v="4"/>
    <n v="6"/>
  </r>
  <r>
    <x v="2"/>
    <s v="Convenience stores"/>
    <x v="8"/>
    <s v="North Cascade"/>
    <s v="|50/01/05|"/>
    <n v="1344"/>
    <n v="4"/>
    <n v="7"/>
  </r>
  <r>
    <x v="2"/>
    <s v="Convenience stores"/>
    <x v="8"/>
    <s v="North Cascade"/>
    <s v="|50/01/06|"/>
    <n v="1416"/>
    <n v="4"/>
    <n v="7"/>
  </r>
  <r>
    <x v="2"/>
    <s v="Convenience stores"/>
    <x v="8"/>
    <s v="North Cascade"/>
    <s v="|50/01/07|"/>
    <n v="1512"/>
    <n v="4"/>
    <n v="7"/>
  </r>
  <r>
    <x v="2"/>
    <s v="Convenience stores"/>
    <x v="8"/>
    <s v="North Cascade"/>
    <s v="|50/01/08|"/>
    <n v="1464"/>
    <n v="4"/>
    <n v="7"/>
  </r>
  <r>
    <x v="2"/>
    <s v="Convenience stores"/>
    <x v="8"/>
    <s v="North Cascade"/>
    <s v="|45/01/101|"/>
    <n v="1320"/>
    <n v="5"/>
    <n v="7"/>
  </r>
  <r>
    <x v="2"/>
    <s v="Convenience stores"/>
    <x v="8"/>
    <s v="North Cascade"/>
    <s v="|45/01/102|"/>
    <n v="1392"/>
    <n v="5"/>
    <n v="6"/>
  </r>
  <r>
    <x v="2"/>
    <s v="Convenience stores"/>
    <x v="8"/>
    <s v="North Cascade"/>
    <s v="|45/01/103|"/>
    <n v="1344"/>
    <n v="5"/>
    <n v="6"/>
  </r>
  <r>
    <x v="2"/>
    <s v="Convenience stores"/>
    <x v="8"/>
    <s v="North Cascade"/>
    <s v="|45/01/104|"/>
    <n v="1380"/>
    <n v="5"/>
    <n v="7"/>
  </r>
  <r>
    <x v="2"/>
    <s v="Convenience stores"/>
    <x v="8"/>
    <s v="North Cascade"/>
    <s v="|45/02/101|"/>
    <n v="1512"/>
    <n v="5"/>
    <n v="7"/>
  </r>
  <r>
    <x v="2"/>
    <s v="Convenience stores"/>
    <x v="8"/>
    <s v="North Cascade"/>
    <s v="|45/02/102|"/>
    <n v="1488"/>
    <n v="5"/>
    <n v="6"/>
  </r>
  <r>
    <x v="2"/>
    <s v="Convenience stores"/>
    <x v="8"/>
    <s v="North Cascade"/>
    <s v="|45/02/103|"/>
    <n v="1452"/>
    <n v="4"/>
    <n v="6"/>
  </r>
  <r>
    <x v="2"/>
    <s v="Convenience stores"/>
    <x v="8"/>
    <s v="North Cascade"/>
    <s v="|45/03/101|"/>
    <n v="1320"/>
    <n v="5"/>
    <n v="7"/>
  </r>
  <r>
    <x v="2"/>
    <s v="Convenience stores"/>
    <x v="8"/>
    <s v="North Cascade"/>
    <s v="|45/03/103|"/>
    <n v="1332"/>
    <n v="5"/>
    <n v="7"/>
  </r>
  <r>
    <x v="2"/>
    <s v="Convenience stores"/>
    <x v="8"/>
    <s v="North Cascade"/>
    <s v="|45/03/104|"/>
    <n v="1536"/>
    <n v="5"/>
    <n v="7"/>
  </r>
  <r>
    <x v="2"/>
    <s v="Convenience stores"/>
    <x v="8"/>
    <s v="North Cascade"/>
    <s v="|45/04/101|"/>
    <n v="1368"/>
    <n v="4"/>
    <n v="6"/>
  </r>
  <r>
    <x v="2"/>
    <s v="Convenience stores"/>
    <x v="8"/>
    <s v="North Cascade"/>
    <s v="|45/04/102|"/>
    <n v="1440"/>
    <n v="5"/>
    <n v="6"/>
  </r>
  <r>
    <x v="2"/>
    <s v="Convenience stores"/>
    <x v="8"/>
    <s v="North Cascade"/>
    <s v="|45/04/103|"/>
    <n v="1488"/>
    <n v="5"/>
    <n v="7"/>
  </r>
  <r>
    <x v="2"/>
    <s v="Convenience stores"/>
    <x v="8"/>
    <s v="North Cascade"/>
    <s v="|45/04/112|"/>
    <n v="1344"/>
    <n v="5"/>
    <n v="7"/>
  </r>
  <r>
    <x v="2"/>
    <s v="Convenience stores"/>
    <x v="8"/>
    <s v="North Cascade"/>
    <s v="|45/06/101|"/>
    <n v="1320"/>
    <n v="4"/>
    <n v="6"/>
  </r>
  <r>
    <x v="2"/>
    <s v="Convenience stores"/>
    <x v="8"/>
    <s v="North Cascade"/>
    <s v="|45/06/103|"/>
    <n v="1416"/>
    <n v="4"/>
    <n v="6"/>
  </r>
  <r>
    <x v="2"/>
    <s v="Convenience stores"/>
    <x v="8"/>
    <s v="North Cascade"/>
    <s v="|45/07/108|"/>
    <n v="1368"/>
    <n v="4"/>
    <n v="7"/>
  </r>
  <r>
    <x v="2"/>
    <s v="Convenience stores"/>
    <x v="8"/>
    <s v="North Cascade"/>
    <s v="|45/07/110|"/>
    <n v="1428"/>
    <n v="4"/>
    <n v="6"/>
  </r>
  <r>
    <x v="2"/>
    <s v="Convenience stores"/>
    <x v="8"/>
    <s v="North Cascade"/>
    <s v="|45/20/101|"/>
    <n v="1548"/>
    <n v="4"/>
    <n v="7"/>
  </r>
  <r>
    <x v="2"/>
    <s v="Convenience stores"/>
    <x v="8"/>
    <s v="North Cascade"/>
    <s v="|45/20/102|"/>
    <n v="1524"/>
    <n v="4"/>
    <n v="7"/>
  </r>
  <r>
    <x v="2"/>
    <s v="Convenience stores"/>
    <x v="8"/>
    <s v="North Cascade"/>
    <s v="|45/20/103|"/>
    <n v="1560"/>
    <n v="5"/>
    <n v="6"/>
  </r>
  <r>
    <x v="2"/>
    <s v="Convenience stores"/>
    <x v="8"/>
    <s v="North Cascade"/>
    <s v="|45/04/881|"/>
    <n v="1428"/>
    <n v="5"/>
    <n v="6"/>
  </r>
  <r>
    <x v="2"/>
    <s v="Convenience stores"/>
    <x v="8"/>
    <s v="North Cascade"/>
    <s v="|45/20/901|"/>
    <n v="1332"/>
    <n v="5"/>
    <n v="7"/>
  </r>
  <r>
    <x v="2"/>
    <s v="Convenience stores"/>
    <x v="8"/>
    <s v="North Cascade"/>
    <s v="|45/20/911|"/>
    <n v="1440"/>
    <n v="5"/>
    <n v="7"/>
  </r>
  <r>
    <x v="2"/>
    <s v="Convenience stores"/>
    <x v="8"/>
    <s v="North Cascade"/>
    <s v="|45/20/921|"/>
    <n v="1536"/>
    <n v="4"/>
    <n v="7"/>
  </r>
  <r>
    <x v="2"/>
    <s v="Convenience stores"/>
    <x v="8"/>
    <s v="North Cascade"/>
    <s v="|45/20/931|"/>
    <n v="1356"/>
    <n v="4"/>
    <n v="6"/>
  </r>
  <r>
    <x v="2"/>
    <s v="Convenience stores"/>
    <x v="8"/>
    <s v="North Cascade"/>
    <s v="|45/20/932|"/>
    <n v="1332"/>
    <n v="4"/>
    <n v="7"/>
  </r>
  <r>
    <x v="2"/>
    <s v="Convenience stores"/>
    <x v="8"/>
    <s v="North Cascade"/>
    <s v="|45/20/933|"/>
    <n v="1368"/>
    <n v="4"/>
    <n v="7"/>
  </r>
  <r>
    <x v="2"/>
    <s v="Convenience stores"/>
    <x v="8"/>
    <s v="North Cascade"/>
    <s v="|45/20/934|"/>
    <n v="1416"/>
    <n v="4"/>
    <n v="6"/>
  </r>
  <r>
    <x v="2"/>
    <s v="Convenience stores"/>
    <x v="8"/>
    <s v="North Cascade"/>
    <s v="|45/20/941|"/>
    <n v="1476"/>
    <n v="4"/>
    <n v="7"/>
  </r>
  <r>
    <x v="2"/>
    <s v="Convenience stores"/>
    <x v="8"/>
    <s v="North Cascade"/>
    <s v="|45/20/950|"/>
    <n v="1320"/>
    <n v="4"/>
    <n v="6"/>
  </r>
  <r>
    <x v="2"/>
    <s v="Convenience stores"/>
    <x v="8"/>
    <s v="North Cascade"/>
    <s v="|45/20/951|"/>
    <n v="1452"/>
    <n v="4"/>
    <n v="6"/>
  </r>
  <r>
    <x v="2"/>
    <s v="Convenience stores"/>
    <x v="8"/>
    <s v="North Cascade"/>
    <s v="|45/20/952|"/>
    <n v="1524"/>
    <n v="5"/>
    <n v="6"/>
  </r>
  <r>
    <x v="2"/>
    <s v="Convenience stores"/>
    <x v="8"/>
    <s v="North Cascade"/>
    <s v="|45/20/953|"/>
    <n v="1452"/>
    <n v="5"/>
    <n v="6"/>
  </r>
  <r>
    <x v="2"/>
    <s v="Convenience stores"/>
    <x v="8"/>
    <s v="North Cascade"/>
    <s v="|45/20/954|"/>
    <n v="1500"/>
    <n v="4"/>
    <n v="7"/>
  </r>
  <r>
    <x v="2"/>
    <s v="Convenience stores"/>
    <x v="8"/>
    <s v="North Cascade"/>
    <s v="|45/20/955|"/>
    <n v="1416"/>
    <n v="5"/>
    <n v="7"/>
  </r>
  <r>
    <x v="2"/>
    <s v="Convenience stores"/>
    <x v="8"/>
    <s v="North Cascade"/>
    <s v="|45/20/956|"/>
    <n v="1368"/>
    <n v="4"/>
    <n v="6"/>
  </r>
  <r>
    <x v="2"/>
    <s v="Convenience stores"/>
    <x v="8"/>
    <s v="North Cascade"/>
    <s v="|45/20/957|"/>
    <n v="1536"/>
    <n v="4"/>
    <n v="7"/>
  </r>
  <r>
    <x v="2"/>
    <s v="Convenience stores"/>
    <x v="8"/>
    <s v="North Cascade"/>
    <s v="|45/20/958|"/>
    <n v="1344"/>
    <n v="5"/>
    <n v="7"/>
  </r>
  <r>
    <x v="2"/>
    <s v="Convenience stores"/>
    <x v="7"/>
    <s v="Earthbound"/>
    <s v="|99/04/01|"/>
    <n v="864"/>
    <n v="2.0499999999999998"/>
    <n v="3.9"/>
  </r>
  <r>
    <x v="2"/>
    <s v="Convenience stores"/>
    <x v="7"/>
    <s v="Earthbound"/>
    <s v="|99/04/02|"/>
    <n v="660"/>
    <n v="2.37"/>
    <n v="3.53"/>
  </r>
  <r>
    <x v="2"/>
    <s v="Convenience stores"/>
    <x v="7"/>
    <s v="Earthbound"/>
    <s v="|99/04/03|"/>
    <n v="1020"/>
    <n v="2.9"/>
    <n v="3.76"/>
  </r>
  <r>
    <x v="2"/>
    <s v="Convenience stores"/>
    <x v="7"/>
    <s v="Earthbound"/>
    <s v="|99/04/04|"/>
    <n v="804"/>
    <n v="2.19"/>
    <n v="3.35"/>
  </r>
  <r>
    <x v="2"/>
    <s v="Convenience stores"/>
    <x v="7"/>
    <s v="Earthbound"/>
    <s v="|99/04/05|"/>
    <n v="744"/>
    <n v="2.2599999999999998"/>
    <n v="3.4"/>
  </r>
  <r>
    <x v="2"/>
    <s v="Convenience stores"/>
    <x v="7"/>
    <s v="Earthbound"/>
    <s v="|99/04/06|"/>
    <n v="1008"/>
    <n v="2.25"/>
    <n v="3.73"/>
  </r>
  <r>
    <x v="2"/>
    <s v="Convenience stores"/>
    <x v="7"/>
    <s v="Earthbound"/>
    <s v="|99/04/07|"/>
    <n v="708"/>
    <n v="2.5299999999999998"/>
    <n v="3.73"/>
  </r>
  <r>
    <x v="2"/>
    <s v="Convenience stores"/>
    <x v="7"/>
    <s v="Earthbound"/>
    <s v="|99/04/08|"/>
    <n v="1116"/>
    <n v="2.78"/>
    <n v="3.35"/>
  </r>
  <r>
    <x v="2"/>
    <s v="Convenience stores"/>
    <x v="7"/>
    <s v="Earthbound"/>
    <s v="|99/04/09|"/>
    <n v="996"/>
    <n v="2.89"/>
    <n v="3.34"/>
  </r>
  <r>
    <x v="2"/>
    <s v="Convenience stores"/>
    <x v="7"/>
    <s v="Earthbound"/>
    <s v="|99/05/58|"/>
    <n v="828"/>
    <n v="2.71"/>
    <n v="3.31"/>
  </r>
  <r>
    <x v="2"/>
    <s v="Convenience stores"/>
    <x v="7"/>
    <s v="Earthbound"/>
    <s v="|99/05/67|"/>
    <n v="924"/>
    <n v="2.86"/>
    <n v="3.59"/>
  </r>
  <r>
    <x v="2"/>
    <s v="Convenience stores"/>
    <x v="7"/>
    <s v="Earthbound"/>
    <s v="|99/05/102|"/>
    <n v="804"/>
    <n v="2.48"/>
    <n v="3.84"/>
  </r>
  <r>
    <x v="2"/>
    <s v="Convenience stores"/>
    <x v="7"/>
    <s v="Earthbound"/>
    <s v="|125/02/02|"/>
    <n v="756"/>
    <n v="2.2400000000000002"/>
    <n v="3.92"/>
  </r>
  <r>
    <x v="2"/>
    <s v="Convenience stores"/>
    <x v="7"/>
    <s v="Earthbound"/>
    <s v="|125/05/92|"/>
    <n v="984"/>
    <n v="2.13"/>
    <n v="3.3"/>
  </r>
  <r>
    <x v="2"/>
    <s v="Convenience stores"/>
    <x v="7"/>
    <s v="Earthbound"/>
    <s v="|125/06/01|"/>
    <n v="600"/>
    <n v="2.86"/>
    <n v="3.96"/>
  </r>
  <r>
    <x v="2"/>
    <s v="Convenience stores"/>
    <x v="7"/>
    <s v="Earthbound"/>
    <s v="|125/06/03|"/>
    <n v="1020"/>
    <n v="2.69"/>
    <n v="3.8"/>
  </r>
  <r>
    <x v="2"/>
    <s v="Convenience stores"/>
    <x v="7"/>
    <s v="Fresh express"/>
    <s v="|52/00/00|"/>
    <n v="792"/>
    <n v="2.93"/>
    <n v="3.98"/>
  </r>
  <r>
    <x v="2"/>
    <s v="Convenience stores"/>
    <x v="7"/>
    <s v="Fresh express"/>
    <s v="|52/00/01|"/>
    <n v="696"/>
    <n v="2.84"/>
    <n v="3.49"/>
  </r>
  <r>
    <x v="2"/>
    <s v="Convenience stores"/>
    <x v="7"/>
    <s v="Fresh express"/>
    <s v="|52/00/02|"/>
    <n v="1020"/>
    <n v="2.35"/>
    <n v="3.69"/>
  </r>
  <r>
    <x v="2"/>
    <s v="Convenience stores"/>
    <x v="7"/>
    <s v="Fresh express"/>
    <s v="|52/00/09|"/>
    <n v="996"/>
    <n v="2.25"/>
    <n v="3.77"/>
  </r>
  <r>
    <x v="2"/>
    <s v="Convenience stores"/>
    <x v="7"/>
    <s v="Fresh express"/>
    <s v="|52/00/10|"/>
    <n v="768"/>
    <n v="2.65"/>
    <n v="3.9"/>
  </r>
  <r>
    <x v="2"/>
    <s v="Convenience stores"/>
    <x v="7"/>
    <s v="Fresh express"/>
    <s v="|52/00/13|"/>
    <n v="624"/>
    <n v="2.75"/>
    <n v="3.22"/>
  </r>
  <r>
    <x v="2"/>
    <s v="Convenience stores"/>
    <x v="7"/>
    <s v="Fresh express"/>
    <s v="|52/00/14|"/>
    <n v="972"/>
    <n v="2.95"/>
    <n v="3.23"/>
  </r>
  <r>
    <x v="2"/>
    <s v="Convenience stores"/>
    <x v="7"/>
    <s v="Fresh express"/>
    <s v="|52/00/15|"/>
    <n v="852"/>
    <n v="2.36"/>
    <n v="3.64"/>
  </r>
  <r>
    <x v="2"/>
    <s v="Convenience stores"/>
    <x v="7"/>
    <s v="Fresh express"/>
    <s v="|52/00/16|"/>
    <n v="960"/>
    <n v="2.91"/>
    <n v="3.64"/>
  </r>
  <r>
    <x v="2"/>
    <s v="Convenience stores"/>
    <x v="7"/>
    <s v="Fresh express"/>
    <s v="|52/00/17|"/>
    <n v="768"/>
    <n v="2.9"/>
    <n v="3.22"/>
  </r>
  <r>
    <x v="2"/>
    <s v="Convenience stores"/>
    <x v="7"/>
    <s v="Fresh express"/>
    <s v="|52/00/18|"/>
    <n v="1176"/>
    <n v="2.6"/>
    <n v="3.66"/>
  </r>
  <r>
    <x v="2"/>
    <s v="Convenience stores"/>
    <x v="7"/>
    <s v="Fresh express"/>
    <s v="|52/00/19|"/>
    <n v="1176"/>
    <n v="2.96"/>
    <n v="3.56"/>
  </r>
  <r>
    <x v="2"/>
    <s v="Convenience stores"/>
    <x v="7"/>
    <s v="Fresh express"/>
    <s v="|52/00/21|"/>
    <n v="624"/>
    <n v="3"/>
    <n v="3.57"/>
  </r>
  <r>
    <x v="2"/>
    <s v="Convenience stores"/>
    <x v="7"/>
    <s v="Fresh express"/>
    <s v="|52/00/22|"/>
    <n v="996"/>
    <n v="2.42"/>
    <n v="3.74"/>
  </r>
  <r>
    <x v="2"/>
    <s v="Convenience stores"/>
    <x v="7"/>
    <s v="Fresh express"/>
    <s v="|52/00/23|"/>
    <n v="780"/>
    <n v="2.61"/>
    <n v="3.9"/>
  </r>
  <r>
    <x v="2"/>
    <s v="Convenience stores"/>
    <x v="7"/>
    <s v="Fresh express"/>
    <s v="|52/00/24|"/>
    <n v="1008"/>
    <n v="2.8"/>
    <n v="3.96"/>
  </r>
  <r>
    <x v="2"/>
    <s v="Convenience stores"/>
    <x v="7"/>
    <s v="Fresh express"/>
    <s v="|52/00/25|"/>
    <n v="996"/>
    <n v="2.77"/>
    <n v="3.94"/>
  </r>
  <r>
    <x v="2"/>
    <s v="Convenience stores"/>
    <x v="7"/>
    <s v="Fresh express"/>
    <s v="|52/00/27|"/>
    <n v="708"/>
    <n v="2.73"/>
    <n v="3.33"/>
  </r>
  <r>
    <x v="2"/>
    <s v="Convenience stores"/>
    <x v="7"/>
    <s v="Fresh express"/>
    <s v="|52/00/28|"/>
    <n v="1032"/>
    <n v="2.89"/>
    <n v="3.46"/>
  </r>
  <r>
    <x v="2"/>
    <s v="Convenience stores"/>
    <x v="7"/>
    <s v="Fresh express"/>
    <s v="|52/00/29|"/>
    <n v="684"/>
    <n v="2.66"/>
    <n v="3.31"/>
  </r>
  <r>
    <x v="2"/>
    <s v="Convenience stores"/>
    <x v="7"/>
    <s v="Fresh express"/>
    <s v="|52/00/30|"/>
    <n v="816"/>
    <n v="2.67"/>
    <n v="3.99"/>
  </r>
  <r>
    <x v="2"/>
    <s v="Convenience stores"/>
    <x v="7"/>
    <s v="Fresh express"/>
    <s v="|52/00/31|"/>
    <n v="720"/>
    <n v="2.58"/>
    <n v="3.3"/>
  </r>
  <r>
    <x v="2"/>
    <s v="Convenience stores"/>
    <x v="7"/>
    <s v="Fresh express"/>
    <s v="|52/00/33|"/>
    <n v="684"/>
    <n v="2.1"/>
    <n v="3.91"/>
  </r>
  <r>
    <x v="2"/>
    <s v="Convenience stores"/>
    <x v="7"/>
    <s v="Fresh express"/>
    <s v="|52/00/34|"/>
    <n v="972"/>
    <n v="2.27"/>
    <n v="3.3"/>
  </r>
  <r>
    <x v="2"/>
    <s v="Convenience stores"/>
    <x v="7"/>
    <s v="Fresh express"/>
    <s v="|52/00/35|"/>
    <n v="696"/>
    <n v="2.71"/>
    <n v="3.32"/>
  </r>
  <r>
    <x v="2"/>
    <s v="Convenience stores"/>
    <x v="7"/>
    <s v="Fresh express"/>
    <s v="|52/00/48|"/>
    <n v="780"/>
    <n v="2.98"/>
    <n v="3.69"/>
  </r>
  <r>
    <x v="2"/>
    <s v="Convenience stores"/>
    <x v="7"/>
    <s v="Fresh express"/>
    <s v="|52/00/51|"/>
    <n v="1080"/>
    <n v="2.14"/>
    <n v="3.52"/>
  </r>
  <r>
    <x v="2"/>
    <s v="Convenience stores"/>
    <x v="7"/>
    <s v="Fresh express"/>
    <s v="|52/00/52|"/>
    <n v="792"/>
    <n v="2.63"/>
    <n v="3.25"/>
  </r>
  <r>
    <x v="2"/>
    <s v="Convenience stores"/>
    <x v="7"/>
    <s v="Fresh express"/>
    <s v="|52/00/53|"/>
    <n v="1128"/>
    <n v="2.96"/>
    <n v="3.3"/>
  </r>
  <r>
    <x v="2"/>
    <s v="Convenience stores"/>
    <x v="7"/>
    <s v="Fresh express"/>
    <s v="|52/00/60|"/>
    <n v="1152"/>
    <n v="2.76"/>
    <n v="3.52"/>
  </r>
  <r>
    <x v="2"/>
    <s v="Convenience stores"/>
    <x v="7"/>
    <s v="Fresh express"/>
    <s v="|52/00/61|"/>
    <n v="1008"/>
    <n v="2.4"/>
    <n v="3.46"/>
  </r>
  <r>
    <x v="2"/>
    <s v="Convenience stores"/>
    <x v="7"/>
    <s v="Fresh express"/>
    <s v="|52/00/62|"/>
    <n v="756"/>
    <n v="2.44"/>
    <n v="3.27"/>
  </r>
  <r>
    <x v="2"/>
    <s v="Convenience stores"/>
    <x v="7"/>
    <s v="Fresh express"/>
    <s v="|52/00/63|"/>
    <n v="1044"/>
    <n v="2.72"/>
    <n v="3.59"/>
  </r>
  <r>
    <x v="2"/>
    <s v="Convenience stores"/>
    <x v="7"/>
    <s v="Fresh express"/>
    <s v="|52/00/64|"/>
    <n v="1032"/>
    <n v="2"/>
    <n v="3.35"/>
  </r>
  <r>
    <x v="2"/>
    <s v="Convenience stores"/>
    <x v="7"/>
    <s v="Fresh express"/>
    <s v="|52/00/65|"/>
    <n v="1092"/>
    <n v="2.34"/>
    <n v="4"/>
  </r>
  <r>
    <x v="2"/>
    <s v="Convenience stores"/>
    <x v="7"/>
    <s v="Fresh express"/>
    <s v="|52/00/80|"/>
    <n v="996"/>
    <n v="2.7"/>
    <n v="3.33"/>
  </r>
  <r>
    <x v="2"/>
    <s v="Convenience stores"/>
    <x v="7"/>
    <s v="Fresh express"/>
    <s v="|52/00/81|"/>
    <n v="780"/>
    <n v="2.11"/>
    <n v="3.69"/>
  </r>
  <r>
    <x v="2"/>
    <s v="Convenience stores"/>
    <x v="7"/>
    <s v="Fresh express"/>
    <s v="|52/00/82|"/>
    <n v="864"/>
    <n v="2.04"/>
    <n v="3.22"/>
  </r>
  <r>
    <x v="2"/>
    <s v="Convenience stores"/>
    <x v="7"/>
    <s v="Fresh express"/>
    <s v="|52/00/83|"/>
    <n v="600"/>
    <n v="2.66"/>
    <n v="3.27"/>
  </r>
  <r>
    <x v="2"/>
    <s v="Convenience stores"/>
    <x v="7"/>
    <s v="Fresh express"/>
    <s v="|52/00/85|"/>
    <n v="1164"/>
    <n v="2.3199999999999998"/>
    <n v="3.94"/>
  </r>
  <r>
    <x v="2"/>
    <s v="Convenience stores"/>
    <x v="7"/>
    <s v="Fresh express"/>
    <s v="|52/00/88|"/>
    <n v="1164"/>
    <n v="2.04"/>
    <n v="3.29"/>
  </r>
  <r>
    <x v="2"/>
    <s v="Convenience stores"/>
    <x v="7"/>
    <s v="Fresh express"/>
    <s v="|52/00/89|"/>
    <n v="1104"/>
    <n v="2"/>
    <n v="3.89"/>
  </r>
  <r>
    <x v="2"/>
    <s v="Convenience stores"/>
    <x v="7"/>
    <s v="Fresh express"/>
    <s v="|52/00/90|"/>
    <n v="684"/>
    <n v="2.04"/>
    <n v="3.72"/>
  </r>
  <r>
    <x v="2"/>
    <s v="Convenience stores"/>
    <x v="7"/>
    <s v="Fresh express"/>
    <s v="|52/00/91|"/>
    <n v="1080"/>
    <n v="2.21"/>
    <n v="3.95"/>
  </r>
  <r>
    <x v="2"/>
    <s v="Convenience stores"/>
    <x v="7"/>
    <s v="Fresh express"/>
    <s v="|52/00/92|"/>
    <n v="1056"/>
    <n v="2.81"/>
    <n v="3.68"/>
  </r>
  <r>
    <x v="2"/>
    <s v="Convenience stores"/>
    <x v="7"/>
    <s v="Fresh express"/>
    <s v="|52/00/93|"/>
    <n v="816"/>
    <n v="2.15"/>
    <n v="3.5"/>
  </r>
  <r>
    <x v="2"/>
    <s v="Convenience stores"/>
    <x v="7"/>
    <s v="Fresh express"/>
    <s v="|52/00/94|"/>
    <n v="1020"/>
    <n v="2.89"/>
    <n v="3.92"/>
  </r>
  <r>
    <x v="2"/>
    <s v="Convenience stores"/>
    <x v="7"/>
    <s v="Fresh express"/>
    <s v="|52/00/95|"/>
    <n v="828"/>
    <n v="2.46"/>
    <n v="3.57"/>
  </r>
  <r>
    <x v="2"/>
    <s v="Convenience stores"/>
    <x v="1"/>
    <s v="Green lamb"/>
    <s v="|70/00/00|"/>
    <n v="636"/>
    <n v="5.68"/>
    <n v="7.9666666666666668"/>
  </r>
  <r>
    <x v="2"/>
    <s v="Convenience stores"/>
    <x v="1"/>
    <s v="Green lamb"/>
    <s v="|70/00/01|"/>
    <n v="600"/>
    <n v="6.54"/>
    <n v="8.5266666666666673"/>
  </r>
  <r>
    <x v="2"/>
    <s v="Convenience stores"/>
    <x v="1"/>
    <s v="Green lamb"/>
    <s v="|70/00/02|"/>
    <n v="504"/>
    <n v="5.88"/>
    <n v="7.8666666666666663"/>
  </r>
  <r>
    <x v="2"/>
    <s v="Convenience stores"/>
    <x v="1"/>
    <s v="Green lamb"/>
    <s v="|70/00/03|"/>
    <n v="564"/>
    <n v="6.246666666666667"/>
    <n v="8.1666666666666661"/>
  </r>
  <r>
    <x v="2"/>
    <s v="Convenience stores"/>
    <x v="1"/>
    <s v="Green lamb"/>
    <s v="|70/00/04|"/>
    <n v="456"/>
    <n v="6.1266666666666669"/>
    <n v="8.66"/>
  </r>
  <r>
    <x v="2"/>
    <s v="Convenience stores"/>
    <x v="1"/>
    <s v="Green lamb"/>
    <s v="|70/00/05|"/>
    <n v="576"/>
    <n v="6.0266666666666664"/>
    <n v="7.6733333333333329"/>
  </r>
  <r>
    <x v="2"/>
    <s v="Convenience stores"/>
    <x v="1"/>
    <s v="Green lamb"/>
    <s v="|70/00/06|"/>
    <n v="612"/>
    <n v="6.5266666666666664"/>
    <n v="7.8733333333333331"/>
  </r>
  <r>
    <x v="2"/>
    <s v="Convenience stores"/>
    <x v="1"/>
    <s v="Green lamb"/>
    <s v="|70/00/07|"/>
    <n v="624"/>
    <n v="5.9133333333333331"/>
    <n v="8.3333333333333339"/>
  </r>
  <r>
    <x v="2"/>
    <s v="Convenience stores"/>
    <x v="1"/>
    <s v="Green lamb"/>
    <s v="|70/00/08|"/>
    <n v="564"/>
    <n v="6.28"/>
    <n v="8.1466666666666665"/>
  </r>
  <r>
    <x v="2"/>
    <s v="Convenience stores"/>
    <x v="1"/>
    <s v="Green lamb"/>
    <s v="|70/00/09|"/>
    <n v="540"/>
    <n v="5.8533333333333335"/>
    <n v="8.586666666666666"/>
  </r>
  <r>
    <x v="2"/>
    <s v="Convenience stores"/>
    <x v="1"/>
    <s v="Green lamb"/>
    <s v="|70/00/11|"/>
    <n v="480"/>
    <n v="6.66"/>
    <n v="8.5733333333333341"/>
  </r>
  <r>
    <x v="2"/>
    <s v="Convenience stores"/>
    <x v="1"/>
    <s v="Green lamb"/>
    <s v="|70/00/12|"/>
    <n v="576"/>
    <n v="6.3733333333333331"/>
    <n v="7.4666666666666668"/>
  </r>
  <r>
    <x v="2"/>
    <s v="Convenience stores"/>
    <x v="1"/>
    <s v="Green lamb"/>
    <s v="|70/00/13|"/>
    <n v="600"/>
    <n v="5.9533333333333331"/>
    <n v="8.1133333333333333"/>
  </r>
  <r>
    <x v="2"/>
    <s v="Convenience stores"/>
    <x v="1"/>
    <s v="Green lamb"/>
    <s v="|70/00/14|"/>
    <n v="420"/>
    <n v="6.3"/>
    <n v="8.0066666666666659"/>
  </r>
  <r>
    <x v="2"/>
    <s v="Convenience stores"/>
    <x v="1"/>
    <s v="Green lamb"/>
    <s v="|70/00/15|"/>
    <n v="564"/>
    <n v="5.74"/>
    <n v="7.4333333333333336"/>
  </r>
  <r>
    <x v="2"/>
    <s v="Convenience stores"/>
    <x v="1"/>
    <s v="Green lamb"/>
    <s v="|70/00/16|"/>
    <n v="516"/>
    <n v="6.6133333333333333"/>
    <n v="7.84"/>
  </r>
  <r>
    <x v="2"/>
    <s v="Convenience stores"/>
    <x v="1"/>
    <s v="Green lamb"/>
    <s v="|70/00/17|"/>
    <n v="540"/>
    <n v="5.8066666666666666"/>
    <n v="7.46"/>
  </r>
  <r>
    <x v="2"/>
    <s v="Convenience stores"/>
    <x v="1"/>
    <s v="Green lamb"/>
    <s v="|70/00/18|"/>
    <n v="480"/>
    <n v="5.4533333333333331"/>
    <n v="8.2466666666666661"/>
  </r>
  <r>
    <x v="2"/>
    <s v="Convenience stores"/>
    <x v="1"/>
    <s v="Green lamb"/>
    <s v="|70/00/19|"/>
    <n v="420"/>
    <n v="5.8933333333333335"/>
    <n v="8.5466666666666669"/>
  </r>
  <r>
    <x v="2"/>
    <s v="Convenience stores"/>
    <x v="1"/>
    <s v="Green lamb"/>
    <s v="|70/00/20|"/>
    <n v="408"/>
    <n v="5.36"/>
    <n v="8.413333333333334"/>
  </r>
  <r>
    <x v="2"/>
    <s v="Convenience stores"/>
    <x v="1"/>
    <s v="Green lamb"/>
    <s v="|70/01/01|"/>
    <n v="444"/>
    <n v="5.3"/>
    <n v="8.086666666666666"/>
  </r>
  <r>
    <x v="2"/>
    <s v="Convenience stores"/>
    <x v="1"/>
    <s v="Green lamb"/>
    <s v="|70/01/04|"/>
    <n v="576"/>
    <n v="5.6466666666666665"/>
    <n v="7.6733333333333329"/>
  </r>
  <r>
    <x v="2"/>
    <s v="Convenience stores"/>
    <x v="1"/>
    <s v="Green lamb"/>
    <s v="|70/01/05|"/>
    <n v="444"/>
    <n v="6.1466666666666665"/>
    <n v="7.64"/>
  </r>
  <r>
    <x v="2"/>
    <s v="Convenience stores"/>
    <x v="1"/>
    <s v="Green lamb"/>
    <s v="|70/01/12|"/>
    <n v="612"/>
    <n v="5.5866666666666669"/>
    <n v="7.64"/>
  </r>
  <r>
    <x v="2"/>
    <s v="Convenience stores"/>
    <x v="1"/>
    <s v="Green lamb"/>
    <s v="|70/01/13|"/>
    <n v="492"/>
    <n v="5.94"/>
    <n v="8.1866666666666674"/>
  </r>
  <r>
    <x v="2"/>
    <s v="Convenience stores"/>
    <x v="1"/>
    <s v="Green lamb"/>
    <s v="|70/01/14|"/>
    <n v="504"/>
    <n v="6.2"/>
    <n v="8.1933333333333334"/>
  </r>
  <r>
    <x v="2"/>
    <s v="Convenience stores"/>
    <x v="1"/>
    <s v="Green lamb"/>
    <s v="|70/02/01|"/>
    <n v="540"/>
    <n v="6.06"/>
    <n v="7.6933333333333334"/>
  </r>
  <r>
    <x v="2"/>
    <s v="Convenience stores"/>
    <x v="1"/>
    <s v="Green lamb"/>
    <s v="|70/02/02|"/>
    <n v="468"/>
    <n v="6.66"/>
    <n v="7.753333333333333"/>
  </r>
  <r>
    <x v="2"/>
    <s v="Convenience stores"/>
    <x v="1"/>
    <s v="Green lamb"/>
    <s v="|70/02/03|"/>
    <n v="480"/>
    <n v="5.76"/>
    <n v="7.753333333333333"/>
  </r>
  <r>
    <x v="2"/>
    <s v="Convenience stores"/>
    <x v="1"/>
    <s v="Green lamb"/>
    <s v="|70/02/04|"/>
    <n v="456"/>
    <n v="5.8933333333333335"/>
    <n v="7.706666666666667"/>
  </r>
  <r>
    <x v="2"/>
    <s v="Convenience stores"/>
    <x v="1"/>
    <s v="Green lamb"/>
    <s v="|70/02/05|"/>
    <n v="576"/>
    <n v="5.92"/>
    <n v="7.7"/>
  </r>
  <r>
    <x v="2"/>
    <s v="Convenience stores"/>
    <x v="1"/>
    <s v="Green lamb"/>
    <s v="|70/02/06|"/>
    <n v="552"/>
    <n v="5.56"/>
    <n v="7.8666666666666663"/>
  </r>
  <r>
    <x v="2"/>
    <s v="Convenience stores"/>
    <x v="1"/>
    <s v="Green lamb"/>
    <s v="|70/02/07|"/>
    <n v="624"/>
    <n v="6.3733333333333331"/>
    <n v="8.5066666666666659"/>
  </r>
  <r>
    <x v="2"/>
    <s v="Convenience stores"/>
    <x v="1"/>
    <s v="Green lamb"/>
    <s v="|70/02/08|"/>
    <n v="528"/>
    <n v="6.0133333333333336"/>
    <n v="8.5733333333333341"/>
  </r>
  <r>
    <x v="2"/>
    <s v="Convenience stores"/>
    <x v="1"/>
    <s v="Green lamb"/>
    <s v="|70/02/09|"/>
    <n v="600"/>
    <n v="6.4333333333333336"/>
    <n v="8.08"/>
  </r>
  <r>
    <x v="2"/>
    <s v="Convenience stores"/>
    <x v="1"/>
    <s v="Green lamb"/>
    <s v="|70/02/10|"/>
    <n v="576"/>
    <n v="5.7133333333333329"/>
    <n v="7.4866666666666664"/>
  </r>
  <r>
    <x v="2"/>
    <s v="Convenience stores"/>
    <x v="1"/>
    <s v="Green lamb"/>
    <s v="|70/03/01|"/>
    <n v="444"/>
    <n v="6.3666666666666663"/>
    <n v="8.2200000000000006"/>
  </r>
  <r>
    <x v="2"/>
    <s v="Convenience stores"/>
    <x v="1"/>
    <s v="Green lamb"/>
    <s v="|70/03/02|"/>
    <n v="456"/>
    <n v="6.14"/>
    <n v="7.333333333333333"/>
  </r>
  <r>
    <x v="2"/>
    <s v="Convenience stores"/>
    <x v="1"/>
    <s v="Green lamb"/>
    <s v="|70/03/03|"/>
    <n v="516"/>
    <n v="6.2133333333333329"/>
    <n v="7.3666666666666663"/>
  </r>
  <r>
    <x v="2"/>
    <s v="Convenience stores"/>
    <x v="1"/>
    <s v="Green lamb"/>
    <s v="|70/03/04|"/>
    <n v="480"/>
    <n v="6.0066666666666668"/>
    <n v="7.34"/>
  </r>
  <r>
    <x v="2"/>
    <s v="Convenience stores"/>
    <x v="1"/>
    <s v="Green lamb"/>
    <s v="|70/03/05|"/>
    <n v="528"/>
    <n v="6.2"/>
    <n v="8.32"/>
  </r>
  <r>
    <x v="2"/>
    <s v="Convenience stores"/>
    <x v="1"/>
    <s v="Green lamb"/>
    <s v="|70/03/06|"/>
    <n v="552"/>
    <n v="5.7333333333333334"/>
    <n v="7.753333333333333"/>
  </r>
  <r>
    <x v="2"/>
    <s v="Convenience stores"/>
    <x v="1"/>
    <s v="Green lamb"/>
    <s v="|70/03/07|"/>
    <n v="444"/>
    <n v="6.3133333333333335"/>
    <n v="8.6"/>
  </r>
  <r>
    <x v="2"/>
    <s v="Convenience stores"/>
    <x v="1"/>
    <s v="Green lamb"/>
    <s v="|70/03/08|"/>
    <n v="636"/>
    <n v="6.6266666666666669"/>
    <n v="8.413333333333334"/>
  </r>
  <r>
    <x v="2"/>
    <s v="Convenience stores"/>
    <x v="1"/>
    <s v="Green lamb"/>
    <s v="|70/03/09|"/>
    <n v="588"/>
    <n v="6.24"/>
    <n v="7.68"/>
  </r>
  <r>
    <x v="2"/>
    <s v="Convenience stores"/>
    <x v="1"/>
    <s v="Green lamb"/>
    <s v="|70/03/10|"/>
    <n v="444"/>
    <n v="5.6133333333333333"/>
    <n v="7.86"/>
  </r>
  <r>
    <x v="2"/>
    <s v="Convenience stores"/>
    <x v="1"/>
    <s v="Green lamb"/>
    <s v="|70/03/11|"/>
    <n v="420"/>
    <n v="5.6266666666666669"/>
    <n v="8.206666666666667"/>
  </r>
  <r>
    <x v="2"/>
    <s v="Convenience stores"/>
    <x v="1"/>
    <s v="Green lamb"/>
    <s v="|70/03/12|"/>
    <n v="636"/>
    <n v="6.4733333333333336"/>
    <n v="7.5466666666666669"/>
  </r>
  <r>
    <x v="2"/>
    <s v="Convenience stores"/>
    <x v="1"/>
    <s v="Green lamb"/>
    <s v="|70/03/17|"/>
    <n v="480"/>
    <n v="6.6333333333333337"/>
    <n v="7.94"/>
  </r>
  <r>
    <x v="2"/>
    <s v="Convenience stores"/>
    <x v="1"/>
    <s v="Green lamb"/>
    <s v="|70/04/18|"/>
    <n v="636"/>
    <n v="5.3266666666666671"/>
    <n v="8.5066666666666659"/>
  </r>
  <r>
    <x v="2"/>
    <s v="Convenience stores"/>
    <x v="1"/>
    <s v="Green lamb"/>
    <s v="|70/04/19|"/>
    <n v="624"/>
    <n v="5.6133333333333333"/>
    <n v="8.36"/>
  </r>
  <r>
    <x v="2"/>
    <s v="Convenience stores"/>
    <x v="3"/>
    <s v="Red Bull"/>
    <s v="|42/01/01|"/>
    <n v="60"/>
    <n v="1.1499999999999999"/>
    <n v="1.27"/>
  </r>
  <r>
    <x v="2"/>
    <s v="Convenience stores"/>
    <x v="3"/>
    <s v="Red Bull"/>
    <s v="|42/01/02|"/>
    <n v="72"/>
    <n v="1.02"/>
    <n v="1.33"/>
  </r>
  <r>
    <x v="2"/>
    <s v="Convenience stores"/>
    <x v="3"/>
    <s v="Red Bull"/>
    <s v="|42/01/03|"/>
    <n v="72"/>
    <n v="1.1399999999999999"/>
    <n v="1.32"/>
  </r>
  <r>
    <x v="2"/>
    <s v="Convenience stores"/>
    <x v="3"/>
    <s v="Red Bull"/>
    <s v="|42/01/04|"/>
    <n v="72"/>
    <n v="1.1000000000000001"/>
    <n v="1.35"/>
  </r>
  <r>
    <x v="2"/>
    <s v="Convenience stores"/>
    <x v="3"/>
    <s v="Red Bull"/>
    <s v="|42/01/05|"/>
    <n v="60"/>
    <n v="1.19"/>
    <n v="1.28"/>
  </r>
  <r>
    <x v="2"/>
    <s v="Convenience stores"/>
    <x v="3"/>
    <s v="San Pellegrino"/>
    <s v="|21/00/01|"/>
    <n v="72"/>
    <n v="1.02"/>
    <n v="1.22"/>
  </r>
  <r>
    <x v="2"/>
    <s v="Convenience stores"/>
    <x v="3"/>
    <s v="San Pellegrino"/>
    <s v="|21/00/02|"/>
    <n v="72"/>
    <n v="1.18"/>
    <n v="1.23"/>
  </r>
  <r>
    <x v="2"/>
    <s v="Convenience stores"/>
    <x v="3"/>
    <s v="San Pellegrino"/>
    <s v="|21/00/03|"/>
    <n v="48"/>
    <n v="1.19"/>
    <n v="1.39"/>
  </r>
  <r>
    <x v="2"/>
    <s v="Convenience stores"/>
    <x v="3"/>
    <s v="San Pellegrino"/>
    <s v="|21/00/04|"/>
    <n v="72"/>
    <n v="1.1499999999999999"/>
    <n v="1.27"/>
  </r>
  <r>
    <x v="2"/>
    <s v="Convenience stores"/>
    <x v="3"/>
    <s v="San Pellegrino"/>
    <s v="|21/00/11|"/>
    <n v="72"/>
    <n v="1.1100000000000001"/>
    <n v="1.39"/>
  </r>
  <r>
    <x v="2"/>
    <s v="Convenience stores"/>
    <x v="3"/>
    <s v="San Pellegrino"/>
    <s v="|21/00/12|"/>
    <n v="48"/>
    <n v="1.01"/>
    <n v="1.34"/>
  </r>
  <r>
    <x v="2"/>
    <s v="Convenience stores"/>
    <x v="3"/>
    <s v="San Pellegrino"/>
    <s v="|21/00/13|"/>
    <n v="48"/>
    <n v="1.08"/>
    <n v="1.31"/>
  </r>
  <r>
    <x v="2"/>
    <s v="Convenience stores"/>
    <x v="3"/>
    <s v="San Pellegrino"/>
    <s v="|21/00/14|"/>
    <n v="60"/>
    <n v="1.18"/>
    <n v="1.3"/>
  </r>
  <r>
    <x v="2"/>
    <s v="Convenience stores"/>
    <x v="3"/>
    <s v="San Pellegrino"/>
    <s v="|21/00/15|"/>
    <n v="72"/>
    <n v="1.03"/>
    <n v="1.23"/>
  </r>
  <r>
    <x v="2"/>
    <s v="Convenience stores"/>
    <x v="3"/>
    <s v="San Pellegrino"/>
    <s v="|21/00/16|"/>
    <n v="48"/>
    <n v="1.04"/>
    <n v="1.24"/>
  </r>
  <r>
    <x v="2"/>
    <s v="Convenience stores"/>
    <x v="3"/>
    <s v="San Pellegrino"/>
    <s v="|21/00/17|"/>
    <n v="72"/>
    <n v="1.0900000000000001"/>
    <n v="1.31"/>
  </r>
  <r>
    <x v="2"/>
    <s v="Convenience stores"/>
    <x v="3"/>
    <s v="San Pellegrino"/>
    <s v="|21/00/18|"/>
    <n v="48"/>
    <n v="1.07"/>
    <n v="1.2"/>
  </r>
  <r>
    <x v="2"/>
    <s v="Convenience stores"/>
    <x v="3"/>
    <s v="San Pellegrino"/>
    <s v="|21/00/19|"/>
    <n v="72"/>
    <n v="1.19"/>
    <n v="1.28"/>
  </r>
  <r>
    <x v="2"/>
    <s v="Convenience stores"/>
    <x v="3"/>
    <s v="San Pellegrino"/>
    <s v="|21/00/20|"/>
    <n v="72"/>
    <n v="1.19"/>
    <n v="1.21"/>
  </r>
  <r>
    <x v="2"/>
    <s v="Convenience stores"/>
    <x v="3"/>
    <s v="San Pellegrino"/>
    <s v="|21/00/30|"/>
    <n v="60"/>
    <n v="1.1000000000000001"/>
    <n v="1.29"/>
  </r>
  <r>
    <x v="2"/>
    <s v="Convenience stores"/>
    <x v="3"/>
    <s v="San Pellegrino"/>
    <s v="|21/00/31|"/>
    <n v="60"/>
    <n v="1.02"/>
    <n v="1.24"/>
  </r>
  <r>
    <x v="2"/>
    <s v="Convenience stores"/>
    <x v="3"/>
    <s v="San Pellegrino"/>
    <s v="|21/00/32|"/>
    <n v="60"/>
    <n v="1.1299999999999999"/>
    <n v="1.39"/>
  </r>
  <r>
    <x v="2"/>
    <s v="Convenience stores"/>
    <x v="3"/>
    <s v="San Pellegrino"/>
    <s v="|21/00/33|"/>
    <n v="60"/>
    <n v="1.05"/>
    <n v="1.25"/>
  </r>
  <r>
    <x v="2"/>
    <s v="Convenience stores"/>
    <x v="3"/>
    <s v="San Pellegrino"/>
    <s v="|21/00/34|"/>
    <n v="48"/>
    <n v="1.1000000000000001"/>
    <n v="1.3"/>
  </r>
  <r>
    <x v="2"/>
    <s v="Convenience stores"/>
    <x v="3"/>
    <s v="San Pellegrino"/>
    <s v="|21/00/40|"/>
    <n v="48"/>
    <n v="1.07"/>
    <n v="1.23"/>
  </r>
  <r>
    <x v="2"/>
    <s v="Convenience stores"/>
    <x v="3"/>
    <s v="San Pellegrino"/>
    <s v="|21/00/50|"/>
    <n v="48"/>
    <n v="1.1299999999999999"/>
    <n v="1.27"/>
  </r>
  <r>
    <x v="2"/>
    <s v="Convenience stores"/>
    <x v="3"/>
    <s v="San Pellegrino"/>
    <s v="|21/00/51|"/>
    <n v="48"/>
    <n v="1.03"/>
    <n v="1.25"/>
  </r>
  <r>
    <x v="2"/>
    <s v="Convenience stores"/>
    <x v="3"/>
    <s v="San Pellegrino"/>
    <s v="|21/00/52|"/>
    <n v="60"/>
    <n v="1.17"/>
    <n v="1.26"/>
  </r>
  <r>
    <x v="2"/>
    <s v="Convenience stores"/>
    <x v="3"/>
    <s v="San Pellegrino"/>
    <s v="|21/00/53|"/>
    <n v="72"/>
    <n v="1.1000000000000001"/>
    <n v="1.28"/>
  </r>
  <r>
    <x v="2"/>
    <s v="Convenience stores"/>
    <x v="3"/>
    <s v="San Pellegrino"/>
    <s v="|21/00/54|"/>
    <n v="48"/>
    <n v="1.1399999999999999"/>
    <n v="1.32"/>
  </r>
  <r>
    <x v="2"/>
    <s v="Convenience stores"/>
    <x v="3"/>
    <s v="San Pellegrino"/>
    <s v="|21/00/55|"/>
    <n v="72"/>
    <n v="1"/>
    <n v="1.38"/>
  </r>
  <r>
    <x v="2"/>
    <s v="Convenience stores"/>
    <x v="3"/>
    <s v="San Pellegrino"/>
    <s v="|21/00/60|"/>
    <n v="60"/>
    <n v="1.1499999999999999"/>
    <n v="1.34"/>
  </r>
  <r>
    <x v="2"/>
    <s v="Convenience stores"/>
    <x v="3"/>
    <s v="San Pellegrino"/>
    <s v="|21/00/61|"/>
    <n v="48"/>
    <n v="1.17"/>
    <n v="1.26"/>
  </r>
  <r>
    <x v="2"/>
    <s v="Convenience stores"/>
    <x v="3"/>
    <s v="San Pellegrino"/>
    <s v="|21/00/62|"/>
    <n v="60"/>
    <n v="1.1499999999999999"/>
    <n v="1.36"/>
  </r>
  <r>
    <x v="2"/>
    <s v="Convenience stores"/>
    <x v="3"/>
    <s v="San Pellegrino"/>
    <s v="|21/00/63|"/>
    <n v="48"/>
    <n v="1.1299999999999999"/>
    <n v="1.28"/>
  </r>
  <r>
    <x v="2"/>
    <s v="Convenience stores"/>
    <x v="3"/>
    <s v="San Pellegrino"/>
    <s v="|21/00/64|"/>
    <n v="60"/>
    <n v="1.07"/>
    <n v="1.28"/>
  </r>
  <r>
    <x v="2"/>
    <s v="Convenience stores"/>
    <x v="3"/>
    <s v="San Pellegrino"/>
    <s v="|21/00/65|"/>
    <n v="48"/>
    <n v="1.17"/>
    <n v="1.32"/>
  </r>
  <r>
    <x v="2"/>
    <s v="Convenience stores"/>
    <x v="3"/>
    <s v="San Pellegrino"/>
    <s v="|21/00/71|"/>
    <n v="60"/>
    <n v="1.1399999999999999"/>
    <n v="1.39"/>
  </r>
  <r>
    <x v="2"/>
    <s v="Convenience stores"/>
    <x v="3"/>
    <s v="San Pellegrino"/>
    <s v="|21/00/72|"/>
    <n v="60"/>
    <n v="1"/>
    <n v="1.34"/>
  </r>
  <r>
    <x v="2"/>
    <s v="Convenience stores"/>
    <x v="3"/>
    <s v="San Pellegrino"/>
    <s v="|21/00/73|"/>
    <n v="60"/>
    <n v="1.1000000000000001"/>
    <n v="1.22"/>
  </r>
  <r>
    <x v="2"/>
    <s v="Convenience stores"/>
    <x v="3"/>
    <s v="San Pellegrino"/>
    <s v="|21/00/74|"/>
    <n v="72"/>
    <n v="1.1499999999999999"/>
    <n v="1.29"/>
  </r>
  <r>
    <x v="2"/>
    <s v="Convenience stores"/>
    <x v="3"/>
    <s v="San Pellegrino"/>
    <s v="|21/00/81|"/>
    <n v="60"/>
    <n v="1.03"/>
    <n v="1.3"/>
  </r>
  <r>
    <x v="2"/>
    <s v="Convenience stores"/>
    <x v="3"/>
    <s v="San Pellegrino"/>
    <s v="|21/00/82|"/>
    <n v="48"/>
    <n v="1.19"/>
    <n v="1.37"/>
  </r>
  <r>
    <x v="2"/>
    <s v="Convenience stores"/>
    <x v="3"/>
    <s v="San Pellegrino"/>
    <s v="|21/00/83|"/>
    <n v="72"/>
    <n v="1.04"/>
    <n v="1.28"/>
  </r>
  <r>
    <x v="2"/>
    <s v="Convenience stores"/>
    <x v="3"/>
    <s v="San Pellegrino"/>
    <s v="|21/00/84|"/>
    <n v="60"/>
    <n v="1"/>
    <n v="1.27"/>
  </r>
  <r>
    <x v="2"/>
    <s v="Convenience stores"/>
    <x v="3"/>
    <s v="San Pellegrino"/>
    <s v="|21/00/85|"/>
    <n v="60"/>
    <n v="1.19"/>
    <n v="1.35"/>
  </r>
  <r>
    <x v="2"/>
    <s v="Convenience stores"/>
    <x v="3"/>
    <s v="San Pellegrino"/>
    <s v="|21/00/86|"/>
    <n v="48"/>
    <n v="1.05"/>
    <n v="1.32"/>
  </r>
  <r>
    <x v="2"/>
    <s v="Convenience stores"/>
    <x v="3"/>
    <s v="San Pellegrino"/>
    <s v="|21/00/87|"/>
    <n v="48"/>
    <n v="1.08"/>
    <n v="1.22"/>
  </r>
  <r>
    <x v="2"/>
    <s v="Convenience stores"/>
    <x v="3"/>
    <s v="San Pellegrino"/>
    <s v="|21/00/88|"/>
    <n v="48"/>
    <n v="1.1399999999999999"/>
    <n v="1.25"/>
  </r>
  <r>
    <x v="2"/>
    <s v="Convenience stores"/>
    <x v="3"/>
    <s v="San Pellegrino"/>
    <s v="|21/00/89|"/>
    <n v="72"/>
    <n v="1.1100000000000001"/>
    <n v="1.25"/>
  </r>
  <r>
    <x v="2"/>
    <s v="Convenience stores"/>
    <x v="3"/>
    <s v="San Pellegrino"/>
    <s v="|21/00/90|"/>
    <n v="60"/>
    <n v="1.19"/>
    <n v="1.25"/>
  </r>
  <r>
    <x v="2"/>
    <s v="Convenience stores"/>
    <x v="3"/>
    <s v="San Pellegrino"/>
    <s v="|21/00/91|"/>
    <n v="72"/>
    <n v="1.17"/>
    <n v="1.25"/>
  </r>
  <r>
    <x v="2"/>
    <s v="Convenience stores"/>
    <x v="3"/>
    <s v="San Pellegrino"/>
    <s v="|21/00/92|"/>
    <n v="72"/>
    <n v="1.01"/>
    <n v="1.33"/>
  </r>
  <r>
    <x v="2"/>
    <s v="Convenience stores"/>
    <x v="3"/>
    <s v="San Pellegrino"/>
    <s v="|21/00/93|"/>
    <n v="60"/>
    <n v="1"/>
    <n v="1.23"/>
  </r>
  <r>
    <x v="2"/>
    <s v="Convenience stores"/>
    <x v="3"/>
    <s v="San Pellegrino"/>
    <s v="|21/00/94|"/>
    <n v="72"/>
    <n v="1.07"/>
    <n v="1.34"/>
  </r>
  <r>
    <x v="2"/>
    <s v="Convenience stores"/>
    <x v="3"/>
    <s v="San Pellegrino"/>
    <s v="|21/00/95|"/>
    <n v="60"/>
    <n v="1.17"/>
    <n v="1.33"/>
  </r>
  <r>
    <x v="2"/>
    <s v="Convenience stores"/>
    <x v="3"/>
    <s v="San Pellegrino"/>
    <s v="|21/00/96|"/>
    <n v="48"/>
    <n v="1.2"/>
    <n v="1.36"/>
  </r>
  <r>
    <x v="2"/>
    <s v="Convenience stores"/>
    <x v="3"/>
    <s v="San Pellegrino"/>
    <s v="|21/01/01|"/>
    <n v="72"/>
    <n v="1.04"/>
    <n v="1.27"/>
  </r>
  <r>
    <x v="2"/>
    <s v="Convenience stores"/>
    <x v="3"/>
    <s v="San Pellegrino"/>
    <s v="|21/01/02|"/>
    <n v="60"/>
    <n v="1.18"/>
    <n v="1.31"/>
  </r>
  <r>
    <x v="2"/>
    <s v="Convenience stores"/>
    <x v="3"/>
    <s v="San Pellegrino"/>
    <s v="|21/01/03|"/>
    <n v="48"/>
    <n v="1.1200000000000001"/>
    <n v="1.31"/>
  </r>
  <r>
    <x v="2"/>
    <s v="Convenience stores"/>
    <x v="3"/>
    <s v="San Pellegrino"/>
    <s v="|21/01/04|"/>
    <n v="48"/>
    <n v="1.1100000000000001"/>
    <n v="1.26"/>
  </r>
  <r>
    <x v="2"/>
    <s v="Convenience stores"/>
    <x v="3"/>
    <s v="San Pellegrino"/>
    <s v="|21/01/05|"/>
    <n v="60"/>
    <n v="1.02"/>
    <n v="1.25"/>
  </r>
  <r>
    <x v="2"/>
    <s v="Convenience stores"/>
    <x v="3"/>
    <s v="San Pellegrino"/>
    <s v="|21/01/06|"/>
    <n v="72"/>
    <n v="1.1599999999999999"/>
    <n v="1.2"/>
  </r>
  <r>
    <x v="2"/>
    <s v="Convenience stores"/>
    <x v="3"/>
    <s v="San Pellegrino"/>
    <s v="|21/01/07|"/>
    <n v="60"/>
    <n v="1.18"/>
    <n v="1.35"/>
  </r>
  <r>
    <x v="2"/>
    <s v="Convenience stores"/>
    <x v="3"/>
    <s v="San Pellegrino"/>
    <s v="|21/01/08|"/>
    <n v="60"/>
    <n v="1.1000000000000001"/>
    <n v="1.24"/>
  </r>
  <r>
    <x v="2"/>
    <s v="Convenience stores"/>
    <x v="3"/>
    <s v="San Pellegrino"/>
    <s v="|21/01/09|"/>
    <n v="72"/>
    <n v="1.1599999999999999"/>
    <n v="1.22"/>
  </r>
  <r>
    <x v="2"/>
    <s v="Convenience stores"/>
    <x v="3"/>
    <s v="San Pellegrino"/>
    <s v="|21/01/10|"/>
    <n v="48"/>
    <n v="1.1299999999999999"/>
    <n v="1.34"/>
  </r>
  <r>
    <x v="2"/>
    <s v="Convenience stores"/>
    <x v="3"/>
    <s v="San Pellegrino"/>
    <s v="|21/01/11|"/>
    <n v="60"/>
    <n v="1.1000000000000001"/>
    <n v="1.26"/>
  </r>
  <r>
    <x v="2"/>
    <s v="Convenience stores"/>
    <x v="3"/>
    <s v="San Pellegrino"/>
    <s v="|21/01/12|"/>
    <n v="60"/>
    <n v="1.1000000000000001"/>
    <n v="1.27"/>
  </r>
  <r>
    <x v="2"/>
    <s v="Convenience stores"/>
    <x v="3"/>
    <s v="San Pellegrino"/>
    <s v="|21/01/13|"/>
    <n v="72"/>
    <n v="1.17"/>
    <n v="1.36"/>
  </r>
  <r>
    <x v="2"/>
    <s v="Convenience stores"/>
    <x v="3"/>
    <s v="San Pellegrino"/>
    <s v="|21/01/14|"/>
    <n v="72"/>
    <n v="1.02"/>
    <n v="1.29"/>
  </r>
  <r>
    <x v="2"/>
    <s v="Convenience stores"/>
    <x v="3"/>
    <s v="San Pellegrino"/>
    <s v="|21/01/15|"/>
    <n v="72"/>
    <n v="1.1299999999999999"/>
    <n v="1.37"/>
  </r>
  <r>
    <x v="2"/>
    <s v="Convenience stores"/>
    <x v="3"/>
    <s v="San Pellegrino"/>
    <s v="|21/01/16|"/>
    <n v="48"/>
    <n v="1.06"/>
    <n v="1.25"/>
  </r>
  <r>
    <x v="2"/>
    <s v="Convenience stores"/>
    <x v="3"/>
    <s v="San Pellegrino"/>
    <s v="|21/01/17|"/>
    <n v="48"/>
    <n v="1.04"/>
    <n v="1.23"/>
  </r>
  <r>
    <x v="2"/>
    <s v="Convenience stores"/>
    <x v="3"/>
    <s v="San Pellegrino"/>
    <s v="|21/01/18|"/>
    <n v="60"/>
    <n v="1.19"/>
    <n v="1.35"/>
  </r>
  <r>
    <x v="2"/>
    <s v="Convenience stores"/>
    <x v="3"/>
    <s v="San Pellegrino"/>
    <s v="|21/01/19|"/>
    <n v="72"/>
    <n v="1.03"/>
    <n v="1.2"/>
  </r>
  <r>
    <x v="2"/>
    <s v="Convenience stores"/>
    <x v="3"/>
    <s v="San Pellegrino"/>
    <s v="|21/01/20|"/>
    <n v="72"/>
    <n v="1.18"/>
    <n v="1.22"/>
  </r>
  <r>
    <x v="2"/>
    <s v="Convenience stores"/>
    <x v="3"/>
    <s v="San Pellegrino"/>
    <s v="|21/01/21|"/>
    <n v="60"/>
    <n v="1.17"/>
    <n v="1.35"/>
  </r>
  <r>
    <x v="2"/>
    <s v="Convenience stores"/>
    <x v="3"/>
    <s v="San Pellegrino"/>
    <s v="|21/01/22|"/>
    <n v="48"/>
    <n v="1.17"/>
    <n v="1.37"/>
  </r>
  <r>
    <x v="2"/>
    <s v="Convenience stores"/>
    <x v="3"/>
    <s v="San Pellegrino"/>
    <s v="|21/01/23|"/>
    <n v="72"/>
    <n v="1.0900000000000001"/>
    <n v="1.2"/>
  </r>
  <r>
    <x v="2"/>
    <s v="Convenience stores"/>
    <x v="3"/>
    <s v="San Pellegrino"/>
    <s v="|21/01/24|"/>
    <n v="60"/>
    <n v="1.0900000000000001"/>
    <n v="1.4"/>
  </r>
  <r>
    <x v="2"/>
    <s v="Convenience stores"/>
    <x v="3"/>
    <s v="San Pellegrino"/>
    <s v="|21/01/25|"/>
    <n v="60"/>
    <n v="1.18"/>
    <n v="1.25"/>
  </r>
  <r>
    <x v="2"/>
    <s v="Convenience stores"/>
    <x v="3"/>
    <s v="San Pellegrino"/>
    <s v="|21/01/26|"/>
    <n v="48"/>
    <n v="1.1299999999999999"/>
    <n v="1.27"/>
  </r>
  <r>
    <x v="2"/>
    <s v="Convenience stores"/>
    <x v="3"/>
    <s v="San Pellegrino"/>
    <s v="|21/01/27|"/>
    <n v="72"/>
    <n v="1.02"/>
    <n v="1.28"/>
  </r>
  <r>
    <x v="2"/>
    <s v="Convenience stores"/>
    <x v="3"/>
    <s v="San Pellegrino"/>
    <s v="|21/01/28|"/>
    <n v="48"/>
    <n v="1.1299999999999999"/>
    <n v="1.23"/>
  </r>
  <r>
    <x v="2"/>
    <s v="Convenience stores"/>
    <x v="3"/>
    <s v="San Pellegrino"/>
    <s v="|21/01/29|"/>
    <n v="48"/>
    <n v="1.04"/>
    <n v="1.23"/>
  </r>
  <r>
    <x v="2"/>
    <s v="Convenience stores"/>
    <x v="3"/>
    <s v="San Pellegrino"/>
    <s v="|21/01/30|"/>
    <n v="60"/>
    <n v="1.17"/>
    <n v="1.2"/>
  </r>
  <r>
    <x v="2"/>
    <s v="Convenience stores"/>
    <x v="3"/>
    <s v="San Pellegrino"/>
    <s v="|21/01/31|"/>
    <n v="48"/>
    <n v="1.1200000000000001"/>
    <n v="1.25"/>
  </r>
  <r>
    <x v="2"/>
    <s v="Convenience stores"/>
    <x v="3"/>
    <s v="San Pellegrino"/>
    <s v="|21/01/32|"/>
    <n v="48"/>
    <n v="1.0900000000000001"/>
    <n v="1.27"/>
  </r>
  <r>
    <x v="2"/>
    <s v="Convenience stores"/>
    <x v="3"/>
    <s v="San Pellegrino"/>
    <s v="|21/01/33|"/>
    <n v="72"/>
    <n v="1.03"/>
    <n v="1.36"/>
  </r>
  <r>
    <x v="2"/>
    <s v="Convenience stores"/>
    <x v="3"/>
    <s v="San Pellegrino"/>
    <s v="|21/01/34|"/>
    <n v="48"/>
    <n v="1.0900000000000001"/>
    <n v="1.31"/>
  </r>
  <r>
    <x v="2"/>
    <s v="Convenience stores"/>
    <x v="3"/>
    <s v="San Pellegrino"/>
    <s v="|21/01/35|"/>
    <n v="48"/>
    <n v="1.01"/>
    <n v="1.28"/>
  </r>
  <r>
    <x v="2"/>
    <s v="Convenience stores"/>
    <x v="3"/>
    <s v="San Pellegrino"/>
    <s v="|21/01/36|"/>
    <n v="60"/>
    <n v="1.07"/>
    <n v="1.26"/>
  </r>
  <r>
    <x v="2"/>
    <s v="Convenience stores"/>
    <x v="3"/>
    <s v="San Pellegrino"/>
    <s v="|21/01/37|"/>
    <n v="72"/>
    <n v="1.01"/>
    <n v="1.36"/>
  </r>
  <r>
    <x v="2"/>
    <s v="Convenience stores"/>
    <x v="3"/>
    <s v="San Pellegrino"/>
    <s v="|21/01/38|"/>
    <n v="72"/>
    <n v="1.1299999999999999"/>
    <n v="1.23"/>
  </r>
  <r>
    <x v="2"/>
    <s v="Convenience stores"/>
    <x v="3"/>
    <s v="San Pellegrino"/>
    <s v="|21/01/39|"/>
    <n v="60"/>
    <n v="1"/>
    <n v="1.23"/>
  </r>
  <r>
    <x v="2"/>
    <s v="Convenience stores"/>
    <x v="3"/>
    <s v="San Pellegrino"/>
    <s v="|21/01/40|"/>
    <n v="60"/>
    <n v="1.19"/>
    <n v="1.34"/>
  </r>
  <r>
    <x v="2"/>
    <s v="Convenience stores"/>
    <x v="3"/>
    <s v="San Pellegrino"/>
    <s v="|21/01/41|"/>
    <n v="48"/>
    <n v="1.07"/>
    <n v="1.26"/>
  </r>
  <r>
    <x v="2"/>
    <s v="Convenience stores"/>
    <x v="3"/>
    <s v="San Pellegrino"/>
    <s v="|21/01/42|"/>
    <n v="48"/>
    <n v="1.01"/>
    <n v="1.35"/>
  </r>
  <r>
    <x v="2"/>
    <s v="Convenience stores"/>
    <x v="3"/>
    <s v="San Pellegrino"/>
    <s v="|21/01/43|"/>
    <n v="48"/>
    <n v="1"/>
    <n v="1.29"/>
  </r>
  <r>
    <x v="2"/>
    <s v="Convenience stores"/>
    <x v="3"/>
    <s v="San Pellegrino"/>
    <s v="|21/01/44|"/>
    <n v="60"/>
    <n v="1.1499999999999999"/>
    <n v="1.37"/>
  </r>
  <r>
    <x v="2"/>
    <s v="Convenience stores"/>
    <x v="3"/>
    <s v="San Pellegrino"/>
    <s v="|21/01/45|"/>
    <n v="48"/>
    <n v="1.05"/>
    <n v="1.4"/>
  </r>
  <r>
    <x v="2"/>
    <s v="Convenience stores"/>
    <x v="3"/>
    <s v="San Pellegrino"/>
    <s v="|21/01/46|"/>
    <n v="48"/>
    <n v="1.03"/>
    <n v="1.33"/>
  </r>
  <r>
    <x v="2"/>
    <s v="Convenience stores"/>
    <x v="3"/>
    <s v="San Pellegrino"/>
    <s v="|21/01/47|"/>
    <n v="48"/>
    <n v="1.1000000000000001"/>
    <n v="1.29"/>
  </r>
  <r>
    <x v="2"/>
    <s v="Convenience stores"/>
    <x v="3"/>
    <s v="San Pellegrino"/>
    <s v="|21/01/48|"/>
    <n v="48"/>
    <n v="1.17"/>
    <n v="1.29"/>
  </r>
  <r>
    <x v="2"/>
    <s v="Convenience stores"/>
    <x v="3"/>
    <s v="San Pellegrino"/>
    <s v="|21/01/49|"/>
    <n v="60"/>
    <n v="1.18"/>
    <n v="1.34"/>
  </r>
  <r>
    <x v="2"/>
    <s v="Convenience stores"/>
    <x v="3"/>
    <s v="San Pellegrino"/>
    <s v="|21/01/50|"/>
    <n v="60"/>
    <n v="1.08"/>
    <n v="1.28"/>
  </r>
  <r>
    <x v="2"/>
    <s v="Convenience stores"/>
    <x v="3"/>
    <s v="San Pellegrino"/>
    <s v="|21/01/51|"/>
    <n v="60"/>
    <n v="1.06"/>
    <n v="1.39"/>
  </r>
  <r>
    <x v="2"/>
    <s v="Convenience stores"/>
    <x v="3"/>
    <s v="San Pellegrino"/>
    <s v="|21/01/52|"/>
    <n v="48"/>
    <n v="1.1399999999999999"/>
    <n v="1.28"/>
  </r>
  <r>
    <x v="2"/>
    <s v="Convenience stores"/>
    <x v="3"/>
    <s v="San Pellegrino"/>
    <s v="|21/01/53|"/>
    <n v="48"/>
    <n v="1.1399999999999999"/>
    <n v="1.2"/>
  </r>
  <r>
    <x v="2"/>
    <s v="Convenience stores"/>
    <x v="3"/>
    <s v="San Pellegrino"/>
    <s v="|21/01/54|"/>
    <n v="60"/>
    <n v="1"/>
    <n v="1.32"/>
  </r>
  <r>
    <x v="2"/>
    <s v="Convenience stores"/>
    <x v="3"/>
    <s v="San Pellegrino"/>
    <s v="|21/01/55|"/>
    <n v="60"/>
    <n v="1.02"/>
    <n v="1.3"/>
  </r>
  <r>
    <x v="2"/>
    <s v="Convenience stores"/>
    <x v="3"/>
    <s v="San Pellegrino"/>
    <s v="|21/01/56|"/>
    <n v="48"/>
    <n v="1.07"/>
    <n v="1.39"/>
  </r>
  <r>
    <x v="2"/>
    <s v="Convenience stores"/>
    <x v="3"/>
    <s v="San Pellegrino"/>
    <s v="|21/01/57|"/>
    <n v="48"/>
    <n v="1.1399999999999999"/>
    <n v="1.27"/>
  </r>
  <r>
    <x v="2"/>
    <s v="Convenience stores"/>
    <x v="3"/>
    <s v="San Pellegrino"/>
    <s v="|21/01/58|"/>
    <n v="60"/>
    <n v="1.1399999999999999"/>
    <n v="1.35"/>
  </r>
  <r>
    <x v="2"/>
    <s v="Convenience stores"/>
    <x v="3"/>
    <s v="San Pellegrino"/>
    <s v="|21/01/59|"/>
    <n v="60"/>
    <n v="1"/>
    <n v="1.2"/>
  </r>
  <r>
    <x v="2"/>
    <s v="Convenience stores"/>
    <x v="3"/>
    <s v="San Pellegrino"/>
    <s v="|21/01/60|"/>
    <n v="48"/>
    <n v="1.01"/>
    <n v="1.35"/>
  </r>
  <r>
    <x v="2"/>
    <s v="Convenience stores"/>
    <x v="3"/>
    <s v="San Pellegrino"/>
    <s v="|21/01/61|"/>
    <n v="72"/>
    <n v="1.0900000000000001"/>
    <n v="1.39"/>
  </r>
  <r>
    <x v="2"/>
    <s v="Convenience stores"/>
    <x v="3"/>
    <s v="San Pellegrino"/>
    <s v="|21/01/62|"/>
    <n v="48"/>
    <n v="1.0900000000000001"/>
    <n v="1.23"/>
  </r>
  <r>
    <x v="2"/>
    <s v="Convenience stores"/>
    <x v="3"/>
    <s v="San Pellegrino"/>
    <s v="|21/01/63|"/>
    <n v="60"/>
    <n v="1.1599999999999999"/>
    <n v="1.22"/>
  </r>
  <r>
    <x v="2"/>
    <s v="Convenience stores"/>
    <x v="3"/>
    <s v="San Pellegrino"/>
    <s v="|21/01/64|"/>
    <n v="48"/>
    <n v="1.01"/>
    <n v="1.29"/>
  </r>
  <r>
    <x v="2"/>
    <s v="Convenience stores"/>
    <x v="3"/>
    <s v="San Pellegrino"/>
    <s v="|21/01/65|"/>
    <n v="60"/>
    <n v="1.1399999999999999"/>
    <n v="1.21"/>
  </r>
  <r>
    <x v="2"/>
    <s v="Convenience stores"/>
    <x v="3"/>
    <s v="San Pellegrino"/>
    <s v="|21/01/66|"/>
    <n v="48"/>
    <n v="1.1200000000000001"/>
    <n v="1.2"/>
  </r>
  <r>
    <x v="2"/>
    <s v="Convenience stores"/>
    <x v="3"/>
    <s v="San Pellegrino"/>
    <s v="|21/01/67|"/>
    <n v="72"/>
    <n v="1.05"/>
    <n v="1.37"/>
  </r>
  <r>
    <x v="2"/>
    <s v="Convenience stores"/>
    <x v="3"/>
    <s v="San Pellegrino"/>
    <s v="|21/01/68|"/>
    <n v="48"/>
    <n v="1.01"/>
    <n v="1.28"/>
  </r>
  <r>
    <x v="2"/>
    <s v="Convenience stores"/>
    <x v="3"/>
    <s v="San Pellegrino"/>
    <s v="|21/01/69|"/>
    <n v="72"/>
    <n v="1.0900000000000001"/>
    <n v="1.2"/>
  </r>
  <r>
    <x v="2"/>
    <s v="Convenience stores"/>
    <x v="3"/>
    <s v="San Pellegrino"/>
    <s v="|21/01/70|"/>
    <n v="48"/>
    <n v="1.07"/>
    <n v="1.4"/>
  </r>
  <r>
    <x v="2"/>
    <s v="Convenience stores"/>
    <x v="3"/>
    <s v="San Pellegrino"/>
    <s v="|21/01/71|"/>
    <n v="48"/>
    <n v="1.1599999999999999"/>
    <n v="1.36"/>
  </r>
  <r>
    <x v="2"/>
    <s v="Convenience stores"/>
    <x v="3"/>
    <s v="San Pellegrino"/>
    <s v="|21/01/72|"/>
    <n v="48"/>
    <n v="1.03"/>
    <n v="1.23"/>
  </r>
  <r>
    <x v="2"/>
    <s v="Convenience stores"/>
    <x v="3"/>
    <s v="San Pellegrino"/>
    <s v="|21/01/73|"/>
    <n v="60"/>
    <n v="1.17"/>
    <n v="1.29"/>
  </r>
  <r>
    <x v="2"/>
    <s v="Convenience stores"/>
    <x v="3"/>
    <s v="San Pellegrino"/>
    <s v="|21/01/74|"/>
    <n v="72"/>
    <n v="1.17"/>
    <n v="1.29"/>
  </r>
  <r>
    <x v="2"/>
    <s v="Convenience stores"/>
    <x v="3"/>
    <s v="San Pellegrino"/>
    <s v="|21/01/75|"/>
    <n v="72"/>
    <n v="1.19"/>
    <n v="1.24"/>
  </r>
  <r>
    <x v="2"/>
    <s v="Convenience stores"/>
    <x v="3"/>
    <s v="San Pellegrino"/>
    <s v="|21/01/76|"/>
    <n v="48"/>
    <n v="1.05"/>
    <n v="1.26"/>
  </r>
  <r>
    <x v="2"/>
    <s v="Convenience stores"/>
    <x v="3"/>
    <s v="San Pellegrino"/>
    <s v="|21/01/77|"/>
    <n v="72"/>
    <n v="1.07"/>
    <n v="1.21"/>
  </r>
  <r>
    <x v="2"/>
    <s v="Convenience stores"/>
    <x v="3"/>
    <s v="San Pellegrino"/>
    <s v="|21/01/78|"/>
    <n v="48"/>
    <n v="1.1499999999999999"/>
    <n v="1.3"/>
  </r>
  <r>
    <x v="2"/>
    <s v="Convenience stores"/>
    <x v="3"/>
    <s v="San Pellegrino"/>
    <s v="|21/01/79|"/>
    <n v="60"/>
    <n v="1.01"/>
    <n v="1.3"/>
  </r>
  <r>
    <x v="2"/>
    <s v="Convenience stores"/>
    <x v="3"/>
    <s v="San Pellegrino"/>
    <s v="|21/01/80|"/>
    <n v="48"/>
    <n v="1.1499999999999999"/>
    <n v="1.27"/>
  </r>
  <r>
    <x v="2"/>
    <s v="Convenience stores"/>
    <x v="3"/>
    <s v="San Pellegrino"/>
    <s v="|21/01/81|"/>
    <n v="48"/>
    <n v="1"/>
    <n v="1.21"/>
  </r>
  <r>
    <x v="2"/>
    <s v="Convenience stores"/>
    <x v="3"/>
    <s v="San Pellegrino"/>
    <s v="|21/01/82|"/>
    <n v="72"/>
    <n v="1.05"/>
    <n v="1.22"/>
  </r>
  <r>
    <x v="2"/>
    <s v="Convenience stores"/>
    <x v="3"/>
    <s v="San Pellegrino"/>
    <s v="|21/01/83|"/>
    <n v="48"/>
    <n v="1.18"/>
    <n v="1.24"/>
  </r>
  <r>
    <x v="2"/>
    <s v="Convenience stores"/>
    <x v="3"/>
    <s v="San Pellegrino"/>
    <s v="|21/01/84|"/>
    <n v="72"/>
    <n v="1.1200000000000001"/>
    <n v="1.34"/>
  </r>
  <r>
    <x v="2"/>
    <s v="Convenience stores"/>
    <x v="3"/>
    <s v="San Pellegrino"/>
    <s v="|21/01/85|"/>
    <n v="48"/>
    <n v="1.1399999999999999"/>
    <n v="1.38"/>
  </r>
  <r>
    <x v="2"/>
    <s v="Convenience stores"/>
    <x v="3"/>
    <s v="San Pellegrino"/>
    <s v="|21/01/86|"/>
    <n v="48"/>
    <n v="1.08"/>
    <n v="1.23"/>
  </r>
  <r>
    <x v="2"/>
    <s v="Convenience stores"/>
    <x v="3"/>
    <s v="San Pellegrino"/>
    <s v="|21/01/87|"/>
    <n v="48"/>
    <n v="1.1299999999999999"/>
    <n v="1.22"/>
  </r>
  <r>
    <x v="2"/>
    <s v="Convenience stores"/>
    <x v="3"/>
    <s v="San Pellegrino"/>
    <s v="|21/01/90|"/>
    <n v="60"/>
    <n v="1.0900000000000001"/>
    <n v="1.27"/>
  </r>
  <r>
    <x v="2"/>
    <s v="Convenience stores"/>
    <x v="3"/>
    <s v="San Pellegrino"/>
    <s v="|21/01/91|"/>
    <n v="60"/>
    <n v="1.08"/>
    <n v="1.21"/>
  </r>
  <r>
    <x v="2"/>
    <s v="Convenience stores"/>
    <x v="3"/>
    <s v="San Pellegrino"/>
    <s v="|21/10/01|"/>
    <n v="48"/>
    <n v="1.02"/>
    <n v="1.34"/>
  </r>
  <r>
    <x v="2"/>
    <s v="Convenience stores"/>
    <x v="3"/>
    <s v="San Pellegrino"/>
    <s v="|21/10/10|"/>
    <n v="48"/>
    <n v="1.05"/>
    <n v="1.22"/>
  </r>
  <r>
    <x v="2"/>
    <s v="Convenience stores"/>
    <x v="3"/>
    <s v="San Pellegrino"/>
    <s v="|21/10/11|"/>
    <n v="60"/>
    <n v="1.02"/>
    <n v="1.4"/>
  </r>
  <r>
    <x v="2"/>
    <s v="Convenience stores"/>
    <x v="3"/>
    <s v="San Pellegrino"/>
    <s v="|21/10/12|"/>
    <n v="72"/>
    <n v="1.08"/>
    <n v="1.26"/>
  </r>
  <r>
    <x v="2"/>
    <s v="Convenience stores"/>
    <x v="3"/>
    <s v="San Pellegrino"/>
    <s v="|21/10/13|"/>
    <n v="72"/>
    <n v="1.18"/>
    <n v="1.39"/>
  </r>
  <r>
    <x v="2"/>
    <s v="Convenience stores"/>
    <x v="3"/>
    <s v="San Pellegrino"/>
    <s v="|21/10/14|"/>
    <n v="72"/>
    <n v="1.1000000000000001"/>
    <n v="1.32"/>
  </r>
  <r>
    <x v="2"/>
    <s v="Convenience stores"/>
    <x v="3"/>
    <s v="San Pellegrino"/>
    <s v="|21/10/15|"/>
    <n v="72"/>
    <n v="1.18"/>
    <n v="1.21"/>
  </r>
  <r>
    <x v="2"/>
    <s v="Convenience stores"/>
    <x v="3"/>
    <s v="San Pellegrino"/>
    <s v="|21/10/16|"/>
    <n v="48"/>
    <n v="1.01"/>
    <n v="1.33"/>
  </r>
  <r>
    <x v="2"/>
    <s v="Convenience stores"/>
    <x v="3"/>
    <s v="San Pellegrino"/>
    <s v="|21/10/17|"/>
    <n v="72"/>
    <n v="1.1299999999999999"/>
    <n v="1.21"/>
  </r>
  <r>
    <x v="2"/>
    <s v="Convenience stores"/>
    <x v="3"/>
    <s v="San Pellegrino"/>
    <s v="|21/10/18|"/>
    <n v="60"/>
    <n v="1.01"/>
    <n v="1.38"/>
  </r>
  <r>
    <x v="2"/>
    <s v="Convenience stores"/>
    <x v="3"/>
    <s v="San Pellegrino"/>
    <s v="|21/10/19|"/>
    <n v="72"/>
    <n v="1.1100000000000001"/>
    <n v="1.33"/>
  </r>
  <r>
    <x v="2"/>
    <s v="Convenience stores"/>
    <x v="3"/>
    <s v="San Pellegrino"/>
    <s v="|21/10/20|"/>
    <n v="48"/>
    <n v="1.02"/>
    <n v="1.3"/>
  </r>
  <r>
    <x v="2"/>
    <s v="Convenience stores"/>
    <x v="3"/>
    <s v="San Pellegrino"/>
    <s v="|21/10/21|"/>
    <n v="48"/>
    <n v="1.05"/>
    <n v="1.26"/>
  </r>
  <r>
    <x v="2"/>
    <s v="Convenience stores"/>
    <x v="3"/>
    <s v="San Pellegrino"/>
    <s v="|21/10/22|"/>
    <n v="60"/>
    <n v="1.01"/>
    <n v="1.36"/>
  </r>
  <r>
    <x v="2"/>
    <s v="Convenience stores"/>
    <x v="3"/>
    <s v="San Pellegrino"/>
    <s v="|21/11/01|"/>
    <n v="60"/>
    <n v="1.1299999999999999"/>
    <n v="1.37"/>
  </r>
  <r>
    <x v="2"/>
    <s v="Convenience stores"/>
    <x v="3"/>
    <s v="San Pellegrino"/>
    <s v="|21/11/02|"/>
    <n v="48"/>
    <n v="1.1399999999999999"/>
    <n v="1.35"/>
  </r>
  <r>
    <x v="2"/>
    <s v="Convenience stores"/>
    <x v="3"/>
    <s v="San Pellegrino"/>
    <s v="|21/11/03|"/>
    <n v="48"/>
    <n v="1.18"/>
    <n v="1.34"/>
  </r>
  <r>
    <x v="2"/>
    <s v="Convenience stores"/>
    <x v="3"/>
    <s v="San Pellegrino"/>
    <s v="|21/11/04|"/>
    <n v="48"/>
    <n v="1"/>
    <n v="1.4"/>
  </r>
  <r>
    <x v="2"/>
    <s v="Convenience stores"/>
    <x v="3"/>
    <s v="San Pellegrino"/>
    <s v="|21/11/05|"/>
    <n v="48"/>
    <n v="1.02"/>
    <n v="1.25"/>
  </r>
  <r>
    <x v="2"/>
    <s v="Convenience stores"/>
    <x v="3"/>
    <s v="San Pellegrino"/>
    <s v="|21/11/06|"/>
    <n v="48"/>
    <n v="1.07"/>
    <n v="1.25"/>
  </r>
  <r>
    <x v="2"/>
    <s v="Convenience stores"/>
    <x v="3"/>
    <s v="San Pellegrino"/>
    <s v="|21/11/07|"/>
    <n v="72"/>
    <n v="1.06"/>
    <n v="1.4"/>
  </r>
  <r>
    <x v="2"/>
    <s v="Convenience stores"/>
    <x v="3"/>
    <s v="San Pellegrino"/>
    <s v="|21/11/08|"/>
    <n v="72"/>
    <n v="1.19"/>
    <n v="1.37"/>
  </r>
  <r>
    <x v="2"/>
    <s v="Convenience stores"/>
    <x v="3"/>
    <s v="San Pellegrino"/>
    <s v="|21/11/09|"/>
    <n v="72"/>
    <n v="1.0900000000000001"/>
    <n v="1.21"/>
  </r>
  <r>
    <x v="2"/>
    <s v="Convenience stores"/>
    <x v="3"/>
    <s v="San Pellegrino"/>
    <s v="|21/11/10|"/>
    <n v="60"/>
    <n v="1.1499999999999999"/>
    <n v="1.21"/>
  </r>
  <r>
    <x v="2"/>
    <s v="Convenience stores"/>
    <x v="3"/>
    <s v="San Pellegrino"/>
    <s v="|21/11/11|"/>
    <n v="72"/>
    <n v="1.2"/>
    <n v="1.34"/>
  </r>
  <r>
    <x v="2"/>
    <s v="Convenience stores"/>
    <x v="3"/>
    <s v="San Pellegrino"/>
    <s v="|21/11/12|"/>
    <n v="60"/>
    <n v="1.02"/>
    <n v="1.2"/>
  </r>
  <r>
    <x v="2"/>
    <s v="Convenience stores"/>
    <x v="3"/>
    <s v="San Pellegrino"/>
    <s v="|21/11/13|"/>
    <n v="72"/>
    <n v="1.17"/>
    <n v="1.38"/>
  </r>
  <r>
    <x v="2"/>
    <s v="Convenience stores"/>
    <x v="3"/>
    <s v="San Pellegrino"/>
    <s v="|21/11/14|"/>
    <n v="72"/>
    <n v="1.03"/>
    <n v="1.31"/>
  </r>
  <r>
    <x v="2"/>
    <s v="Convenience stores"/>
    <x v="3"/>
    <s v="San Pellegrino"/>
    <s v="|21/11/15|"/>
    <n v="72"/>
    <n v="1.1000000000000001"/>
    <n v="1.21"/>
  </r>
  <r>
    <x v="2"/>
    <s v="Convenience stores"/>
    <x v="3"/>
    <s v="San Pellegrino"/>
    <s v="|21/11/16|"/>
    <n v="72"/>
    <n v="1.05"/>
    <n v="1.25"/>
  </r>
  <r>
    <x v="2"/>
    <s v="Convenience stores"/>
    <x v="7"/>
    <s v="Greener salads"/>
    <s v="|131/01/01|"/>
    <n v="852"/>
    <n v="2.44"/>
    <n v="3.99"/>
  </r>
  <r>
    <x v="2"/>
    <s v="Convenience stores"/>
    <x v="7"/>
    <s v="Greener salads"/>
    <s v="|131/01/07|"/>
    <n v="684"/>
    <n v="2.5299999999999998"/>
    <n v="3.51"/>
  </r>
  <r>
    <x v="2"/>
    <s v="Convenience stores"/>
    <x v="7"/>
    <s v="Greener salads"/>
    <s v="|131/01/14|"/>
    <n v="744"/>
    <n v="2.76"/>
    <n v="3.3"/>
  </r>
  <r>
    <x v="2"/>
    <s v="Convenience stores"/>
    <x v="7"/>
    <s v="Greener salads"/>
    <s v="|131/01/15|"/>
    <n v="1188"/>
    <n v="2.7"/>
    <n v="3.7"/>
  </r>
  <r>
    <x v="2"/>
    <s v="Convenience stores"/>
    <x v="7"/>
    <s v="Greener salads"/>
    <s v="|131/01/16|"/>
    <n v="684"/>
    <n v="2.66"/>
    <n v="3.6"/>
  </r>
  <r>
    <x v="2"/>
    <s v="Convenience stores"/>
    <x v="7"/>
    <s v="Greener salads"/>
    <s v="|131/01/17|"/>
    <n v="1176"/>
    <n v="2.72"/>
    <n v="3.31"/>
  </r>
  <r>
    <x v="2"/>
    <s v="Convenience stores"/>
    <x v="7"/>
    <s v="Greener salads"/>
    <s v="|131/01/20|"/>
    <n v="1200"/>
    <n v="2.4300000000000002"/>
    <n v="3.6"/>
  </r>
  <r>
    <x v="2"/>
    <s v="Convenience stores"/>
    <x v="7"/>
    <s v="Greener salads"/>
    <s v="|131/01/21|"/>
    <n v="996"/>
    <n v="2.39"/>
    <n v="3.9"/>
  </r>
  <r>
    <x v="2"/>
    <s v="Convenience stores"/>
    <x v="7"/>
    <s v="Greener salads"/>
    <s v="|131/01/24|"/>
    <n v="1116"/>
    <n v="2.93"/>
    <n v="3.71"/>
  </r>
  <r>
    <x v="2"/>
    <s v="Convenience stores"/>
    <x v="7"/>
    <s v="Greener salads"/>
    <s v="|131/01/27|"/>
    <n v="816"/>
    <n v="2.1"/>
    <n v="3.24"/>
  </r>
  <r>
    <x v="2"/>
    <s v="Convenience stores"/>
    <x v="7"/>
    <s v="Greener salads"/>
    <s v="|131/01/28|"/>
    <n v="924"/>
    <n v="2.52"/>
    <n v="3.62"/>
  </r>
  <r>
    <x v="2"/>
    <s v="Convenience stores"/>
    <x v="7"/>
    <s v="Greener salads"/>
    <s v="|131/01/29|"/>
    <n v="684"/>
    <n v="2.72"/>
    <n v="3.95"/>
  </r>
  <r>
    <x v="2"/>
    <s v="Convenience stores"/>
    <x v="7"/>
    <s v="Greener salads"/>
    <s v="|131/01/30|"/>
    <n v="612"/>
    <n v="2.6"/>
    <n v="3.49"/>
  </r>
  <r>
    <x v="2"/>
    <s v="Convenience stores"/>
    <x v="7"/>
    <s v="Greener salads"/>
    <s v="|131/01/31|"/>
    <n v="684"/>
    <n v="2.83"/>
    <n v="3.7"/>
  </r>
  <r>
    <x v="2"/>
    <s v="Convenience stores"/>
    <x v="7"/>
    <s v="Greener salads"/>
    <s v="|131/01/34|"/>
    <n v="600"/>
    <n v="2.08"/>
    <n v="3.89"/>
  </r>
  <r>
    <x v="2"/>
    <s v="Convenience stores"/>
    <x v="7"/>
    <s v="Greener salads"/>
    <s v="|131/01/35|"/>
    <n v="1200"/>
    <n v="2.92"/>
    <n v="4"/>
  </r>
  <r>
    <x v="2"/>
    <s v="Convenience stores"/>
    <x v="7"/>
    <s v="Greener salads"/>
    <s v="|131/01/36|"/>
    <n v="864"/>
    <n v="3"/>
    <n v="3.88"/>
  </r>
  <r>
    <x v="2"/>
    <s v="Convenience stores"/>
    <x v="7"/>
    <s v="Greener salads"/>
    <s v="|131/01/37|"/>
    <n v="1152"/>
    <n v="2.87"/>
    <n v="3.57"/>
  </r>
  <r>
    <x v="2"/>
    <s v="Convenience stores"/>
    <x v="7"/>
    <s v="Greener salads"/>
    <s v="|131/01/46|"/>
    <n v="996"/>
    <n v="2.88"/>
    <n v="3.74"/>
  </r>
  <r>
    <x v="2"/>
    <s v="Convenience stores"/>
    <x v="7"/>
    <s v="Greener salads"/>
    <s v="|131/01/54|"/>
    <n v="900"/>
    <n v="2.2400000000000002"/>
    <n v="3.77"/>
  </r>
  <r>
    <x v="2"/>
    <s v="Convenience stores"/>
    <x v="7"/>
    <s v="Greener salads"/>
    <s v="|131/01/55|"/>
    <n v="780"/>
    <n v="2.06"/>
    <n v="3.77"/>
  </r>
  <r>
    <x v="2"/>
    <s v="Convenience stores"/>
    <x v="7"/>
    <s v="Greener salads"/>
    <s v="|131/01/57|"/>
    <n v="1056"/>
    <n v="2.88"/>
    <n v="4"/>
  </r>
  <r>
    <x v="2"/>
    <s v="Convenience stores"/>
    <x v="7"/>
    <s v="Greener salads"/>
    <s v="|131/01/58|"/>
    <n v="1200"/>
    <n v="2.09"/>
    <n v="3.49"/>
  </r>
  <r>
    <x v="2"/>
    <s v="Convenience stores"/>
    <x v="7"/>
    <s v="Greener salads"/>
    <s v="|131/01/60|"/>
    <n v="876"/>
    <n v="2.96"/>
    <n v="3.95"/>
  </r>
  <r>
    <x v="2"/>
    <s v="Convenience stores"/>
    <x v="7"/>
    <s v="Greener salads"/>
    <s v="|131/01/64|"/>
    <n v="744"/>
    <n v="2.58"/>
    <n v="3.28"/>
  </r>
  <r>
    <x v="2"/>
    <s v="Convenience stores"/>
    <x v="7"/>
    <s v="Greener salads"/>
    <s v="|131/01/62|"/>
    <n v="840"/>
    <n v="2.92"/>
    <n v="3.93"/>
  </r>
  <r>
    <x v="2"/>
    <s v="Convenience stores"/>
    <x v="7"/>
    <s v="Greener salads"/>
    <s v="|131/01/63|"/>
    <n v="1140"/>
    <n v="2.4300000000000002"/>
    <n v="3.48"/>
  </r>
  <r>
    <x v="2"/>
    <s v="Convenience stores"/>
    <x v="7"/>
    <s v="Greener salads"/>
    <s v="|131/01/69|"/>
    <n v="1140"/>
    <n v="2.23"/>
    <n v="3.96"/>
  </r>
  <r>
    <x v="2"/>
    <s v="Convenience stores"/>
    <x v="7"/>
    <s v="Greener salads"/>
    <s v="|131/01/70|"/>
    <n v="828"/>
    <n v="2.8"/>
    <n v="3.49"/>
  </r>
  <r>
    <x v="2"/>
    <s v="Convenience stores"/>
    <x v="7"/>
    <s v="Greener salads"/>
    <s v="|131/01/72|"/>
    <n v="840"/>
    <n v="2.21"/>
    <n v="3.46"/>
  </r>
  <r>
    <x v="2"/>
    <s v="Convenience stores"/>
    <x v="7"/>
    <s v="Greener salads"/>
    <s v="|131/01/73|"/>
    <n v="996"/>
    <n v="2.94"/>
    <n v="3.59"/>
  </r>
  <r>
    <x v="2"/>
    <s v="Convenience stores"/>
    <x v="7"/>
    <s v="Greener salads"/>
    <s v="|131/01/76|"/>
    <n v="960"/>
    <n v="2.0299999999999998"/>
    <n v="3.67"/>
  </r>
  <r>
    <x v="2"/>
    <s v="Convenience stores"/>
    <x v="7"/>
    <s v="Greener salads"/>
    <s v="|131/01/80|"/>
    <n v="1200"/>
    <n v="2.35"/>
    <n v="3.77"/>
  </r>
  <r>
    <x v="2"/>
    <s v="Convenience stores"/>
    <x v="7"/>
    <s v="Greener salads"/>
    <s v="|131/01/87|"/>
    <n v="1020"/>
    <n v="2.0699999999999998"/>
    <n v="3.3"/>
  </r>
  <r>
    <x v="2"/>
    <s v="Convenience stores"/>
    <x v="7"/>
    <s v="Greener salads"/>
    <s v="|131/01/93|"/>
    <n v="636"/>
    <n v="2.34"/>
    <n v="3.52"/>
  </r>
  <r>
    <x v="2"/>
    <s v="Convenience stores"/>
    <x v="7"/>
    <s v="Greener salads"/>
    <s v="|131/01/97|"/>
    <n v="804"/>
    <n v="2.66"/>
    <n v="3.51"/>
  </r>
  <r>
    <x v="2"/>
    <s v="Convenience stores"/>
    <x v="7"/>
    <s v="Greener salads"/>
    <s v="|131/01/103|"/>
    <n v="708"/>
    <n v="2.35"/>
    <n v="3.23"/>
  </r>
  <r>
    <x v="2"/>
    <s v="Convenience stores"/>
    <x v="7"/>
    <s v="Greener salads"/>
    <s v="|131/01/111|"/>
    <n v="600"/>
    <n v="2.63"/>
    <n v="3.45"/>
  </r>
  <r>
    <x v="2"/>
    <s v="Convenience stores"/>
    <x v="7"/>
    <s v="Greener salads"/>
    <s v="|131/01/105|"/>
    <n v="888"/>
    <n v="2.04"/>
    <n v="3.25"/>
  </r>
  <r>
    <x v="2"/>
    <s v="Convenience stores"/>
    <x v="7"/>
    <s v="Greener salads"/>
    <s v="|131/01/130|"/>
    <n v="1164"/>
    <n v="2.95"/>
    <n v="3.45"/>
  </r>
  <r>
    <x v="2"/>
    <s v="Convenience stores"/>
    <x v="7"/>
    <s v="Greener salads"/>
    <s v="|131/01/135|"/>
    <n v="1128"/>
    <n v="2.62"/>
    <n v="3.45"/>
  </r>
  <r>
    <x v="2"/>
    <s v="Convenience stores"/>
    <x v="7"/>
    <s v="Greener salads"/>
    <s v="|128/01/130|"/>
    <n v="1092"/>
    <n v="2.21"/>
    <n v="3.75"/>
  </r>
  <r>
    <x v="2"/>
    <s v="Convenience stores"/>
    <x v="7"/>
    <s v="Greener salads"/>
    <s v="|128/01/131|"/>
    <n v="924"/>
    <n v="2.39"/>
    <n v="3.32"/>
  </r>
  <r>
    <x v="2"/>
    <s v="Convenience stores"/>
    <x v="7"/>
    <s v="Greener salads"/>
    <s v="|128/01/132|"/>
    <n v="936"/>
    <n v="2.39"/>
    <n v="3.57"/>
  </r>
  <r>
    <x v="2"/>
    <s v="Convenience stores"/>
    <x v="7"/>
    <s v="Greener salads"/>
    <s v="|131/02/03|"/>
    <n v="852"/>
    <n v="2.27"/>
    <n v="3.86"/>
  </r>
  <r>
    <x v="2"/>
    <s v="Convenience stores"/>
    <x v="7"/>
    <s v="Greener salads"/>
    <s v="|131/02/06|"/>
    <n v="828"/>
    <n v="2.17"/>
    <n v="3.57"/>
  </r>
  <r>
    <x v="2"/>
    <s v="Convenience stores"/>
    <x v="7"/>
    <s v="Greener salads"/>
    <s v="|131/02/09|"/>
    <n v="672"/>
    <n v="2.83"/>
    <n v="3.7"/>
  </r>
  <r>
    <x v="2"/>
    <s v="Convenience stores"/>
    <x v="7"/>
    <s v="Greener salads"/>
    <s v="|131/02/16|"/>
    <n v="948"/>
    <n v="2.23"/>
    <n v="3.7"/>
  </r>
  <r>
    <x v="2"/>
    <s v="Convenience stores"/>
    <x v="7"/>
    <s v="Greener salads"/>
    <s v="|131/02/17|"/>
    <n v="1044"/>
    <n v="2.69"/>
    <n v="3.27"/>
  </r>
  <r>
    <x v="2"/>
    <s v="Convenience stores"/>
    <x v="7"/>
    <s v="Greener salads"/>
    <s v="|131/02/22|"/>
    <n v="816"/>
    <n v="2.0099999999999998"/>
    <n v="3.49"/>
  </r>
  <r>
    <x v="2"/>
    <s v="Convenience stores"/>
    <x v="7"/>
    <s v="Greener salads"/>
    <s v="|131/02/24|"/>
    <n v="1176"/>
    <n v="2.57"/>
    <n v="3.73"/>
  </r>
  <r>
    <x v="2"/>
    <s v="Convenience stores"/>
    <x v="7"/>
    <s v="Greener salads"/>
    <s v="|131/02/28|"/>
    <n v="1008"/>
    <n v="2.23"/>
    <n v="3.48"/>
  </r>
  <r>
    <x v="2"/>
    <s v="Convenience stores"/>
    <x v="7"/>
    <s v="Greener salads"/>
    <s v="|131/02/41|"/>
    <n v="1152"/>
    <n v="2.36"/>
    <n v="3.93"/>
  </r>
  <r>
    <x v="2"/>
    <s v="Convenience stores"/>
    <x v="7"/>
    <s v="Greener salads"/>
    <s v="|131/02/36|"/>
    <n v="1140"/>
    <n v="3"/>
    <n v="3.35"/>
  </r>
  <r>
    <x v="2"/>
    <s v="Convenience stores"/>
    <x v="7"/>
    <s v="Greener salads"/>
    <s v="|131/02/39|"/>
    <n v="732"/>
    <n v="2.72"/>
    <n v="3.8"/>
  </r>
  <r>
    <x v="2"/>
    <s v="Convenience stores"/>
    <x v="7"/>
    <s v="Greener salads"/>
    <s v="|131/02/40|"/>
    <n v="816"/>
    <n v="2.93"/>
    <n v="3.96"/>
  </r>
  <r>
    <x v="2"/>
    <s v="Convenience stores"/>
    <x v="7"/>
    <s v="Greener salads"/>
    <s v="|131/02/57|"/>
    <n v="948"/>
    <n v="2.06"/>
    <n v="3.3"/>
  </r>
  <r>
    <x v="2"/>
    <s v="Convenience stores"/>
    <x v="3"/>
    <s v="Pepsi"/>
    <s v="|49/01/01|"/>
    <n v="48"/>
    <n v="1.1000000000000001"/>
    <n v="1.27"/>
  </r>
  <r>
    <x v="2"/>
    <s v="Convenience stores"/>
    <x v="3"/>
    <s v="San Benedetto"/>
    <s v="|49/01/02|"/>
    <n v="72"/>
    <n v="1.2"/>
    <n v="1.38"/>
  </r>
  <r>
    <x v="2"/>
    <s v="Convenience stores"/>
    <x v="3"/>
    <s v="San Benedetto"/>
    <s v="|49/01/03|"/>
    <n v="72"/>
    <n v="1.1599999999999999"/>
    <n v="1.28"/>
  </r>
  <r>
    <x v="2"/>
    <s v="Convenience stores"/>
    <x v="3"/>
    <s v="San Benedetto"/>
    <s v="|49/01/04|"/>
    <n v="48"/>
    <n v="1.1100000000000001"/>
    <n v="1.2"/>
  </r>
  <r>
    <x v="2"/>
    <s v="Convenience stores"/>
    <x v="3"/>
    <s v="San Benedetto"/>
    <s v="|49/01/05|"/>
    <n v="60"/>
    <n v="1.05"/>
    <n v="1.34"/>
  </r>
  <r>
    <x v="2"/>
    <s v="Convenience stores"/>
    <x v="3"/>
    <s v="San Benedetto"/>
    <s v="|49/01/06|"/>
    <n v="72"/>
    <n v="1.07"/>
    <n v="1.25"/>
  </r>
  <r>
    <x v="2"/>
    <s v="Convenience stores"/>
    <x v="3"/>
    <s v="San Benedetto"/>
    <s v="|49/01/07|"/>
    <n v="48"/>
    <n v="1.1599999999999999"/>
    <n v="1.2"/>
  </r>
  <r>
    <x v="2"/>
    <s v="Convenience stores"/>
    <x v="3"/>
    <s v="San Benedetto"/>
    <s v="|49/01/08|"/>
    <n v="60"/>
    <n v="1.18"/>
    <n v="1.38"/>
  </r>
  <r>
    <x v="2"/>
    <s v="Convenience stores"/>
    <x v="3"/>
    <s v="San Benedetto"/>
    <s v="|49/01/09|"/>
    <n v="72"/>
    <n v="1"/>
    <n v="1.26"/>
  </r>
  <r>
    <x v="2"/>
    <s v="Convenience stores"/>
    <x v="3"/>
    <s v="Pepsi"/>
    <s v="|49/01/10|"/>
    <n v="72"/>
    <n v="1.04"/>
    <n v="1.33"/>
  </r>
  <r>
    <x v="2"/>
    <s v="Convenience stores"/>
    <x v="3"/>
    <s v="San Benedetto"/>
    <s v="|49/01/11|"/>
    <n v="48"/>
    <n v="1.2"/>
    <n v="1.36"/>
  </r>
  <r>
    <x v="2"/>
    <s v="Convenience stores"/>
    <x v="3"/>
    <s v="San Benedetto"/>
    <s v="|49/01/12|"/>
    <n v="60"/>
    <n v="1.07"/>
    <n v="1.27"/>
  </r>
  <r>
    <x v="2"/>
    <s v="Convenience stores"/>
    <x v="3"/>
    <s v="San Benedetto"/>
    <s v="|49/01/13|"/>
    <n v="72"/>
    <n v="1"/>
    <n v="1.39"/>
  </r>
  <r>
    <x v="2"/>
    <s v="Convenience stores"/>
    <x v="6"/>
    <s v="Plain Vanilla"/>
    <s v="|99/08/05|"/>
    <n v="2112"/>
    <n v="2.96"/>
    <n v="3.69"/>
  </r>
  <r>
    <x v="2"/>
    <s v="Convenience stores"/>
    <x v="6"/>
    <s v="Plain Vanilla"/>
    <s v="|99/08/06|"/>
    <n v="2676"/>
    <n v="2.73"/>
    <n v="3.61"/>
  </r>
  <r>
    <x v="2"/>
    <s v="Convenience stores"/>
    <x v="6"/>
    <s v="Plain Vanilla"/>
    <s v="|99/08/15|"/>
    <n v="2724"/>
    <n v="2.36"/>
    <n v="3.96"/>
  </r>
  <r>
    <x v="2"/>
    <s v="Convenience stores"/>
    <x v="6"/>
    <s v="Plain Vanilla"/>
    <s v="|99/08/16|"/>
    <n v="2112"/>
    <n v="2.3199999999999998"/>
    <n v="3.86"/>
  </r>
  <r>
    <x v="2"/>
    <s v="Convenience stores"/>
    <x v="6"/>
    <s v="Plain Vanilla"/>
    <s v="|99/08/17|"/>
    <n v="1308"/>
    <n v="2.73"/>
    <n v="4"/>
  </r>
  <r>
    <x v="2"/>
    <s v="Convenience stores"/>
    <x v="6"/>
    <s v="Plain Vanilla"/>
    <s v="|99/08/20|"/>
    <n v="1380"/>
    <n v="2.94"/>
    <n v="3.59"/>
  </r>
  <r>
    <x v="2"/>
    <s v="Convenience stores"/>
    <x v="6"/>
    <s v="Plain Vanilla"/>
    <s v="|99/08/23|"/>
    <n v="1764"/>
    <n v="2.9"/>
    <n v="3.57"/>
  </r>
  <r>
    <x v="2"/>
    <s v="Convenience stores"/>
    <x v="6"/>
    <s v="Plain Vanilla"/>
    <s v="|99/08/24|"/>
    <n v="2076"/>
    <n v="2.74"/>
    <n v="3.63"/>
  </r>
  <r>
    <x v="2"/>
    <s v="Convenience stores"/>
    <x v="6"/>
    <s v="Plain Vanilla"/>
    <s v="|99/08/28|"/>
    <n v="1764"/>
    <n v="2.63"/>
    <n v="3.72"/>
  </r>
  <r>
    <x v="2"/>
    <s v="Convenience stores"/>
    <x v="3"/>
    <s v="Pit bull"/>
    <s v="|21/04/01|"/>
    <n v="72"/>
    <n v="1.19"/>
    <n v="1.27"/>
  </r>
  <r>
    <x v="2"/>
    <s v="Convenience stores"/>
    <x v="3"/>
    <s v="Pit bull"/>
    <s v="|21/04/02|"/>
    <n v="48"/>
    <n v="1.05"/>
    <n v="1.27"/>
  </r>
  <r>
    <x v="2"/>
    <s v="Convenience stores"/>
    <x v="3"/>
    <s v="Pit bull"/>
    <s v="|21/04/03|"/>
    <n v="60"/>
    <n v="1.1499999999999999"/>
    <n v="1.33"/>
  </r>
  <r>
    <x v="2"/>
    <s v="Convenience stores"/>
    <x v="3"/>
    <s v="Pit bull"/>
    <s v="|21/04/04|"/>
    <n v="72"/>
    <n v="1.17"/>
    <n v="1.31"/>
  </r>
  <r>
    <x v="2"/>
    <s v="Convenience stores"/>
    <x v="3"/>
    <s v="Pit bull"/>
    <s v="|21/04/05|"/>
    <n v="60"/>
    <n v="1.1599999999999999"/>
    <n v="1.23"/>
  </r>
  <r>
    <x v="2"/>
    <s v="Convenience stores"/>
    <x v="3"/>
    <s v="Campari"/>
    <s v="|118/01/01|"/>
    <n v="48"/>
    <n v="1.01"/>
    <n v="1.4"/>
  </r>
  <r>
    <x v="2"/>
    <s v="Convenience stores"/>
    <x v="3"/>
    <s v="Campari"/>
    <s v="|118/01/02|"/>
    <n v="48"/>
    <n v="1.1399999999999999"/>
    <n v="1.29"/>
  </r>
  <r>
    <x v="2"/>
    <s v="Convenience stores"/>
    <x v="3"/>
    <s v="Campari"/>
    <s v="|118/01/03|"/>
    <n v="48"/>
    <n v="1"/>
    <n v="1.3"/>
  </r>
  <r>
    <x v="2"/>
    <s v="Convenience stores"/>
    <x v="2"/>
    <s v="Lavazza"/>
    <s v="|34/01/01|"/>
    <n v="8460"/>
    <n v="0.88"/>
    <n v="0.93"/>
  </r>
  <r>
    <x v="2"/>
    <s v="Convenience stores"/>
    <x v="2"/>
    <s v="Lavazza"/>
    <s v="|34/01/02|"/>
    <n v="6624"/>
    <n v="0.41"/>
    <n v="1.1100000000000001"/>
  </r>
  <r>
    <x v="2"/>
    <s v="Convenience stores"/>
    <x v="2"/>
    <s v="Lavazza"/>
    <s v="|34/01/03|"/>
    <n v="5172"/>
    <n v="0.87"/>
    <n v="1.1399999999999999"/>
  </r>
  <r>
    <x v="2"/>
    <s v="Convenience stores"/>
    <x v="2"/>
    <s v="Lavazza"/>
    <s v="|34/01/10|"/>
    <n v="6240"/>
    <n v="0.4"/>
    <n v="1.02"/>
  </r>
  <r>
    <x v="2"/>
    <s v="Convenience stores"/>
    <x v="2"/>
    <s v="Lavazza"/>
    <s v="|34/01/11|"/>
    <n v="6528"/>
    <n v="0.53"/>
    <n v="1.04"/>
  </r>
  <r>
    <x v="2"/>
    <s v="Convenience stores"/>
    <x v="2"/>
    <s v="Lavazza"/>
    <s v="|34/01/12|"/>
    <n v="8232"/>
    <n v="0.98"/>
    <n v="0.99"/>
  </r>
  <r>
    <x v="2"/>
    <s v="Convenience stores"/>
    <x v="9"/>
    <s v="Garofalo"/>
    <s v="|110/00/20|"/>
    <n v="732"/>
    <n v="2.33"/>
    <n v="2.4300000000000002"/>
  </r>
  <r>
    <x v="2"/>
    <s v="Convenience stores"/>
    <x v="9"/>
    <s v="Garofalo"/>
    <s v="|110/00/21|"/>
    <n v="732"/>
    <n v="1.36"/>
    <n v="3.24"/>
  </r>
  <r>
    <x v="2"/>
    <s v="Convenience stores"/>
    <x v="9"/>
    <s v="J&amp;J"/>
    <s v="|23/23/00|"/>
    <n v="696"/>
    <n v="1.69"/>
    <n v="2.9"/>
  </r>
  <r>
    <x v="2"/>
    <s v="Convenience stores"/>
    <x v="9"/>
    <s v="J&amp;J"/>
    <s v="|23/23/01|"/>
    <n v="444"/>
    <n v="1.35"/>
    <n v="2.5"/>
  </r>
  <r>
    <x v="2"/>
    <s v="Convenience stores"/>
    <x v="9"/>
    <s v="J&amp;J"/>
    <s v="|23/23/02|"/>
    <n v="900"/>
    <n v="2.29"/>
    <n v="3.06"/>
  </r>
  <r>
    <x v="2"/>
    <s v="Convenience stores"/>
    <x v="9"/>
    <s v="J&amp;J"/>
    <s v="|23/23/03|"/>
    <n v="1116"/>
    <n v="1.85"/>
    <n v="2.13"/>
  </r>
  <r>
    <x v="2"/>
    <s v="Convenience stores"/>
    <x v="9"/>
    <s v="J&amp;J"/>
    <s v="|23/23/04|"/>
    <n v="576"/>
    <n v="1.77"/>
    <n v="3.19"/>
  </r>
  <r>
    <x v="2"/>
    <s v="Convenience stores"/>
    <x v="9"/>
    <s v="J&amp;J"/>
    <s v="|23/23/05|"/>
    <n v="780"/>
    <n v="1.82"/>
    <n v="2.91"/>
  </r>
  <r>
    <x v="2"/>
    <s v="Convenience stores"/>
    <x v="9"/>
    <s v="J&amp;J"/>
    <s v="|23/23/06|"/>
    <n v="924"/>
    <n v="1.55"/>
    <n v="2.25"/>
  </r>
  <r>
    <x v="2"/>
    <s v="Convenience stores"/>
    <x v="9"/>
    <s v="J&amp;J"/>
    <s v="|23/23/07|"/>
    <n v="936"/>
    <n v="1.33"/>
    <n v="3.06"/>
  </r>
  <r>
    <x v="2"/>
    <s v="Convenience stores"/>
    <x v="9"/>
    <s v="J&amp;J"/>
    <s v="|23/23/08|"/>
    <n v="1188"/>
    <n v="1.41"/>
    <n v="2.61"/>
  </r>
  <r>
    <x v="2"/>
    <s v="Convenience stores"/>
    <x v="9"/>
    <s v="J&amp;J"/>
    <s v="|23/23/09|"/>
    <n v="912"/>
    <n v="1.42"/>
    <n v="2.75"/>
  </r>
  <r>
    <x v="2"/>
    <s v="Convenience stores"/>
    <x v="9"/>
    <s v="J&amp;J"/>
    <s v="|23/23/10|"/>
    <n v="840"/>
    <n v="1.37"/>
    <n v="3.12"/>
  </r>
  <r>
    <x v="2"/>
    <s v="Convenience stores"/>
    <x v="9"/>
    <s v="J&amp;J"/>
    <s v="|23/23/100|"/>
    <n v="948"/>
    <n v="1.41"/>
    <n v="2.73"/>
  </r>
  <r>
    <x v="2"/>
    <s v="Convenience stores"/>
    <x v="9"/>
    <s v="J&amp;J"/>
    <s v="|23/23/101|"/>
    <n v="768"/>
    <n v="1.84"/>
    <n v="2.44"/>
  </r>
  <r>
    <x v="2"/>
    <s v="Convenience stores"/>
    <x v="9"/>
    <s v="J&amp;J"/>
    <s v="|23/23/102|"/>
    <n v="1164"/>
    <n v="1.57"/>
    <n v="2.6"/>
  </r>
  <r>
    <x v="2"/>
    <s v="Convenience stores"/>
    <x v="9"/>
    <s v="J&amp;J"/>
    <s v="|23/23/103|"/>
    <n v="552"/>
    <n v="1.58"/>
    <n v="2.11"/>
  </r>
  <r>
    <x v="2"/>
    <s v="Convenience stores"/>
    <x v="9"/>
    <s v="J&amp;J"/>
    <s v="|23/23/105|"/>
    <n v="1080"/>
    <n v="1.47"/>
    <n v="2.0499999999999998"/>
  </r>
  <r>
    <x v="2"/>
    <s v="Convenience stores"/>
    <x v="9"/>
    <s v="J&amp;J"/>
    <s v="|23/23/106|"/>
    <n v="1008"/>
    <n v="2.39"/>
    <n v="3.34"/>
  </r>
  <r>
    <x v="2"/>
    <s v="Convenience stores"/>
    <x v="9"/>
    <s v="J&amp;J"/>
    <s v="|23/23/107|"/>
    <n v="564"/>
    <n v="2.2799999999999998"/>
    <n v="3.16"/>
  </r>
  <r>
    <x v="2"/>
    <s v="Convenience stores"/>
    <x v="9"/>
    <s v="J&amp;J"/>
    <s v="|23/23/108|"/>
    <n v="1164"/>
    <n v="1.61"/>
    <n v="3.4"/>
  </r>
  <r>
    <x v="2"/>
    <s v="Convenience stores"/>
    <x v="9"/>
    <s v="J&amp;J"/>
    <s v="|23/23/11|"/>
    <n v="900"/>
    <n v="1.63"/>
    <n v="2.76"/>
  </r>
  <r>
    <x v="2"/>
    <s v="Convenience stores"/>
    <x v="9"/>
    <s v="J&amp;J"/>
    <s v="|23/23/12|"/>
    <n v="1164"/>
    <n v="2.4"/>
    <n v="2.85"/>
  </r>
  <r>
    <x v="2"/>
    <s v="Convenience stores"/>
    <x v="9"/>
    <s v="J&amp;J"/>
    <s v="|23/23/13|"/>
    <n v="960"/>
    <n v="1.26"/>
    <n v="2.14"/>
  </r>
  <r>
    <x v="2"/>
    <s v="Convenience stores"/>
    <x v="9"/>
    <s v="J&amp;J"/>
    <s v="|23/23/14|"/>
    <n v="840"/>
    <n v="1.62"/>
    <n v="2.21"/>
  </r>
  <r>
    <x v="2"/>
    <s v="Convenience stores"/>
    <x v="9"/>
    <s v="J&amp;J"/>
    <s v="|23/23/15|"/>
    <n v="1056"/>
    <n v="1.49"/>
    <n v="2.87"/>
  </r>
  <r>
    <x v="2"/>
    <s v="Convenience stores"/>
    <x v="9"/>
    <s v="J&amp;J"/>
    <s v="|23/23/16|"/>
    <n v="720"/>
    <n v="2.44"/>
    <n v="2.41"/>
  </r>
  <r>
    <x v="2"/>
    <s v="Convenience stores"/>
    <x v="9"/>
    <s v="J&amp;J"/>
    <s v="|23/23/17|"/>
    <n v="432"/>
    <n v="2.46"/>
    <n v="3.3"/>
  </r>
  <r>
    <x v="2"/>
    <s v="Convenience stores"/>
    <x v="9"/>
    <s v="J&amp;J"/>
    <s v="|23/23/18|"/>
    <n v="1176"/>
    <n v="1.64"/>
    <n v="2.1800000000000002"/>
  </r>
  <r>
    <x v="2"/>
    <s v="Convenience stores"/>
    <x v="9"/>
    <s v="J&amp;J"/>
    <s v="|23/23/19|"/>
    <n v="1128"/>
    <n v="2.5"/>
    <n v="2.4300000000000002"/>
  </r>
  <r>
    <x v="2"/>
    <s v="Convenience stores"/>
    <x v="9"/>
    <s v="J&amp;J"/>
    <s v="|23/23/20|"/>
    <n v="456"/>
    <n v="1.52"/>
    <n v="2.68"/>
  </r>
  <r>
    <x v="2"/>
    <s v="Convenience stores"/>
    <x v="9"/>
    <s v="J&amp;J"/>
    <s v="|23/23/21|"/>
    <n v="480"/>
    <n v="1.73"/>
    <n v="2.06"/>
  </r>
  <r>
    <x v="2"/>
    <s v="Convenience stores"/>
    <x v="9"/>
    <s v="J&amp;J"/>
    <s v="|23/23/22|"/>
    <n v="972"/>
    <n v="1.41"/>
    <n v="2.65"/>
  </r>
  <r>
    <x v="2"/>
    <s v="Convenience stores"/>
    <x v="9"/>
    <s v="J&amp;J"/>
    <s v="|23/23/23|"/>
    <n v="900"/>
    <n v="1.43"/>
    <n v="2.84"/>
  </r>
  <r>
    <x v="2"/>
    <s v="Convenience stores"/>
    <x v="9"/>
    <s v="J&amp;J"/>
    <s v="|23/23/24|"/>
    <n v="948"/>
    <n v="1.34"/>
    <n v="3.32"/>
  </r>
  <r>
    <x v="2"/>
    <s v="Convenience stores"/>
    <x v="9"/>
    <s v="J&amp;J"/>
    <s v="|23/23/25|"/>
    <n v="900"/>
    <n v="1.28"/>
    <n v="3.07"/>
  </r>
  <r>
    <x v="2"/>
    <s v="Convenience stores"/>
    <x v="9"/>
    <s v="J&amp;J"/>
    <s v="|23/23/26|"/>
    <n v="1008"/>
    <n v="1.78"/>
    <n v="3.14"/>
  </r>
  <r>
    <x v="2"/>
    <s v="Convenience stores"/>
    <x v="9"/>
    <s v="J&amp;J"/>
    <s v="|23/23/27|"/>
    <n v="540"/>
    <n v="1.64"/>
    <n v="2.02"/>
  </r>
  <r>
    <x v="2"/>
    <s v="Convenience stores"/>
    <x v="9"/>
    <s v="J&amp;J"/>
    <s v="|23/23/28|"/>
    <n v="552"/>
    <n v="1.88"/>
    <n v="2.81"/>
  </r>
  <r>
    <x v="2"/>
    <s v="Convenience stores"/>
    <x v="9"/>
    <s v="J&amp;J"/>
    <s v="|23/23/29|"/>
    <n v="732"/>
    <n v="1.95"/>
    <n v="2.8"/>
  </r>
  <r>
    <x v="2"/>
    <s v="Convenience stores"/>
    <x v="9"/>
    <s v="J&amp;J"/>
    <s v="|23/23/30|"/>
    <n v="816"/>
    <n v="1.39"/>
    <n v="3.13"/>
  </r>
  <r>
    <x v="2"/>
    <s v="Convenience stores"/>
    <x v="9"/>
    <s v="J&amp;J"/>
    <s v="|23/23/31|"/>
    <n v="456"/>
    <n v="2.25"/>
    <n v="2.58"/>
  </r>
  <r>
    <x v="2"/>
    <s v="Convenience stores"/>
    <x v="9"/>
    <s v="J&amp;J"/>
    <s v="|23/23/32|"/>
    <n v="1044"/>
    <n v="1.67"/>
    <n v="2.62"/>
  </r>
  <r>
    <x v="2"/>
    <s v="Convenience stores"/>
    <x v="9"/>
    <s v="J&amp;J"/>
    <s v="|23/23/33|"/>
    <n v="672"/>
    <n v="2.35"/>
    <n v="3.29"/>
  </r>
  <r>
    <x v="2"/>
    <s v="Convenience stores"/>
    <x v="9"/>
    <s v="J&amp;J"/>
    <s v="|23/23/34|"/>
    <n v="420"/>
    <n v="2.33"/>
    <n v="2.0099999999999998"/>
  </r>
  <r>
    <x v="2"/>
    <s v="Convenience stores"/>
    <x v="9"/>
    <s v="J&amp;J"/>
    <s v="|23/23/35|"/>
    <n v="384"/>
    <n v="1.67"/>
    <n v="2.1"/>
  </r>
  <r>
    <x v="2"/>
    <s v="Convenience stores"/>
    <x v="9"/>
    <s v="J&amp;J"/>
    <s v="|23/23/36|"/>
    <n v="1044"/>
    <n v="2.21"/>
    <n v="3.22"/>
  </r>
  <r>
    <x v="2"/>
    <s v="Convenience stores"/>
    <x v="9"/>
    <s v="J&amp;J"/>
    <s v="|23/23/37|"/>
    <n v="924"/>
    <n v="1.53"/>
    <n v="2.91"/>
  </r>
  <r>
    <x v="2"/>
    <s v="Convenience stores"/>
    <x v="9"/>
    <s v="J&amp;J"/>
    <s v="|23/23/38|"/>
    <n v="1140"/>
    <n v="1.68"/>
    <n v="2.76"/>
  </r>
  <r>
    <x v="2"/>
    <s v="Convenience stores"/>
    <x v="9"/>
    <s v="J&amp;J"/>
    <s v="|23/23/39|"/>
    <n v="672"/>
    <n v="1.57"/>
    <n v="3.46"/>
  </r>
  <r>
    <x v="2"/>
    <s v="Convenience stores"/>
    <x v="9"/>
    <s v="J&amp;J"/>
    <s v="|23/23/40|"/>
    <n v="384"/>
    <n v="1.26"/>
    <n v="3.05"/>
  </r>
  <r>
    <x v="2"/>
    <s v="Convenience stores"/>
    <x v="9"/>
    <s v="J&amp;J"/>
    <s v="|23/23/41|"/>
    <n v="840"/>
    <n v="2.3199999999999998"/>
    <n v="3.01"/>
  </r>
  <r>
    <x v="2"/>
    <s v="Convenience stores"/>
    <x v="9"/>
    <s v="J&amp;J"/>
    <s v="|23/23/42|"/>
    <n v="804"/>
    <n v="1.61"/>
    <n v="3.07"/>
  </r>
  <r>
    <x v="2"/>
    <s v="Convenience stores"/>
    <x v="9"/>
    <s v="J&amp;J"/>
    <s v="|23/23/43|"/>
    <n v="948"/>
    <n v="1.81"/>
    <n v="2.19"/>
  </r>
  <r>
    <x v="2"/>
    <s v="Convenience stores"/>
    <x v="9"/>
    <s v="J&amp;J"/>
    <s v="|23/23/44|"/>
    <n v="1020"/>
    <n v="1.37"/>
    <n v="3.11"/>
  </r>
  <r>
    <x v="2"/>
    <s v="Convenience stores"/>
    <x v="9"/>
    <s v="J&amp;J"/>
    <s v="|23/23/45|"/>
    <n v="948"/>
    <n v="2.34"/>
    <n v="2.1"/>
  </r>
  <r>
    <x v="2"/>
    <s v="Convenience stores"/>
    <x v="9"/>
    <s v="J&amp;J"/>
    <s v="|23/23/46|"/>
    <n v="1032"/>
    <n v="2.44"/>
    <n v="3.5"/>
  </r>
  <r>
    <x v="2"/>
    <s v="Convenience stores"/>
    <x v="9"/>
    <s v="J&amp;J"/>
    <s v="|23/23/47|"/>
    <n v="912"/>
    <n v="2.27"/>
    <n v="2.78"/>
  </r>
  <r>
    <x v="2"/>
    <s v="Convenience stores"/>
    <x v="9"/>
    <s v="J&amp;J"/>
    <s v="|23/23/48|"/>
    <n v="720"/>
    <n v="2.17"/>
    <n v="3.09"/>
  </r>
  <r>
    <x v="2"/>
    <s v="Convenience stores"/>
    <x v="9"/>
    <s v="J&amp;J"/>
    <s v="|23/23/49|"/>
    <n v="1020"/>
    <n v="1.76"/>
    <n v="2.71"/>
  </r>
  <r>
    <x v="2"/>
    <s v="Convenience stores"/>
    <x v="9"/>
    <s v="J&amp;J"/>
    <s v="|23/23/50|"/>
    <n v="1152"/>
    <n v="1.29"/>
    <n v="2.74"/>
  </r>
  <r>
    <x v="2"/>
    <s v="Convenience stores"/>
    <x v="9"/>
    <s v="J&amp;J"/>
    <s v="|23/23/51|"/>
    <n v="684"/>
    <n v="2.04"/>
    <n v="2.06"/>
  </r>
  <r>
    <x v="2"/>
    <s v="Convenience stores"/>
    <x v="9"/>
    <s v="J&amp;J"/>
    <s v="|23/23/53|"/>
    <n v="1080"/>
    <n v="2.48"/>
    <n v="3.26"/>
  </r>
  <r>
    <x v="2"/>
    <s v="Convenience stores"/>
    <x v="9"/>
    <s v="J&amp;J"/>
    <s v="|23/23/56|"/>
    <n v="852"/>
    <n v="1.28"/>
    <n v="3.18"/>
  </r>
  <r>
    <x v="2"/>
    <s v="Convenience stores"/>
    <x v="9"/>
    <s v="J&amp;J"/>
    <s v="|23/23/62|"/>
    <n v="708"/>
    <n v="1.36"/>
    <n v="2.46"/>
  </r>
  <r>
    <x v="2"/>
    <s v="Convenience stores"/>
    <x v="9"/>
    <s v="J&amp;J"/>
    <s v="|23/23/63|"/>
    <n v="840"/>
    <n v="1.87"/>
    <n v="2.2000000000000002"/>
  </r>
  <r>
    <x v="2"/>
    <s v="Convenience stores"/>
    <x v="9"/>
    <s v="J&amp;J"/>
    <s v="|23/23/64|"/>
    <n v="972"/>
    <n v="1.75"/>
    <n v="3.24"/>
  </r>
  <r>
    <x v="2"/>
    <s v="Convenience stores"/>
    <x v="9"/>
    <s v="J&amp;J"/>
    <s v="|23/23/65|"/>
    <n v="624"/>
    <n v="1.49"/>
    <n v="2.78"/>
  </r>
  <r>
    <x v="2"/>
    <s v="Convenience stores"/>
    <x v="9"/>
    <s v="J&amp;J"/>
    <s v="|23/23/68|"/>
    <n v="492"/>
    <n v="1.79"/>
    <n v="3.34"/>
  </r>
  <r>
    <x v="2"/>
    <s v="Convenience stores"/>
    <x v="9"/>
    <s v="J&amp;J"/>
    <s v="|23/23/69|"/>
    <n v="684"/>
    <n v="1.88"/>
    <n v="2.21"/>
  </r>
  <r>
    <x v="2"/>
    <s v="Convenience stores"/>
    <x v="9"/>
    <s v="J&amp;J"/>
    <s v="|23/23/71|"/>
    <n v="564"/>
    <n v="1.25"/>
    <n v="2.33"/>
  </r>
  <r>
    <x v="2"/>
    <s v="Convenience stores"/>
    <x v="9"/>
    <s v="J&amp;J"/>
    <s v="|23/23/72|"/>
    <n v="756"/>
    <n v="1.5"/>
    <n v="3.47"/>
  </r>
  <r>
    <x v="2"/>
    <s v="Convenience stores"/>
    <x v="9"/>
    <s v="J&amp;J"/>
    <s v="|23/23/76|"/>
    <n v="480"/>
    <n v="1.25"/>
    <n v="3.43"/>
  </r>
  <r>
    <x v="2"/>
    <s v="Convenience stores"/>
    <x v="9"/>
    <s v="J&amp;J"/>
    <s v="|23/23/77|"/>
    <n v="456"/>
    <n v="2.29"/>
    <n v="2.11"/>
  </r>
  <r>
    <x v="2"/>
    <s v="Convenience stores"/>
    <x v="9"/>
    <s v="J&amp;J"/>
    <s v="|23/23/78|"/>
    <n v="552"/>
    <n v="2.0499999999999998"/>
    <n v="2.09"/>
  </r>
  <r>
    <x v="2"/>
    <s v="Convenience stores"/>
    <x v="9"/>
    <s v="J&amp;J"/>
    <s v="|23/23/79|"/>
    <n v="408"/>
    <n v="1.21"/>
    <n v="3.41"/>
  </r>
  <r>
    <x v="2"/>
    <s v="Convenience stores"/>
    <x v="9"/>
    <s v="J&amp;J"/>
    <s v="|23/23/80|"/>
    <n v="456"/>
    <n v="1.31"/>
    <n v="2.2999999999999998"/>
  </r>
  <r>
    <x v="2"/>
    <s v="Convenience stores"/>
    <x v="9"/>
    <s v="J&amp;J"/>
    <s v="|23/23/81|"/>
    <n v="360"/>
    <n v="1.72"/>
    <n v="2.11"/>
  </r>
  <r>
    <x v="2"/>
    <s v="Convenience stores"/>
    <x v="9"/>
    <s v="J&amp;J"/>
    <s v="|23/23/82|"/>
    <n v="372"/>
    <n v="2.17"/>
    <n v="2.69"/>
  </r>
  <r>
    <x v="2"/>
    <s v="Convenience stores"/>
    <x v="9"/>
    <s v="J&amp;J"/>
    <s v="|23/23/83|"/>
    <n v="816"/>
    <n v="2.48"/>
    <n v="2.79"/>
  </r>
  <r>
    <x v="2"/>
    <s v="Convenience stores"/>
    <x v="9"/>
    <s v="J&amp;J"/>
    <s v="|23/23/84|"/>
    <n v="624"/>
    <n v="2.11"/>
    <n v="2.6"/>
  </r>
  <r>
    <x v="2"/>
    <s v="Convenience stores"/>
    <x v="9"/>
    <s v="J&amp;J"/>
    <s v="|23/23/85|"/>
    <n v="492"/>
    <n v="1.93"/>
    <n v="2.33"/>
  </r>
  <r>
    <x v="2"/>
    <s v="Convenience stores"/>
    <x v="9"/>
    <s v="J&amp;J"/>
    <s v="|23/23/98|"/>
    <n v="528"/>
    <n v="2.34"/>
    <n v="2.57"/>
  </r>
  <r>
    <x v="2"/>
    <s v="Convenience stores"/>
    <x v="9"/>
    <s v="J&amp;J"/>
    <s v="|23/23/99|"/>
    <n v="516"/>
    <n v="2.11"/>
    <n v="3.46"/>
  </r>
  <r>
    <x v="2"/>
    <s v="Convenience stores"/>
    <x v="2"/>
    <s v="H&amp;I"/>
    <s v="|13/01/11|"/>
    <n v="5688"/>
    <n v="0.81"/>
    <n v="0.93"/>
  </r>
  <r>
    <x v="2"/>
    <s v="Convenience stores"/>
    <x v="2"/>
    <s v="H&amp;I"/>
    <s v="|13/01/12|"/>
    <n v="5892"/>
    <n v="0.57999999999999996"/>
    <n v="1.1499999999999999"/>
  </r>
  <r>
    <x v="2"/>
    <s v="Convenience stores"/>
    <x v="2"/>
    <s v="H&amp;I"/>
    <s v="|13/01/13|"/>
    <n v="6204"/>
    <n v="0.74"/>
    <n v="0.9"/>
  </r>
  <r>
    <x v="2"/>
    <s v="Convenience stores"/>
    <x v="2"/>
    <s v="H&amp;I"/>
    <s v="|13/01/14|"/>
    <n v="9588"/>
    <n v="0.51"/>
    <n v="1.19"/>
  </r>
  <r>
    <x v="2"/>
    <s v="Convenience stores"/>
    <x v="2"/>
    <s v="H&amp;I"/>
    <s v="|13/01/20|"/>
    <n v="9216"/>
    <n v="0.55000000000000004"/>
    <n v="1.08"/>
  </r>
  <r>
    <x v="2"/>
    <s v="Convenience stores"/>
    <x v="2"/>
    <s v="H&amp;I"/>
    <s v="|13/02/01|"/>
    <n v="8364"/>
    <n v="1.08"/>
    <n v="1.19"/>
  </r>
  <r>
    <x v="2"/>
    <s v="Convenience stores"/>
    <x v="2"/>
    <s v="H&amp;I"/>
    <s v="|13/02/02|"/>
    <n v="8928"/>
    <n v="0.53"/>
    <n v="1.17"/>
  </r>
  <r>
    <x v="2"/>
    <s v="Convenience stores"/>
    <x v="2"/>
    <s v="H&amp;I"/>
    <s v="|13/02/03|"/>
    <n v="9180"/>
    <n v="1.1599999999999999"/>
    <n v="1.04"/>
  </r>
  <r>
    <x v="2"/>
    <s v="Convenience stores"/>
    <x v="2"/>
    <s v="H&amp;I"/>
    <s v="|13/02/04|"/>
    <n v="9540"/>
    <n v="0.94"/>
    <n v="0.91"/>
  </r>
  <r>
    <x v="2"/>
    <s v="Convenience stores"/>
    <x v="2"/>
    <s v="H&amp;I"/>
    <s v="|13/02/10|"/>
    <n v="9216"/>
    <n v="0.57999999999999996"/>
    <n v="1.08"/>
  </r>
  <r>
    <x v="2"/>
    <s v="Convenience stores"/>
    <x v="2"/>
    <s v="H&amp;I"/>
    <s v="|13/99/50|"/>
    <n v="8976"/>
    <n v="0.83"/>
    <n v="0.98"/>
  </r>
  <r>
    <x v="2"/>
    <s v="Convenience stores"/>
    <x v="2"/>
    <s v="H&amp;I"/>
    <s v="|13/99/52|"/>
    <n v="6816"/>
    <n v="0.59"/>
    <n v="1.04"/>
  </r>
  <r>
    <x v="2"/>
    <s v="Convenience stores"/>
    <x v="5"/>
    <s v="H&amp;I"/>
    <s v="|13/01/21|"/>
    <n v="588"/>
    <n v="1.32"/>
    <n v="1.87"/>
  </r>
  <r>
    <x v="2"/>
    <s v="Convenience stores"/>
    <x v="5"/>
    <s v="H&amp;I"/>
    <s v="|13/01/22|"/>
    <n v="1296"/>
    <n v="1.25"/>
    <n v="1.67"/>
  </r>
  <r>
    <x v="2"/>
    <s v="Convenience stores"/>
    <x v="5"/>
    <s v="H&amp;I"/>
    <s v="|13/01/23|"/>
    <n v="720"/>
    <n v="1.35"/>
    <n v="1.77"/>
  </r>
  <r>
    <x v="2"/>
    <s v="Convenience stores"/>
    <x v="5"/>
    <s v="H&amp;I"/>
    <s v="|13/01/24|"/>
    <n v="588"/>
    <n v="1.3"/>
    <n v="1.66"/>
  </r>
  <r>
    <x v="2"/>
    <s v="Convenience stores"/>
    <x v="5"/>
    <s v="H&amp;I"/>
    <s v="|13/01/25|"/>
    <n v="1248"/>
    <n v="1.28"/>
    <n v="1.74"/>
  </r>
  <r>
    <x v="2"/>
    <s v="Convenience stores"/>
    <x v="5"/>
    <s v="H&amp;I"/>
    <s v="|13/01/26|"/>
    <n v="1044"/>
    <n v="1.34"/>
    <n v="1.74"/>
  </r>
  <r>
    <x v="2"/>
    <s v="Convenience stores"/>
    <x v="5"/>
    <s v="H&amp;I"/>
    <s v="|13/01/27|"/>
    <n v="924"/>
    <n v="1.34"/>
    <n v="1.7"/>
  </r>
  <r>
    <x v="2"/>
    <s v="Convenience stores"/>
    <x v="5"/>
    <s v="H&amp;I"/>
    <s v="|13/01/28|"/>
    <n v="804"/>
    <n v="1.19"/>
    <n v="1.67"/>
  </r>
  <r>
    <x v="2"/>
    <s v="Convenience stores"/>
    <x v="5"/>
    <s v="H&amp;I"/>
    <s v="|13/01/80|"/>
    <n v="840"/>
    <n v="1.24"/>
    <n v="1.73"/>
  </r>
  <r>
    <x v="2"/>
    <s v="Convenience stores"/>
    <x v="5"/>
    <s v="H&amp;I"/>
    <s v="|13/01/81|"/>
    <n v="696"/>
    <n v="1.21"/>
    <n v="1.85"/>
  </r>
  <r>
    <x v="2"/>
    <s v="Convenience stores"/>
    <x v="5"/>
    <s v="H&amp;I"/>
    <s v="|13/01/82|"/>
    <n v="624"/>
    <n v="1.3"/>
    <n v="1.63"/>
  </r>
  <r>
    <x v="2"/>
    <s v="Convenience stores"/>
    <x v="5"/>
    <s v="H&amp;I"/>
    <s v="|13/01/83|"/>
    <n v="1260"/>
    <n v="1.1000000000000001"/>
    <n v="1.81"/>
  </r>
  <r>
    <x v="2"/>
    <s v="Convenience stores"/>
    <x v="5"/>
    <s v="H&amp;I"/>
    <s v="|13/01/84|"/>
    <n v="1044"/>
    <n v="1.17"/>
    <n v="1.84"/>
  </r>
  <r>
    <x v="2"/>
    <s v="Convenience stores"/>
    <x v="5"/>
    <s v="H&amp;I"/>
    <s v="|13/01/85|"/>
    <n v="996"/>
    <n v="1.26"/>
    <n v="1.69"/>
  </r>
  <r>
    <x v="2"/>
    <s v="Convenience stores"/>
    <x v="5"/>
    <s v="H&amp;I"/>
    <s v="|13/02/05|"/>
    <n v="588"/>
    <n v="1.43"/>
    <n v="1.78"/>
  </r>
  <r>
    <x v="2"/>
    <s v="Convenience stores"/>
    <x v="5"/>
    <s v="H&amp;I"/>
    <s v="|13/02/06|"/>
    <n v="972"/>
    <n v="1.34"/>
    <n v="1.83"/>
  </r>
  <r>
    <x v="2"/>
    <s v="Convenience stores"/>
    <x v="5"/>
    <s v="H&amp;I"/>
    <s v="|13/02/07|"/>
    <n v="1020"/>
    <n v="1.21"/>
    <n v="1.68"/>
  </r>
  <r>
    <x v="2"/>
    <s v="Convenience stores"/>
    <x v="5"/>
    <s v="H&amp;I"/>
    <s v="|13/02/08|"/>
    <n v="636"/>
    <n v="1.23"/>
    <n v="1.76"/>
  </r>
  <r>
    <x v="2"/>
    <s v="Convenience stores"/>
    <x v="5"/>
    <s v="H&amp;I"/>
    <s v="|13/02/09|"/>
    <n v="1044"/>
    <n v="1.19"/>
    <n v="1.69"/>
  </r>
  <r>
    <x v="2"/>
    <s v="Convenience stores"/>
    <x v="2"/>
    <s v="H&amp;I"/>
    <s v="|13/02/15|"/>
    <n v="9312"/>
    <n v="0.48"/>
    <n v="1"/>
  </r>
  <r>
    <x v="2"/>
    <s v="Convenience stores"/>
    <x v="2"/>
    <s v="H&amp;I"/>
    <s v="|13/02/16|"/>
    <n v="9144"/>
    <n v="0.96"/>
    <n v="1.0900000000000001"/>
  </r>
  <r>
    <x v="2"/>
    <s v="Convenience stores"/>
    <x v="2"/>
    <s v="H&amp;I"/>
    <s v="|13/02/17|"/>
    <n v="8340"/>
    <n v="0.72"/>
    <n v="1.1299999999999999"/>
  </r>
  <r>
    <x v="2"/>
    <s v="Convenience stores"/>
    <x v="2"/>
    <s v="H&amp;I"/>
    <s v="|13/02/18|"/>
    <n v="7800"/>
    <n v="0.6"/>
    <n v="1.1599999999999999"/>
  </r>
  <r>
    <x v="2"/>
    <s v="Convenience stores"/>
    <x v="2"/>
    <s v="H&amp;I"/>
    <s v="|13/02/19|"/>
    <n v="8244"/>
    <n v="0.8"/>
    <n v="0.99"/>
  </r>
  <r>
    <x v="2"/>
    <s v="Convenience stores"/>
    <x v="2"/>
    <s v="H&amp;I"/>
    <s v="|13/02/20|"/>
    <n v="7752"/>
    <n v="0.6"/>
    <n v="1.19"/>
  </r>
  <r>
    <x v="2"/>
    <s v="Convenience stores"/>
    <x v="2"/>
    <s v="H&amp;I"/>
    <s v="|13/02/21|"/>
    <n v="7968"/>
    <n v="0.57999999999999996"/>
    <n v="1.1100000000000001"/>
  </r>
  <r>
    <x v="2"/>
    <s v="Convenience stores"/>
    <x v="5"/>
    <s v="H&amp;I"/>
    <s v="|13/99/53|"/>
    <n v="600"/>
    <n v="1.45"/>
    <n v="1.61"/>
  </r>
  <r>
    <x v="2"/>
    <s v="Convenience stores"/>
    <x v="7"/>
    <s v="MM"/>
    <s v="|05/01/17|"/>
    <n v="888"/>
    <n v="2.65"/>
    <n v="3.8"/>
  </r>
  <r>
    <x v="2"/>
    <s v="Convenience stores"/>
    <x v="9"/>
    <s v="Unilever"/>
    <s v="|77/01/01|"/>
    <n v="768"/>
    <n v="1.72"/>
    <n v="2.5099999999999998"/>
  </r>
  <r>
    <x v="2"/>
    <s v="Convenience stores"/>
    <x v="9"/>
    <s v="Unilever"/>
    <s v="|77/01/02|"/>
    <n v="672"/>
    <n v="2.0299999999999998"/>
    <n v="2.61"/>
  </r>
  <r>
    <x v="2"/>
    <s v="Convenience stores"/>
    <x v="9"/>
    <s v="Unilever"/>
    <s v="|77/01/03|"/>
    <n v="1104"/>
    <n v="2.29"/>
    <n v="3.44"/>
  </r>
  <r>
    <x v="2"/>
    <s v="Convenience stores"/>
    <x v="9"/>
    <s v="Unilever"/>
    <s v="|77/01/04|"/>
    <n v="480"/>
    <n v="1.72"/>
    <n v="3.07"/>
  </r>
  <r>
    <x v="2"/>
    <s v="Convenience stores"/>
    <x v="9"/>
    <s v="Unilever"/>
    <s v="|77/01/05|"/>
    <n v="1188"/>
    <n v="1.7"/>
    <n v="2.52"/>
  </r>
  <r>
    <x v="2"/>
    <s v="Convenience stores"/>
    <x v="9"/>
    <s v="Unilever"/>
    <s v="|77/01/06|"/>
    <n v="1068"/>
    <n v="1.77"/>
    <n v="3.17"/>
  </r>
  <r>
    <x v="2"/>
    <s v="Convenience stores"/>
    <x v="9"/>
    <s v="Unilever"/>
    <s v="|77/01/07|"/>
    <n v="504"/>
    <n v="2.08"/>
    <n v="2.91"/>
  </r>
  <r>
    <x v="2"/>
    <s v="Convenience stores"/>
    <x v="9"/>
    <s v="Unilever"/>
    <s v="|77/01/08|"/>
    <n v="960"/>
    <n v="2.2000000000000002"/>
    <n v="3.16"/>
  </r>
  <r>
    <x v="2"/>
    <s v="Convenience stores"/>
    <x v="9"/>
    <s v="Unilever"/>
    <s v="|77/01/09|"/>
    <n v="576"/>
    <n v="2.38"/>
    <n v="2.2000000000000002"/>
  </r>
  <r>
    <x v="2"/>
    <s v="Convenience stores"/>
    <x v="9"/>
    <s v="Unilever"/>
    <s v="|77/01/10|"/>
    <n v="480"/>
    <n v="1.56"/>
    <n v="2.73"/>
  </r>
  <r>
    <x v="2"/>
    <s v="Convenience stores"/>
    <x v="1"/>
    <s v="M&amp;M"/>
    <s v="|84/02/02|"/>
    <n v="564"/>
    <n v="5.3733333333333331"/>
    <n v="8.1466666666666665"/>
  </r>
  <r>
    <x v="2"/>
    <s v="Convenience stores"/>
    <x v="1"/>
    <s v="M&amp;M"/>
    <s v="|84/02/03|"/>
    <n v="468"/>
    <n v="6.0533333333333337"/>
    <n v="7.7733333333333334"/>
  </r>
  <r>
    <x v="2"/>
    <s v="Convenience stores"/>
    <x v="6"/>
    <s v="M&amp;M"/>
    <s v="|84/01/01|"/>
    <n v="2196"/>
    <n v="2.6"/>
    <n v="3.72"/>
  </r>
  <r>
    <x v="2"/>
    <s v="Convenience stores"/>
    <x v="6"/>
    <s v="M&amp;M"/>
    <s v="|84/01/02|"/>
    <n v="2052"/>
    <n v="2.74"/>
    <n v="3.37"/>
  </r>
  <r>
    <x v="2"/>
    <s v="Convenience stores"/>
    <x v="6"/>
    <s v="M&amp;M"/>
    <s v="|84/01/03|"/>
    <n v="2016"/>
    <n v="2.72"/>
    <n v="3.81"/>
  </r>
  <r>
    <x v="2"/>
    <s v="Convenience stores"/>
    <x v="6"/>
    <s v="M&amp;M"/>
    <s v="|84/01/04|"/>
    <n v="2160"/>
    <n v="2.66"/>
    <n v="3.9"/>
  </r>
  <r>
    <x v="2"/>
    <s v="Convenience stores"/>
    <x v="6"/>
    <s v="M&amp;M"/>
    <s v="|84/01/05|"/>
    <n v="1392"/>
    <n v="2.4700000000000002"/>
    <n v="3.85"/>
  </r>
  <r>
    <x v="2"/>
    <s v="Convenience stores"/>
    <x v="6"/>
    <s v="M&amp;M"/>
    <s v="|84/01/06|"/>
    <n v="1896"/>
    <n v="2.91"/>
    <n v="3.98"/>
  </r>
  <r>
    <x v="2"/>
    <s v="Convenience stores"/>
    <x v="1"/>
    <s v="M&amp;M"/>
    <s v="|84/02/01|"/>
    <n v="576"/>
    <n v="6.44"/>
    <n v="7.8466666666666667"/>
  </r>
  <r>
    <x v="2"/>
    <s v="Convenience stores"/>
    <x v="6"/>
    <s v="M&amp;M"/>
    <s v="|84/02/22|"/>
    <n v="1464"/>
    <n v="2.59"/>
    <n v="3.71"/>
  </r>
  <r>
    <x v="2"/>
    <s v="Convenience stores"/>
    <x v="6"/>
    <s v="M&amp;M"/>
    <s v="|84/02/23|"/>
    <n v="1896"/>
    <n v="2.75"/>
    <n v="3.61"/>
  </r>
  <r>
    <x v="2"/>
    <s v="Convenience stores"/>
    <x v="1"/>
    <s v="Gelati italiani"/>
    <s v="|63/00/00|"/>
    <n v="552"/>
    <n v="6.4133333333333331"/>
    <n v="8.24"/>
  </r>
  <r>
    <x v="2"/>
    <s v="Convenience stores"/>
    <x v="1"/>
    <s v="Gelati italiani"/>
    <s v="|63/01/30|"/>
    <n v="456"/>
    <n v="6.34"/>
    <n v="8.586666666666666"/>
  </r>
  <r>
    <x v="2"/>
    <s v="Convenience stores"/>
    <x v="6"/>
    <s v="Gelati italiani"/>
    <s v="|63/01/01**|"/>
    <n v="2016"/>
    <n v="2.4500000000000002"/>
    <n v="3.47"/>
  </r>
  <r>
    <x v="2"/>
    <s v="Convenience stores"/>
    <x v="6"/>
    <s v="Gelati italiani"/>
    <s v="|63/01/02|"/>
    <n v="2352"/>
    <n v="2.31"/>
    <n v="3.6"/>
  </r>
  <r>
    <x v="2"/>
    <s v="Convenience stores"/>
    <x v="6"/>
    <s v="Gelati italiani"/>
    <s v="|63/01/03|"/>
    <n v="1584"/>
    <n v="2.4700000000000002"/>
    <n v="3.36"/>
  </r>
  <r>
    <x v="2"/>
    <s v="Convenience stores"/>
    <x v="6"/>
    <s v="Gelati italiani"/>
    <s v="|63/01/04|"/>
    <n v="2064"/>
    <n v="2.79"/>
    <n v="3.83"/>
  </r>
  <r>
    <x v="2"/>
    <s v="Convenience stores"/>
    <x v="6"/>
    <s v="Gelati italiani"/>
    <s v="|63/01/05|"/>
    <n v="2004"/>
    <n v="2.76"/>
    <n v="3.9"/>
  </r>
  <r>
    <x v="2"/>
    <s v="Convenience stores"/>
    <x v="6"/>
    <s v="Gelati italiani"/>
    <s v="|63/01/06|"/>
    <n v="2556"/>
    <n v="2.89"/>
    <n v="3.56"/>
  </r>
  <r>
    <x v="2"/>
    <s v="Convenience stores"/>
    <x v="6"/>
    <s v="Gelati italiani"/>
    <s v="|63/01/07|"/>
    <n v="2280"/>
    <n v="2.79"/>
    <n v="3.77"/>
  </r>
  <r>
    <x v="2"/>
    <s v="Convenience stores"/>
    <x v="6"/>
    <s v="Gelati italiani"/>
    <s v="|63/01/08|"/>
    <n v="2124"/>
    <n v="2.4700000000000002"/>
    <n v="3.36"/>
  </r>
  <r>
    <x v="2"/>
    <s v="Convenience stores"/>
    <x v="6"/>
    <s v="Gelati italiani"/>
    <s v="|63/01/09|"/>
    <n v="2712"/>
    <n v="2.75"/>
    <n v="3.35"/>
  </r>
  <r>
    <x v="2"/>
    <s v="Convenience stores"/>
    <x v="6"/>
    <s v="Gelati italiani"/>
    <s v="|63/01/10|"/>
    <n v="2124"/>
    <n v="2.61"/>
    <n v="3.41"/>
  </r>
  <r>
    <x v="2"/>
    <s v="Convenience stores"/>
    <x v="6"/>
    <s v="Gelati italiani"/>
    <s v="|63/01/11|"/>
    <n v="2208"/>
    <n v="2.56"/>
    <n v="3.63"/>
  </r>
  <r>
    <x v="2"/>
    <s v="Convenience stores"/>
    <x v="6"/>
    <s v="Gelati italiani"/>
    <s v="|63/01/12|"/>
    <n v="1596"/>
    <n v="2.9"/>
    <n v="3.74"/>
  </r>
  <r>
    <x v="2"/>
    <s v="Convenience stores"/>
    <x v="6"/>
    <s v="Gelati italiani"/>
    <s v="|63/01/13|"/>
    <n v="1968"/>
    <n v="2.4900000000000002"/>
    <n v="3.95"/>
  </r>
  <r>
    <x v="2"/>
    <s v="Convenience stores"/>
    <x v="6"/>
    <s v="Gelati italiani"/>
    <s v="|63/01/14|"/>
    <n v="1932"/>
    <n v="2.63"/>
    <n v="3.92"/>
  </r>
  <r>
    <x v="2"/>
    <s v="Convenience stores"/>
    <x v="6"/>
    <s v="Gelati italiani"/>
    <s v="|63/01/15|"/>
    <n v="2280"/>
    <n v="2.97"/>
    <n v="3.8"/>
  </r>
  <r>
    <x v="2"/>
    <s v="Convenience stores"/>
    <x v="6"/>
    <s v="Gelati italiani"/>
    <s v="|63/01/16|"/>
    <n v="2736"/>
    <n v="2.77"/>
    <n v="3.66"/>
  </r>
  <r>
    <x v="2"/>
    <s v="Convenience stores"/>
    <x v="6"/>
    <s v="Gelati italiani"/>
    <s v="|63/01/17|"/>
    <n v="1560"/>
    <n v="2.89"/>
    <n v="3.99"/>
  </r>
  <r>
    <x v="2"/>
    <s v="Convenience stores"/>
    <x v="6"/>
    <s v="Gelati italiani"/>
    <s v="|63/01/18|"/>
    <n v="2304"/>
    <n v="2.71"/>
    <n v="3.72"/>
  </r>
  <r>
    <x v="2"/>
    <s v="Convenience stores"/>
    <x v="6"/>
    <s v="Gelati italiani"/>
    <s v="|63/01/19|"/>
    <n v="1776"/>
    <n v="2.42"/>
    <n v="3.61"/>
  </r>
  <r>
    <x v="2"/>
    <s v="Convenience stores"/>
    <x v="6"/>
    <s v="Gelati italiani"/>
    <s v="|63/01/20|"/>
    <n v="1248"/>
    <n v="2.8"/>
    <n v="3.87"/>
  </r>
  <r>
    <x v="2"/>
    <s v="Convenience stores"/>
    <x v="6"/>
    <s v="Gelati italiani"/>
    <s v="|63/01/20a|"/>
    <n v="1692"/>
    <n v="2.79"/>
    <n v="3.33"/>
  </r>
  <r>
    <x v="2"/>
    <s v="Convenience stores"/>
    <x v="6"/>
    <s v="Gelati italiani"/>
    <s v="|63/01/31|"/>
    <n v="1500"/>
    <n v="2.36"/>
    <n v="3.64"/>
  </r>
  <r>
    <x v="2"/>
    <s v="Convenience stores"/>
    <x v="6"/>
    <s v="Gelati italiani"/>
    <s v="|63/05/12|"/>
    <n v="1680"/>
    <n v="2.99"/>
    <n v="3.61"/>
  </r>
  <r>
    <x v="2"/>
    <s v="Convenience stores"/>
    <x v="6"/>
    <s v="Gelati italiani"/>
    <s v="|63/05/15|"/>
    <n v="2292"/>
    <n v="2.76"/>
    <n v="3.96"/>
  </r>
  <r>
    <x v="2"/>
    <s v="Convenience stores"/>
    <x v="6"/>
    <s v="Gelati italiani"/>
    <s v="|63/07/01|"/>
    <n v="2268"/>
    <n v="3"/>
    <n v="3.8"/>
  </r>
  <r>
    <x v="2"/>
    <s v="Convenience stores"/>
    <x v="6"/>
    <s v="Gelati italiani"/>
    <s v="|63/07/02|"/>
    <n v="1536"/>
    <n v="2.84"/>
    <n v="3.43"/>
  </r>
  <r>
    <x v="2"/>
    <s v="Convenience stores"/>
    <x v="6"/>
    <s v="Gelati italiani"/>
    <s v="|63/07/03|"/>
    <n v="1464"/>
    <n v="2.89"/>
    <n v="3.79"/>
  </r>
  <r>
    <x v="2"/>
    <s v="Convenience stores"/>
    <x v="6"/>
    <s v="Gelati italiani"/>
    <s v="|63/02/05|"/>
    <n v="1824"/>
    <n v="2.77"/>
    <n v="3.89"/>
  </r>
  <r>
    <x v="2"/>
    <s v="Convenience stores"/>
    <x v="6"/>
    <s v="Gelati italiani"/>
    <s v="|63/02/06|"/>
    <n v="1272"/>
    <n v="2.41"/>
    <n v="4"/>
  </r>
  <r>
    <x v="2"/>
    <s v="Convenience stores"/>
    <x v="6"/>
    <s v="Gelati italiani"/>
    <s v="|63/02/07|"/>
    <n v="2412"/>
    <n v="2.4500000000000002"/>
    <n v="3.88"/>
  </r>
  <r>
    <x v="2"/>
    <s v="Convenience stores"/>
    <x v="6"/>
    <s v="Gelati italiani"/>
    <s v="|63/02/08|"/>
    <n v="1956"/>
    <n v="2.99"/>
    <n v="3.79"/>
  </r>
  <r>
    <x v="2"/>
    <s v="Convenience stores"/>
    <x v="6"/>
    <s v="Gelati italiani"/>
    <s v="|63/04/10|"/>
    <n v="2172"/>
    <n v="2.62"/>
    <n v="3.76"/>
  </r>
  <r>
    <x v="2"/>
    <s v="Convenience stores"/>
    <x v="6"/>
    <s v="Gelati italiani"/>
    <s v="|63/04/11|"/>
    <n v="1596"/>
    <n v="2.35"/>
    <n v="3.62"/>
  </r>
  <r>
    <x v="2"/>
    <s v="Convenience stores"/>
    <x v="6"/>
    <s v="Gelati italiani"/>
    <s v="|63/04/12|"/>
    <n v="1548"/>
    <n v="2.5"/>
    <n v="3.61"/>
  </r>
  <r>
    <x v="2"/>
    <s v="Convenience stores"/>
    <x v="6"/>
    <s v="Gelati italiani"/>
    <s v="|63/04/13|"/>
    <n v="2364"/>
    <n v="2.66"/>
    <n v="3.35"/>
  </r>
  <r>
    <x v="2"/>
    <s v="Convenience stores"/>
    <x v="6"/>
    <s v="Gelati italiani"/>
    <s v="|63/04/14|"/>
    <n v="1320"/>
    <n v="2.88"/>
    <n v="3.95"/>
  </r>
  <r>
    <x v="2"/>
    <s v="Convenience stores"/>
    <x v="6"/>
    <s v="Gelati italiani"/>
    <s v="|63/05/13|"/>
    <n v="2556"/>
    <n v="2.34"/>
    <n v="3.69"/>
  </r>
  <r>
    <x v="2"/>
    <s v="Convenience stores"/>
    <x v="6"/>
    <s v="Gelati italiani"/>
    <s v="|63/05/14|"/>
    <n v="1824"/>
    <n v="2.59"/>
    <n v="3.96"/>
  </r>
  <r>
    <x v="2"/>
    <s v="Convenience stores"/>
    <x v="6"/>
    <s v="Gelati italiani"/>
    <s v="|63/05/16|"/>
    <n v="1968"/>
    <n v="2.77"/>
    <n v="3.96"/>
  </r>
  <r>
    <x v="2"/>
    <s v="Convenience stores"/>
    <x v="6"/>
    <s v="Gelati italiani"/>
    <s v="|63/06/01|"/>
    <n v="2256"/>
    <n v="2.48"/>
    <n v="3.4"/>
  </r>
  <r>
    <x v="2"/>
    <s v="Convenience stores"/>
    <x v="6"/>
    <s v="Gelati italiani"/>
    <s v="|63/06/02|"/>
    <n v="1356"/>
    <n v="2.88"/>
    <n v="3.75"/>
  </r>
  <r>
    <x v="2"/>
    <s v="Convenience stores"/>
    <x v="6"/>
    <s v="Gelati italiani"/>
    <s v="|63/06/03|"/>
    <n v="1608"/>
    <n v="2.7"/>
    <n v="3.65"/>
  </r>
  <r>
    <x v="2"/>
    <s v="Convenience stores"/>
    <x v="6"/>
    <s v="Gelati italiani"/>
    <s v="|63/06/04|"/>
    <n v="2472"/>
    <n v="2.4"/>
    <n v="3.32"/>
  </r>
  <r>
    <x v="2"/>
    <s v="Convenience stores"/>
    <x v="6"/>
    <s v="Gelati italiani"/>
    <s v="|63/08/01|"/>
    <n v="2292"/>
    <n v="2.4900000000000002"/>
    <n v="4"/>
  </r>
  <r>
    <x v="2"/>
    <s v="Convenience stores"/>
    <x v="6"/>
    <s v="Gelati italiani"/>
    <s v="|63/08/02|"/>
    <n v="1644"/>
    <n v="2.94"/>
    <n v="3.95"/>
  </r>
  <r>
    <x v="2"/>
    <s v="Convenience stores"/>
    <x v="6"/>
    <s v="Gelati italiani"/>
    <s v="|63/09/01|"/>
    <n v="1692"/>
    <n v="2.74"/>
    <n v="3.89"/>
  </r>
  <r>
    <x v="2"/>
    <s v="Convenience stores"/>
    <x v="6"/>
    <s v="Gelati italiani"/>
    <s v="|63/09/02|"/>
    <n v="1440"/>
    <n v="2.38"/>
    <n v="3.52"/>
  </r>
  <r>
    <x v="2"/>
    <s v="Convenience stores"/>
    <x v="6"/>
    <s v="Gelati italiani"/>
    <s v="|63/09/03|"/>
    <n v="2364"/>
    <n v="2.37"/>
    <n v="3.85"/>
  </r>
  <r>
    <x v="2"/>
    <s v="Convenience stores"/>
    <x v="6"/>
    <s v="Gelati italiani"/>
    <s v="|63/09/04|"/>
    <n v="2268"/>
    <n v="2.44"/>
    <n v="3.91"/>
  </r>
  <r>
    <x v="2"/>
    <s v="Convenience stores"/>
    <x v="6"/>
    <s v="Gelati italiani"/>
    <s v="|63/10/01|"/>
    <n v="1656"/>
    <n v="2.34"/>
    <n v="3.99"/>
  </r>
  <r>
    <x v="2"/>
    <s v="Convenience stores"/>
    <x v="4"/>
    <s v="Maybelline"/>
    <s v="|31/01/01|"/>
    <n v="444"/>
    <n v="4.0199999999999996"/>
    <n v="5.3"/>
  </r>
  <r>
    <x v="2"/>
    <s v="Convenience stores"/>
    <x v="4"/>
    <s v="Maybelline"/>
    <s v="|31/01/02|"/>
    <n v="468"/>
    <n v="4"/>
    <n v="5.0199999999999996"/>
  </r>
  <r>
    <x v="2"/>
    <s v="Convenience stores"/>
    <x v="4"/>
    <s v="Maybelline"/>
    <s v="|31/01/03|"/>
    <n v="324"/>
    <n v="4.25"/>
    <n v="5.17"/>
  </r>
  <r>
    <x v="2"/>
    <s v="Convenience stores"/>
    <x v="4"/>
    <s v="Maybelline"/>
    <s v="|31/01/04|"/>
    <n v="432"/>
    <n v="4.8099999999999996"/>
    <n v="5.39"/>
  </r>
  <r>
    <x v="2"/>
    <s v="Convenience stores"/>
    <x v="4"/>
    <s v="Maybelline"/>
    <s v="|31/01/05|"/>
    <n v="660"/>
    <n v="4.29"/>
    <n v="5.28"/>
  </r>
  <r>
    <x v="2"/>
    <s v="Convenience stores"/>
    <x v="4"/>
    <s v="Maybelline"/>
    <s v="|31/01/06|"/>
    <n v="252"/>
    <n v="4.16"/>
    <n v="5.28"/>
  </r>
  <r>
    <x v="2"/>
    <s v="Convenience stores"/>
    <x v="4"/>
    <s v="Maybelline"/>
    <s v="|31/01/07|"/>
    <n v="516"/>
    <n v="4.22"/>
    <n v="5.38"/>
  </r>
  <r>
    <x v="2"/>
    <s v="Convenience stores"/>
    <x v="4"/>
    <s v="Maybelline"/>
    <s v="|31/01/08|"/>
    <n v="300"/>
    <n v="4.8499999999999996"/>
    <n v="5.35"/>
  </r>
  <r>
    <x v="2"/>
    <s v="Convenience stores"/>
    <x v="4"/>
    <s v="Maybelline"/>
    <s v="|31/01/09|"/>
    <n v="504"/>
    <n v="4.8099999999999996"/>
    <n v="5.34"/>
  </r>
  <r>
    <x v="2"/>
    <s v="Convenience stores"/>
    <x v="4"/>
    <s v="Maybelline"/>
    <s v="|31/01/10|"/>
    <n v="288"/>
    <n v="4.4800000000000004"/>
    <n v="5.37"/>
  </r>
  <r>
    <x v="2"/>
    <s v="Convenience stores"/>
    <x v="4"/>
    <s v="Maybelline"/>
    <s v="|31/01/11|"/>
    <n v="528"/>
    <n v="4.82"/>
    <n v="5.2"/>
  </r>
  <r>
    <x v="2"/>
    <s v="Convenience stores"/>
    <x v="4"/>
    <s v="Maybelline"/>
    <s v="|31/01/12|"/>
    <n v="264"/>
    <n v="4.8499999999999996"/>
    <n v="5.15"/>
  </r>
  <r>
    <x v="2"/>
    <s v="Convenience stores"/>
    <x v="4"/>
    <s v="Maybelline"/>
    <s v="|31/01/13|"/>
    <n v="252"/>
    <n v="4.5"/>
    <n v="5.18"/>
  </r>
  <r>
    <x v="2"/>
    <s v="Convenience stores"/>
    <x v="4"/>
    <s v="Maybelline"/>
    <s v="|31/01/14|"/>
    <n v="648"/>
    <n v="4.79"/>
    <n v="5.16"/>
  </r>
  <r>
    <x v="2"/>
    <s v="Convenience stores"/>
    <x v="4"/>
    <s v="Maybelline"/>
    <s v="|31/01/15|"/>
    <n v="660"/>
    <n v="4.0599999999999996"/>
    <n v="5.36"/>
  </r>
  <r>
    <x v="2"/>
    <s v="Convenience stores"/>
    <x v="4"/>
    <s v="Maybelline"/>
    <s v="|31/01/16|"/>
    <n v="648"/>
    <n v="4.04"/>
    <n v="5.38"/>
  </r>
  <r>
    <x v="2"/>
    <s v="Convenience stores"/>
    <x v="4"/>
    <s v="Maybelline"/>
    <s v="|31/01/17|"/>
    <n v="420"/>
    <n v="4.32"/>
    <n v="5.36"/>
  </r>
  <r>
    <x v="2"/>
    <s v="Convenience stores"/>
    <x v="4"/>
    <s v="Maybelline"/>
    <s v="|31/01/18|"/>
    <n v="636"/>
    <n v="4.5"/>
    <n v="5.18"/>
  </r>
  <r>
    <x v="2"/>
    <s v="Convenience stores"/>
    <x v="4"/>
    <s v="Maybelline"/>
    <s v="|31/01/20|"/>
    <n v="408"/>
    <n v="4.3899999999999997"/>
    <n v="5.3"/>
  </r>
  <r>
    <x v="2"/>
    <s v="Convenience stores"/>
    <x v="4"/>
    <s v="Maybelline"/>
    <s v="|31/01/21|"/>
    <n v="588"/>
    <n v="4.66"/>
    <n v="5.1100000000000003"/>
  </r>
  <r>
    <x v="2"/>
    <s v="Convenience stores"/>
    <x v="4"/>
    <s v="Maybelline"/>
    <s v="|31/01/22|"/>
    <n v="384"/>
    <n v="4.2"/>
    <n v="5.19"/>
  </r>
  <r>
    <x v="2"/>
    <s v="Convenience stores"/>
    <x v="4"/>
    <s v="Maybelline"/>
    <s v="|31/01/23|"/>
    <n v="684"/>
    <n v="4.32"/>
    <n v="5.27"/>
  </r>
  <r>
    <x v="2"/>
    <s v="Convenience stores"/>
    <x v="4"/>
    <s v="Maybelline"/>
    <s v="|31/01/24|"/>
    <n v="516"/>
    <n v="4.4400000000000004"/>
    <n v="5.0999999999999996"/>
  </r>
  <r>
    <x v="2"/>
    <s v="Convenience stores"/>
    <x v="4"/>
    <s v="Maybelline"/>
    <s v="|31/01/30|"/>
    <n v="372"/>
    <n v="4.26"/>
    <n v="5.03"/>
  </r>
  <r>
    <x v="2"/>
    <s v="Convenience stores"/>
    <x v="4"/>
    <s v="Maybelline"/>
    <s v="|31/01/31|"/>
    <n v="324"/>
    <n v="4.12"/>
    <n v="5.2"/>
  </r>
  <r>
    <x v="2"/>
    <s v="Convenience stores"/>
    <x v="4"/>
    <s v="Maybelline"/>
    <s v="|31/01/32|"/>
    <n v="708"/>
    <n v="4.6900000000000004"/>
    <n v="5"/>
  </r>
  <r>
    <x v="2"/>
    <s v="Convenience stores"/>
    <x v="4"/>
    <s v="Maybelline"/>
    <s v="|31/01/33|"/>
    <n v="240"/>
    <n v="4.3"/>
    <n v="5.17"/>
  </r>
  <r>
    <x v="2"/>
    <s v="Convenience stores"/>
    <x v="4"/>
    <s v="Maybelline"/>
    <s v="|31/01/34|"/>
    <n v="672"/>
    <n v="4.5"/>
    <n v="5.09"/>
  </r>
  <r>
    <x v="2"/>
    <s v="Convenience stores"/>
    <x v="4"/>
    <s v="Maybelline"/>
    <s v="|31/01/35|"/>
    <n v="600"/>
    <n v="4.25"/>
    <n v="5.03"/>
  </r>
  <r>
    <x v="2"/>
    <s v="Convenience stores"/>
    <x v="4"/>
    <s v="Maybelline"/>
    <s v="|31/01/36|"/>
    <n v="504"/>
    <n v="4.22"/>
    <n v="5.08"/>
  </r>
  <r>
    <x v="2"/>
    <s v="Convenience stores"/>
    <x v="4"/>
    <s v="Maybelline"/>
    <s v="|31/01/37|"/>
    <n v="360"/>
    <n v="4.66"/>
    <n v="5.27"/>
  </r>
  <r>
    <x v="2"/>
    <s v="Convenience stores"/>
    <x v="4"/>
    <s v="Maybelline"/>
    <s v="|31/01/38|"/>
    <n v="600"/>
    <n v="4.1900000000000004"/>
    <n v="5.14"/>
  </r>
  <r>
    <x v="2"/>
    <s v="Convenience stores"/>
    <x v="4"/>
    <s v="Maybelline"/>
    <s v="|31/01/39|"/>
    <n v="312"/>
    <n v="4.91"/>
    <n v="5.34"/>
  </r>
  <r>
    <x v="2"/>
    <s v="Convenience stores"/>
    <x v="4"/>
    <s v="Maybelline"/>
    <s v="|31/01/40|"/>
    <n v="348"/>
    <n v="4.46"/>
    <n v="5"/>
  </r>
  <r>
    <x v="2"/>
    <s v="Convenience stores"/>
    <x v="4"/>
    <s v="Maybelline"/>
    <s v="|31/01/41|"/>
    <n v="492"/>
    <n v="4.45"/>
    <n v="5.03"/>
  </r>
  <r>
    <x v="2"/>
    <s v="Convenience stores"/>
    <x v="4"/>
    <s v="Maybelline"/>
    <s v="|31/01/42|"/>
    <n v="720"/>
    <n v="4.54"/>
    <n v="5.31"/>
  </r>
  <r>
    <x v="2"/>
    <s v="Convenience stores"/>
    <x v="4"/>
    <s v="Maybelline"/>
    <s v="|31/02/01|"/>
    <n v="444"/>
    <n v="4.1500000000000004"/>
    <n v="5.34"/>
  </r>
  <r>
    <x v="2"/>
    <s v="Convenience stores"/>
    <x v="4"/>
    <s v="Maybelline"/>
    <s v="|31/02/02|"/>
    <n v="720"/>
    <n v="4.47"/>
    <n v="5.4"/>
  </r>
  <r>
    <x v="2"/>
    <s v="Convenience stores"/>
    <x v="4"/>
    <s v="Maybelline"/>
    <s v="|31/02/03|"/>
    <n v="624"/>
    <n v="4.17"/>
    <n v="5.1100000000000003"/>
  </r>
  <r>
    <x v="2"/>
    <s v="Convenience stores"/>
    <x v="4"/>
    <s v="Maybelline"/>
    <s v="|31/02/04|"/>
    <n v="648"/>
    <n v="4.9000000000000004"/>
    <n v="5.28"/>
  </r>
  <r>
    <x v="2"/>
    <s v="Convenience stores"/>
    <x v="10"/>
    <s v="Bavarian specialties"/>
    <s v="|86/01/01|"/>
    <n v="408"/>
    <n v="4"/>
    <n v="6.62"/>
  </r>
  <r>
    <x v="2"/>
    <s v="Convenience stores"/>
    <x v="10"/>
    <s v="Bavarian specialties"/>
    <s v="|86/01/02|"/>
    <n v="468"/>
    <n v="3.51"/>
    <n v="5.56"/>
  </r>
  <r>
    <x v="2"/>
    <s v="Convenience stores"/>
    <x v="10"/>
    <s v="Bavarian specialties"/>
    <s v="|86/01/03|"/>
    <n v="528"/>
    <n v="3.03"/>
    <n v="5.33"/>
  </r>
  <r>
    <x v="2"/>
    <s v="Convenience stores"/>
    <x v="10"/>
    <s v="Bavarian specialties"/>
    <s v="|86/01/04|"/>
    <n v="372"/>
    <n v="3.79"/>
    <n v="6.46"/>
  </r>
  <r>
    <x v="2"/>
    <s v="Convenience stores"/>
    <x v="10"/>
    <s v="Bavarian specialties"/>
    <s v="|86/01/05|"/>
    <n v="432"/>
    <n v="3.7"/>
    <n v="5.68"/>
  </r>
  <r>
    <x v="2"/>
    <s v="Convenience stores"/>
    <x v="10"/>
    <s v="Bavarian specialties"/>
    <s v="|86/01/06|"/>
    <n v="396"/>
    <n v="3.36"/>
    <n v="5.94"/>
  </r>
  <r>
    <x v="2"/>
    <s v="Convenience stores"/>
    <x v="10"/>
    <s v="Bavarian specialties"/>
    <s v="|86/01/21|"/>
    <n v="528"/>
    <n v="3.89"/>
    <n v="6.49"/>
  </r>
  <r>
    <x v="2"/>
    <s v="Convenience stores"/>
    <x v="10"/>
    <s v="Bavarian specialties"/>
    <s v="|86/01/22|"/>
    <n v="420"/>
    <n v="4.91"/>
    <n v="5.32"/>
  </r>
  <r>
    <x v="2"/>
    <s v="Convenience stores"/>
    <x v="10"/>
    <s v="Bavarian specialties"/>
    <s v="|86/01/23|"/>
    <n v="516"/>
    <n v="3.82"/>
    <n v="5.79"/>
  </r>
  <r>
    <x v="2"/>
    <s v="Convenience stores"/>
    <x v="10"/>
    <s v="Bavarian specialties"/>
    <s v="|86/01/31|"/>
    <n v="384"/>
    <n v="4.8899999999999997"/>
    <n v="5.94"/>
  </r>
  <r>
    <x v="2"/>
    <s v="Convenience stores"/>
    <x v="10"/>
    <s v="Bavarian specialties"/>
    <s v="|86/01/32|"/>
    <n v="516"/>
    <n v="3.32"/>
    <n v="6.58"/>
  </r>
  <r>
    <x v="2"/>
    <s v="Convenience stores"/>
    <x v="10"/>
    <s v="Bavarian specialties"/>
    <s v="|86/01/33|"/>
    <n v="384"/>
    <n v="3.82"/>
    <n v="6.7"/>
  </r>
  <r>
    <x v="2"/>
    <s v="Convenience stores"/>
    <x v="10"/>
    <s v="Bavarian specialties"/>
    <s v="|86/01/34|"/>
    <n v="492"/>
    <n v="4.8899999999999997"/>
    <n v="6.31"/>
  </r>
  <r>
    <x v="2"/>
    <s v="Convenience stores"/>
    <x v="10"/>
    <s v="Bavarian specialties"/>
    <s v="|86/01/35|"/>
    <n v="504"/>
    <n v="4.34"/>
    <n v="5.52"/>
  </r>
  <r>
    <x v="2"/>
    <s v="Convenience stores"/>
    <x v="10"/>
    <s v="Bavarian specialties"/>
    <s v="|86/01/41|"/>
    <n v="516"/>
    <n v="3.11"/>
    <n v="6.62"/>
  </r>
  <r>
    <x v="2"/>
    <s v="Convenience stores"/>
    <x v="10"/>
    <s v="Bavarian specialties"/>
    <s v="|86/01/42|"/>
    <n v="468"/>
    <n v="3.03"/>
    <n v="5.96"/>
  </r>
  <r>
    <x v="2"/>
    <s v="Convenience stores"/>
    <x v="10"/>
    <s v="Bavarian specialties"/>
    <s v="|86/01/43|"/>
    <n v="516"/>
    <n v="4.09"/>
    <n v="5.59"/>
  </r>
  <r>
    <x v="2"/>
    <s v="Convenience stores"/>
    <x v="10"/>
    <s v="Bavarian specialties"/>
    <s v="|86/01/44|"/>
    <n v="372"/>
    <n v="4.9400000000000004"/>
    <n v="6.67"/>
  </r>
  <r>
    <x v="2"/>
    <s v="Convenience stores"/>
    <x v="10"/>
    <s v="Bavarian specialties"/>
    <s v="|86/01/45|"/>
    <n v="468"/>
    <n v="4.2300000000000004"/>
    <n v="6.78"/>
  </r>
  <r>
    <x v="2"/>
    <s v="Convenience stores"/>
    <x v="10"/>
    <s v="Bavarian specialties"/>
    <s v="|86/01/51|"/>
    <n v="456"/>
    <n v="4.38"/>
    <n v="6.49"/>
  </r>
  <r>
    <x v="2"/>
    <s v="Convenience stores"/>
    <x v="10"/>
    <s v="Bavarian specialties"/>
    <s v="|86/01/52|"/>
    <n v="432"/>
    <n v="4.0999999999999996"/>
    <n v="5.36"/>
  </r>
  <r>
    <x v="2"/>
    <s v="Convenience stores"/>
    <x v="10"/>
    <s v="Bavarian specialties"/>
    <s v="|86/01/53|"/>
    <n v="456"/>
    <n v="4.91"/>
    <n v="6.09"/>
  </r>
  <r>
    <x v="2"/>
    <s v="Convenience stores"/>
    <x v="10"/>
    <s v="Bavarian specialties"/>
    <s v="|86/01/54|"/>
    <n v="384"/>
    <n v="4.2699999999999996"/>
    <n v="5.79"/>
  </r>
  <r>
    <x v="2"/>
    <s v="Convenience stores"/>
    <x v="10"/>
    <s v="Bavarian specialties"/>
    <s v="|86/01/55|"/>
    <n v="528"/>
    <n v="3.58"/>
    <n v="6.68"/>
  </r>
  <r>
    <x v="2"/>
    <s v="Convenience stores"/>
    <x v="10"/>
    <s v="Bavarian specialties"/>
    <s v="|86/01/56|"/>
    <n v="372"/>
    <n v="4.03"/>
    <n v="5.28"/>
  </r>
  <r>
    <x v="2"/>
    <s v="Convenience stores"/>
    <x v="10"/>
    <s v="Bavarian specialties"/>
    <s v="|86/01/57|"/>
    <n v="372"/>
    <n v="3.35"/>
    <n v="5.23"/>
  </r>
  <r>
    <x v="2"/>
    <s v="Convenience stores"/>
    <x v="10"/>
    <s v="Bavarian specialties"/>
    <s v="|86/01/58|"/>
    <n v="360"/>
    <n v="4.75"/>
    <n v="6.17"/>
  </r>
  <r>
    <x v="2"/>
    <s v="Convenience stores"/>
    <x v="10"/>
    <s v="Bavarian specialties"/>
    <s v="|86/01/59|"/>
    <n v="360"/>
    <n v="4.95"/>
    <n v="5.85"/>
  </r>
  <r>
    <x v="2"/>
    <s v="Convenience stores"/>
    <x v="10"/>
    <s v="Bavarian specialties"/>
    <s v="|86/01/60|"/>
    <n v="432"/>
    <n v="4.8899999999999997"/>
    <n v="6.31"/>
  </r>
  <r>
    <x v="2"/>
    <s v="Convenience stores"/>
    <x v="10"/>
    <s v="Bavarian specialties"/>
    <s v="|86/01/70|"/>
    <n v="516"/>
    <n v="3.19"/>
    <n v="5.09"/>
  </r>
  <r>
    <x v="2"/>
    <s v="Convenience stores"/>
    <x v="10"/>
    <s v="Bavarian specialties"/>
    <s v="|86/01/71|"/>
    <n v="456"/>
    <n v="3.27"/>
    <n v="5.38"/>
  </r>
  <r>
    <x v="2"/>
    <s v="Convenience stores"/>
    <x v="10"/>
    <s v="Bavarian specialties"/>
    <s v="|86/01/80|"/>
    <n v="372"/>
    <n v="4.78"/>
    <n v="5.57"/>
  </r>
  <r>
    <x v="2"/>
    <s v="Convenience stores"/>
    <x v="10"/>
    <s v="Bavarian specialties"/>
    <s v="|86/01/81|"/>
    <n v="372"/>
    <n v="3.15"/>
    <n v="6.6"/>
  </r>
  <r>
    <x v="2"/>
    <s v="Convenience stores"/>
    <x v="10"/>
    <s v="Bavarian specialties"/>
    <s v="|86/01/82|"/>
    <n v="540"/>
    <n v="3.84"/>
    <n v="5.24"/>
  </r>
  <r>
    <x v="2"/>
    <s v="Convenience stores"/>
    <x v="7"/>
    <s v="Freshco"/>
    <s v="|99/05/02|"/>
    <n v="900"/>
    <n v="2.82"/>
    <n v="3.3"/>
  </r>
  <r>
    <x v="2"/>
    <s v="Convenience stores"/>
    <x v="7"/>
    <s v="Freshco"/>
    <s v="|99/05/04|"/>
    <n v="900"/>
    <n v="2.38"/>
    <n v="3.3"/>
  </r>
  <r>
    <x v="2"/>
    <s v="Convenience stores"/>
    <x v="7"/>
    <s v="Freshco"/>
    <s v="|99/05/05|"/>
    <n v="1128"/>
    <n v="2.0299999999999998"/>
    <n v="3.31"/>
  </r>
  <r>
    <x v="2"/>
    <s v="Convenience stores"/>
    <x v="7"/>
    <s v="Freshco"/>
    <s v="|99/05/09|"/>
    <n v="1056"/>
    <n v="2.5"/>
    <n v="3.94"/>
  </r>
  <r>
    <x v="2"/>
    <s v="Convenience stores"/>
    <x v="7"/>
    <s v="Freshco"/>
    <s v="|99/05/16|"/>
    <n v="900"/>
    <n v="2.2599999999999998"/>
    <n v="3.76"/>
  </r>
  <r>
    <x v="2"/>
    <s v="Convenience stores"/>
    <x v="7"/>
    <s v="Freshco"/>
    <s v="|99/05/18|"/>
    <n v="1020"/>
    <n v="2.71"/>
    <n v="3.94"/>
  </r>
  <r>
    <x v="2"/>
    <s v="Convenience stores"/>
    <x v="7"/>
    <s v="Freshco"/>
    <s v="|99/05/10|"/>
    <n v="804"/>
    <n v="2.74"/>
    <n v="3.2"/>
  </r>
  <r>
    <x v="2"/>
    <s v="Convenience stores"/>
    <x v="7"/>
    <s v="Freshco"/>
    <s v="|99/05/17|"/>
    <n v="1200"/>
    <n v="2.72"/>
    <n v="3.88"/>
  </r>
  <r>
    <x v="2"/>
    <s v="Convenience stores"/>
    <x v="7"/>
    <s v="Freshco"/>
    <s v="|99/05/20|"/>
    <n v="696"/>
    <n v="2.17"/>
    <n v="3.21"/>
  </r>
  <r>
    <x v="2"/>
    <s v="Convenience stores"/>
    <x v="7"/>
    <s v="Freshco"/>
    <s v="|99/05/21|"/>
    <n v="768"/>
    <n v="2.27"/>
    <n v="3.69"/>
  </r>
  <r>
    <x v="2"/>
    <s v="Convenience stores"/>
    <x v="7"/>
    <s v="Freshco"/>
    <s v="|99/05/22|"/>
    <n v="828"/>
    <n v="2.5099999999999998"/>
    <n v="3.63"/>
  </r>
  <r>
    <x v="2"/>
    <s v="Convenience stores"/>
    <x v="7"/>
    <s v="Freshco"/>
    <s v="|99/05/23|"/>
    <n v="648"/>
    <n v="2.99"/>
    <n v="3.76"/>
  </r>
  <r>
    <x v="2"/>
    <s v="Convenience stores"/>
    <x v="7"/>
    <s v="Freshco"/>
    <s v="|99/05/24|"/>
    <n v="1044"/>
    <n v="2.79"/>
    <n v="3.25"/>
  </r>
  <r>
    <x v="2"/>
    <s v="Convenience stores"/>
    <x v="7"/>
    <s v="Freshco"/>
    <s v="|99/05/26|"/>
    <n v="1116"/>
    <n v="2.0099999999999998"/>
    <n v="3.8"/>
  </r>
  <r>
    <x v="2"/>
    <s v="Convenience stores"/>
    <x v="7"/>
    <s v="Freshco"/>
    <s v="|99/05/27|"/>
    <n v="780"/>
    <n v="2.3199999999999998"/>
    <n v="3.74"/>
  </r>
  <r>
    <x v="2"/>
    <s v="Convenience stores"/>
    <x v="7"/>
    <s v="Freshco"/>
    <s v="|99/05/28|"/>
    <n v="600"/>
    <n v="2.57"/>
    <n v="3.21"/>
  </r>
  <r>
    <x v="2"/>
    <s v="Convenience stores"/>
    <x v="7"/>
    <s v="Freshco"/>
    <s v="|99/05/30|"/>
    <n v="852"/>
    <n v="2.88"/>
    <n v="3.86"/>
  </r>
  <r>
    <x v="2"/>
    <s v="Convenience stores"/>
    <x v="7"/>
    <s v="Freshco"/>
    <s v="|99/05/31|"/>
    <n v="984"/>
    <n v="2.17"/>
    <n v="3.41"/>
  </r>
  <r>
    <x v="2"/>
    <s v="Convenience stores"/>
    <x v="7"/>
    <s v="Freshco"/>
    <s v="|99/05/43|"/>
    <n v="912"/>
    <n v="2.6"/>
    <n v="3.33"/>
  </r>
  <r>
    <x v="2"/>
    <s v="Convenience stores"/>
    <x v="7"/>
    <s v="Freshco"/>
    <s v="|99/05/44|"/>
    <n v="1152"/>
    <n v="2.69"/>
    <n v="3.23"/>
  </r>
  <r>
    <x v="2"/>
    <s v="Convenience stores"/>
    <x v="7"/>
    <s v="Freshco"/>
    <s v="|99/05/113|"/>
    <n v="972"/>
    <n v="2.85"/>
    <n v="3.7"/>
  </r>
  <r>
    <x v="2"/>
    <s v="Convenience stores"/>
    <x v="7"/>
    <s v="Freshco"/>
    <s v="|99/05/125|"/>
    <n v="876"/>
    <n v="2.31"/>
    <n v="3.8"/>
  </r>
  <r>
    <x v="2"/>
    <s v="Convenience stores"/>
    <x v="7"/>
    <s v="Freshco"/>
    <s v="|99/05/130|"/>
    <n v="1092"/>
    <n v="2.69"/>
    <n v="3.39"/>
  </r>
  <r>
    <x v="2"/>
    <s v="Convenience stores"/>
    <x v="7"/>
    <s v="Freshco"/>
    <s v="|99/05/135|"/>
    <n v="732"/>
    <n v="2.74"/>
    <n v="3.99"/>
  </r>
  <r>
    <x v="2"/>
    <s v="Convenience stores"/>
    <x v="7"/>
    <s v="Freshco"/>
    <s v="|99/05/48|"/>
    <n v="600"/>
    <n v="2.56"/>
    <n v="3.42"/>
  </r>
  <r>
    <x v="2"/>
    <s v="Convenience stores"/>
    <x v="7"/>
    <s v="Freshco"/>
    <s v="|99/05/49|"/>
    <n v="1044"/>
    <n v="2.96"/>
    <n v="3.69"/>
  </r>
  <r>
    <x v="2"/>
    <s v="Convenience stores"/>
    <x v="7"/>
    <s v="Freshco"/>
    <s v="|99/05/50|"/>
    <n v="912"/>
    <n v="2.09"/>
    <n v="3.23"/>
  </r>
  <r>
    <x v="2"/>
    <s v="Convenience stores"/>
    <x v="7"/>
    <s v="Freshco"/>
    <s v="|99/05/52|"/>
    <n v="756"/>
    <n v="2.16"/>
    <n v="3.24"/>
  </r>
  <r>
    <x v="2"/>
    <s v="Convenience stores"/>
    <x v="7"/>
    <s v="Freshco"/>
    <s v="|99/05/53|"/>
    <n v="684"/>
    <n v="2.95"/>
    <n v="3.29"/>
  </r>
  <r>
    <x v="2"/>
    <s v="Convenience stores"/>
    <x v="7"/>
    <s v="Freshco"/>
    <s v="|99/05/54|"/>
    <n v="1104"/>
    <n v="2.73"/>
    <n v="3.21"/>
  </r>
  <r>
    <x v="2"/>
    <s v="Convenience stores"/>
    <x v="7"/>
    <s v="Freshco"/>
    <s v="|99/05/57|"/>
    <n v="780"/>
    <n v="2.13"/>
    <n v="3.87"/>
  </r>
  <r>
    <x v="2"/>
    <s v="Convenience stores"/>
    <x v="7"/>
    <s v="Freshco"/>
    <s v="|99/05/60|"/>
    <n v="840"/>
    <n v="2.9"/>
    <n v="3.38"/>
  </r>
  <r>
    <x v="2"/>
    <s v="Convenience stores"/>
    <x v="7"/>
    <s v="Freshco"/>
    <s v="|99/05/62|"/>
    <n v="648"/>
    <n v="2.63"/>
    <n v="3.83"/>
  </r>
  <r>
    <x v="2"/>
    <s v="Convenience stores"/>
    <x v="7"/>
    <s v="Freshco"/>
    <s v="|99/05/68|"/>
    <n v="828"/>
    <n v="2.74"/>
    <n v="3.97"/>
  </r>
  <r>
    <x v="2"/>
    <s v="Convenience stores"/>
    <x v="7"/>
    <s v="Freshco"/>
    <s v="|99/05/70|"/>
    <n v="828"/>
    <n v="2.37"/>
    <n v="3.22"/>
  </r>
  <r>
    <x v="2"/>
    <s v="Convenience stores"/>
    <x v="7"/>
    <s v="Freshco"/>
    <s v="|99/05/93|"/>
    <n v="996"/>
    <n v="2.95"/>
    <n v="3.4"/>
  </r>
  <r>
    <x v="2"/>
    <s v="Convenience stores"/>
    <x v="7"/>
    <s v="Freshco"/>
    <s v="|99/05/94|"/>
    <n v="936"/>
    <n v="2.67"/>
    <n v="3.98"/>
  </r>
  <r>
    <x v="2"/>
    <s v="Convenience stores"/>
    <x v="7"/>
    <s v="Freshco"/>
    <s v="|99/05/98|"/>
    <n v="1020"/>
    <n v="2.81"/>
    <n v="3.48"/>
  </r>
  <r>
    <x v="2"/>
    <s v="Convenience stores"/>
    <x v="7"/>
    <s v="Freshco"/>
    <s v="|99/05/106|"/>
    <n v="828"/>
    <n v="2.9"/>
    <n v="3.42"/>
  </r>
  <r>
    <x v="2"/>
    <s v="Convenience stores"/>
    <x v="7"/>
    <s v="Freshco"/>
    <s v="|99/05/107|"/>
    <n v="1092"/>
    <n v="2.3199999999999998"/>
    <n v="3.58"/>
  </r>
  <r>
    <x v="2"/>
    <s v="Convenience stores"/>
    <x v="7"/>
    <s v="Freshco"/>
    <s v="|99/05/124|"/>
    <n v="1068"/>
    <n v="2.2200000000000002"/>
    <n v="3.66"/>
  </r>
  <r>
    <x v="2"/>
    <s v="Convenience stores"/>
    <x v="7"/>
    <s v="Freshco"/>
    <s v="|99/05/133|"/>
    <n v="1200"/>
    <n v="2.64"/>
    <n v="3.36"/>
  </r>
  <r>
    <x v="2"/>
    <s v="Convenience stores"/>
    <x v="7"/>
    <s v="Freshco"/>
    <s v="|99/05/136|"/>
    <n v="1044"/>
    <n v="2.67"/>
    <n v="3.83"/>
  </r>
  <r>
    <x v="2"/>
    <s v="Convenience stores"/>
    <x v="7"/>
    <s v="Freshco"/>
    <s v="|99/05/137|"/>
    <n v="792"/>
    <n v="2.04"/>
    <n v="3.65"/>
  </r>
  <r>
    <x v="2"/>
    <s v="Convenience stores"/>
    <x v="7"/>
    <s v="Freshco"/>
    <s v="|99/05/138|"/>
    <n v="1164"/>
    <n v="2.09"/>
    <n v="3.28"/>
  </r>
  <r>
    <x v="2"/>
    <s v="Convenience stores"/>
    <x v="7"/>
    <s v="Freshco"/>
    <s v="|99/05/139|"/>
    <n v="1140"/>
    <n v="2.72"/>
    <n v="3.26"/>
  </r>
  <r>
    <x v="2"/>
    <s v="Convenience stores"/>
    <x v="7"/>
    <s v="Freshco"/>
    <s v="|99/05/140|"/>
    <n v="1128"/>
    <n v="2.41"/>
    <n v="3.37"/>
  </r>
  <r>
    <x v="2"/>
    <s v="Convenience stores"/>
    <x v="7"/>
    <s v="Freshco"/>
    <s v="|99/05/141|"/>
    <n v="660"/>
    <n v="2.61"/>
    <n v="3.69"/>
  </r>
  <r>
    <x v="2"/>
    <s v="Convenience stores"/>
    <x v="7"/>
    <s v="Freshco"/>
    <s v="|99/05/146|"/>
    <n v="1152"/>
    <n v="2.75"/>
    <n v="3.78"/>
  </r>
  <r>
    <x v="2"/>
    <s v="Convenience stores"/>
    <x v="7"/>
    <s v="Freshco"/>
    <s v="|99/05/152|"/>
    <n v="600"/>
    <n v="2.5499999999999998"/>
    <n v="3.68"/>
  </r>
  <r>
    <x v="2"/>
    <s v="Convenience stores"/>
    <x v="7"/>
    <s v="Freshco"/>
    <s v="|99/05/159|"/>
    <n v="1104"/>
    <n v="2.19"/>
    <n v="3.34"/>
  </r>
  <r>
    <x v="2"/>
    <s v="Convenience stores"/>
    <x v="7"/>
    <s v="Freshco"/>
    <s v="|99/05/160|"/>
    <n v="924"/>
    <n v="2.34"/>
    <n v="3.39"/>
  </r>
  <r>
    <x v="2"/>
    <s v="Convenience stores"/>
    <x v="7"/>
    <s v="Freshco"/>
    <s v="|99/05/164|"/>
    <n v="1164"/>
    <n v="2.67"/>
    <n v="3.87"/>
  </r>
  <r>
    <x v="2"/>
    <s v="Convenience stores"/>
    <x v="3"/>
    <s v="Ortalli"/>
    <s v="|92/02/02|"/>
    <n v="48"/>
    <n v="1.2"/>
    <n v="1.22"/>
  </r>
  <r>
    <x v="2"/>
    <s v="Convenience stores"/>
    <x v="3"/>
    <s v="Ortalli"/>
    <s v="|93/01/01|"/>
    <n v="60"/>
    <n v="1.2"/>
    <n v="1.29"/>
  </r>
  <r>
    <x v="2"/>
    <s v="Convenience stores"/>
    <x v="3"/>
    <s v="Ortalli"/>
    <s v="|93/01/02|"/>
    <n v="72"/>
    <n v="1"/>
    <n v="1.27"/>
  </r>
  <r>
    <x v="2"/>
    <s v="Convenience stores"/>
    <x v="3"/>
    <s v="Ortalli"/>
    <s v="|93/01/03|"/>
    <n v="48"/>
    <n v="1.03"/>
    <n v="1.23"/>
  </r>
  <r>
    <x v="2"/>
    <s v="Convenience stores"/>
    <x v="3"/>
    <s v="Ortalli"/>
    <s v="|93/01/04|"/>
    <n v="60"/>
    <n v="1.04"/>
    <n v="1.27"/>
  </r>
  <r>
    <x v="2"/>
    <s v="Convenience stores"/>
    <x v="3"/>
    <s v="Ortalli"/>
    <s v="|93/01/05|"/>
    <n v="60"/>
    <n v="1.07"/>
    <n v="1.23"/>
  </r>
  <r>
    <x v="2"/>
    <s v="Convenience stores"/>
    <x v="3"/>
    <s v="Ortalli"/>
    <s v="|93/01/06|"/>
    <n v="60"/>
    <n v="1.02"/>
    <n v="1.27"/>
  </r>
  <r>
    <x v="2"/>
    <s v="Convenience stores"/>
    <x v="3"/>
    <s v="Ortalli"/>
    <s v="|93/01/07|"/>
    <n v="60"/>
    <n v="1.03"/>
    <n v="1.29"/>
  </r>
  <r>
    <x v="2"/>
    <s v="Convenience stores"/>
    <x v="3"/>
    <s v="Ortalli"/>
    <s v="|93/01/08|"/>
    <n v="48"/>
    <n v="1.0900000000000001"/>
    <n v="1.37"/>
  </r>
  <r>
    <x v="2"/>
    <s v="Convenience stores"/>
    <x v="3"/>
    <s v="Ortalli"/>
    <s v="|93/01/09|"/>
    <n v="48"/>
    <n v="1.1200000000000001"/>
    <n v="1.36"/>
  </r>
  <r>
    <x v="2"/>
    <s v="Convenience stores"/>
    <x v="3"/>
    <s v="Ortalli"/>
    <s v="|93/01/10|"/>
    <n v="72"/>
    <n v="1.19"/>
    <n v="1.34"/>
  </r>
  <r>
    <x v="2"/>
    <s v="Convenience stores"/>
    <x v="3"/>
    <s v="Ortalli"/>
    <s v="|93/01/11|"/>
    <n v="48"/>
    <n v="1.0900000000000001"/>
    <n v="1.24"/>
  </r>
  <r>
    <x v="2"/>
    <s v="Convenience stores"/>
    <x v="3"/>
    <s v="Ortalli"/>
    <s v="|93/02/01|"/>
    <n v="72"/>
    <n v="1.19"/>
    <n v="1.3"/>
  </r>
  <r>
    <x v="2"/>
    <s v="Convenience stores"/>
    <x v="10"/>
    <s v="The food world"/>
    <s v="|90/00/01|"/>
    <n v="444"/>
    <n v="3.56"/>
    <n v="6.15"/>
  </r>
  <r>
    <x v="2"/>
    <s v="Convenience stores"/>
    <x v="10"/>
    <s v="The food world"/>
    <s v="|90/00/02|"/>
    <n v="408"/>
    <n v="3.61"/>
    <n v="5.21"/>
  </r>
  <r>
    <x v="2"/>
    <s v="Convenience stores"/>
    <x v="10"/>
    <s v="The food world"/>
    <s v="|90/00/03|"/>
    <n v="528"/>
    <n v="4.1399999999999997"/>
    <n v="5.41"/>
  </r>
  <r>
    <x v="2"/>
    <s v="Convenience stores"/>
    <x v="10"/>
    <s v="The food world"/>
    <s v="|90/00/04|"/>
    <n v="408"/>
    <n v="3.44"/>
    <n v="6.68"/>
  </r>
  <r>
    <x v="2"/>
    <s v="Convenience stores"/>
    <x v="10"/>
    <s v="The food world"/>
    <s v="|90/00/05|"/>
    <n v="540"/>
    <n v="3.43"/>
    <n v="6.39"/>
  </r>
  <r>
    <x v="2"/>
    <s v="Convenience stores"/>
    <x v="10"/>
    <s v="The food world"/>
    <s v="|90/00/06|"/>
    <n v="420"/>
    <n v="3.51"/>
    <n v="5.48"/>
  </r>
  <r>
    <x v="2"/>
    <s v="Convenience stores"/>
    <x v="10"/>
    <s v="The food world"/>
    <s v="|90/00/07|"/>
    <n v="528"/>
    <n v="4.03"/>
    <n v="5.71"/>
  </r>
  <r>
    <x v="2"/>
    <s v="Convenience stores"/>
    <x v="10"/>
    <s v="The food world"/>
    <s v="|90/00/08|"/>
    <n v="360"/>
    <n v="3.8"/>
    <n v="6.31"/>
  </r>
  <r>
    <x v="2"/>
    <s v="Convenience stores"/>
    <x v="10"/>
    <s v="The food world"/>
    <s v="|90/00/09|"/>
    <n v="444"/>
    <n v="3.99"/>
    <n v="5.32"/>
  </r>
  <r>
    <x v="2"/>
    <s v="Convenience stores"/>
    <x v="10"/>
    <s v="The food world"/>
    <s v="|90/00/10|"/>
    <n v="408"/>
    <n v="3.63"/>
    <n v="6.61"/>
  </r>
  <r>
    <x v="2"/>
    <s v="Convenience stores"/>
    <x v="10"/>
    <s v="The food world"/>
    <s v="|90/00/11|"/>
    <n v="516"/>
    <n v="4.8600000000000003"/>
    <n v="5.46"/>
  </r>
  <r>
    <x v="2"/>
    <s v="Convenience stores"/>
    <x v="10"/>
    <s v="The food world"/>
    <s v="|90/00/12|"/>
    <n v="504"/>
    <n v="4"/>
    <n v="5.2"/>
  </r>
  <r>
    <x v="2"/>
    <s v="Convenience stores"/>
    <x v="10"/>
    <s v="The food world"/>
    <s v="|90/00/13|"/>
    <n v="420"/>
    <n v="4.18"/>
    <n v="5.61"/>
  </r>
  <r>
    <x v="2"/>
    <s v="Convenience stores"/>
    <x v="10"/>
    <s v="The food world"/>
    <s v="|90/01/01|"/>
    <n v="360"/>
    <n v="3.57"/>
    <n v="5.56"/>
  </r>
  <r>
    <x v="2"/>
    <s v="Convenience stores"/>
    <x v="10"/>
    <s v="The food world"/>
    <s v="|90/01/02|"/>
    <n v="528"/>
    <n v="3.21"/>
    <n v="5.13"/>
  </r>
  <r>
    <x v="2"/>
    <s v="Convenience stores"/>
    <x v="10"/>
    <s v="The food world"/>
    <s v="|90/01/03|"/>
    <n v="432"/>
    <n v="4.55"/>
    <n v="6.14"/>
  </r>
  <r>
    <x v="2"/>
    <s v="Convenience stores"/>
    <x v="10"/>
    <s v="The food world"/>
    <s v="|90/01/04|"/>
    <n v="408"/>
    <n v="3.33"/>
    <n v="6.94"/>
  </r>
  <r>
    <x v="2"/>
    <s v="Convenience stores"/>
    <x v="10"/>
    <s v="The food world"/>
    <s v="|90/01/05|"/>
    <n v="504"/>
    <n v="5"/>
    <n v="5.31"/>
  </r>
  <r>
    <x v="2"/>
    <s v="Convenience stores"/>
    <x v="10"/>
    <s v="The food world"/>
    <s v="|90/01/06|"/>
    <n v="384"/>
    <n v="3.98"/>
    <n v="5.35"/>
  </r>
  <r>
    <x v="2"/>
    <s v="Convenience stores"/>
    <x v="10"/>
    <s v="The food world"/>
    <s v="|90/01/07|"/>
    <n v="396"/>
    <n v="4.1900000000000004"/>
    <n v="6.48"/>
  </r>
  <r>
    <x v="2"/>
    <s v="Convenience stores"/>
    <x v="10"/>
    <s v="The food world"/>
    <s v="|90/01/08|"/>
    <n v="384"/>
    <n v="3.52"/>
    <n v="6.94"/>
  </r>
  <r>
    <x v="2"/>
    <s v="Convenience stores"/>
    <x v="10"/>
    <s v="The food world"/>
    <s v="|90/01/09|"/>
    <n v="408"/>
    <n v="3.54"/>
    <n v="6.68"/>
  </r>
  <r>
    <x v="2"/>
    <s v="Convenience stores"/>
    <x v="10"/>
    <s v="The food world"/>
    <s v="|90/01/10|"/>
    <n v="456"/>
    <n v="3.58"/>
    <n v="6.74"/>
  </r>
  <r>
    <x v="2"/>
    <s v="Convenience stores"/>
    <x v="10"/>
    <s v="The food world"/>
    <s v="|90/01/11|"/>
    <n v="516"/>
    <n v="4.4400000000000004"/>
    <n v="5.86"/>
  </r>
  <r>
    <x v="2"/>
    <s v="Convenience stores"/>
    <x v="10"/>
    <s v="The food world"/>
    <s v="|90/01/12|"/>
    <n v="432"/>
    <n v="4.46"/>
    <n v="5.44"/>
  </r>
  <r>
    <x v="2"/>
    <s v="Convenience stores"/>
    <x v="10"/>
    <s v="The food world"/>
    <s v="|90/01/13|"/>
    <n v="420"/>
    <n v="3.66"/>
    <n v="6.2"/>
  </r>
  <r>
    <x v="2"/>
    <s v="Convenience stores"/>
    <x v="10"/>
    <s v="The food world"/>
    <s v="|90/01/14|"/>
    <n v="504"/>
    <n v="4.96"/>
    <n v="5.5"/>
  </r>
  <r>
    <x v="2"/>
    <s v="Convenience stores"/>
    <x v="10"/>
    <s v="The food world"/>
    <s v="|90/01/15|"/>
    <n v="396"/>
    <n v="4.46"/>
    <n v="6.35"/>
  </r>
  <r>
    <x v="2"/>
    <s v="Convenience stores"/>
    <x v="10"/>
    <s v="The food world"/>
    <s v="|90/01/16|"/>
    <n v="408"/>
    <n v="3.72"/>
    <n v="6.91"/>
  </r>
  <r>
    <x v="2"/>
    <s v="Convenience stores"/>
    <x v="10"/>
    <s v="The food world"/>
    <s v="|90/01/17|"/>
    <n v="420"/>
    <n v="3.28"/>
    <n v="6.76"/>
  </r>
  <r>
    <x v="2"/>
    <s v="Convenience stores"/>
    <x v="10"/>
    <s v="The food world"/>
    <s v="|90/01/18|"/>
    <n v="540"/>
    <n v="4.84"/>
    <n v="6.98"/>
  </r>
  <r>
    <x v="2"/>
    <s v="Convenience stores"/>
    <x v="10"/>
    <s v="The food world"/>
    <s v="|90/02/01|"/>
    <n v="444"/>
    <n v="3.39"/>
    <n v="5.13"/>
  </r>
  <r>
    <x v="2"/>
    <s v="Convenience stores"/>
    <x v="10"/>
    <s v="The food world"/>
    <s v="|90/02/02|"/>
    <n v="384"/>
    <n v="4"/>
    <n v="5.01"/>
  </r>
  <r>
    <x v="2"/>
    <s v="Convenience stores"/>
    <x v="10"/>
    <s v="The food world"/>
    <s v="|90/02/03|"/>
    <n v="408"/>
    <n v="5"/>
    <n v="5.87"/>
  </r>
  <r>
    <x v="2"/>
    <s v="Convenience stores"/>
    <x v="10"/>
    <s v="The food world"/>
    <s v="|90/02/04|"/>
    <n v="528"/>
    <n v="3.5"/>
    <n v="6.7"/>
  </r>
  <r>
    <x v="2"/>
    <s v="Convenience stores"/>
    <x v="10"/>
    <s v="The food world"/>
    <s v="|90/02/05|"/>
    <n v="396"/>
    <n v="3.38"/>
    <n v="5.58"/>
  </r>
  <r>
    <x v="2"/>
    <s v="Convenience stores"/>
    <x v="1"/>
    <s v="Delta"/>
    <s v="|04/00/01|"/>
    <n v="588"/>
    <n v="5.5266666666666664"/>
    <n v="7.9133333333333331"/>
  </r>
  <r>
    <x v="2"/>
    <s v="Convenience stores"/>
    <x v="1"/>
    <s v="Delta"/>
    <s v="|04/00/02|"/>
    <n v="468"/>
    <n v="6.1066666666666665"/>
    <n v="7.94"/>
  </r>
  <r>
    <x v="2"/>
    <s v="Convenience stores"/>
    <x v="1"/>
    <s v="Delta"/>
    <s v="|04/00/03|"/>
    <n v="456"/>
    <n v="6.3266666666666671"/>
    <n v="7.9733333333333336"/>
  </r>
  <r>
    <x v="2"/>
    <s v="Convenience stores"/>
    <x v="1"/>
    <s v="Delta"/>
    <s v="|04/00/04|"/>
    <n v="612"/>
    <n v="5.9733333333333336"/>
    <n v="8.1666666666666661"/>
  </r>
  <r>
    <x v="2"/>
    <s v="Convenience stores"/>
    <x v="1"/>
    <s v="Delta"/>
    <s v="|04/00/05|"/>
    <n v="456"/>
    <n v="5.56"/>
    <n v="8.4866666666666664"/>
  </r>
  <r>
    <x v="2"/>
    <s v="Convenience stores"/>
    <x v="6"/>
    <s v="Delta"/>
    <s v="|04/04/01|"/>
    <n v="2004"/>
    <n v="2.58"/>
    <n v="4"/>
  </r>
  <r>
    <x v="2"/>
    <s v="Convenience stores"/>
    <x v="6"/>
    <s v="Delta"/>
    <s v="|04/04/02|"/>
    <n v="2460"/>
    <n v="2.93"/>
    <n v="3.8"/>
  </r>
  <r>
    <x v="2"/>
    <s v="Convenience stores"/>
    <x v="6"/>
    <s v="Delta"/>
    <s v="|04/04/03|"/>
    <n v="2160"/>
    <n v="2.65"/>
    <n v="3.67"/>
  </r>
  <r>
    <x v="2"/>
    <s v="Convenience stores"/>
    <x v="6"/>
    <s v="Delta"/>
    <s v="|04/04/04|"/>
    <n v="1668"/>
    <n v="2.38"/>
    <n v="3.99"/>
  </r>
  <r>
    <x v="2"/>
    <s v="Convenience stores"/>
    <x v="6"/>
    <s v="Delta"/>
    <s v="|04/04/05|"/>
    <n v="2604"/>
    <n v="2.88"/>
    <n v="4"/>
  </r>
  <r>
    <x v="2"/>
    <s v="Convenience stores"/>
    <x v="6"/>
    <s v="Delta"/>
    <s v="|04/04/06|"/>
    <n v="2568"/>
    <n v="2.82"/>
    <n v="3.52"/>
  </r>
  <r>
    <x v="2"/>
    <s v="Convenience stores"/>
    <x v="6"/>
    <s v="Delta"/>
    <s v="|04/04/07|"/>
    <n v="1932"/>
    <n v="2.77"/>
    <n v="3.54"/>
  </r>
  <r>
    <x v="2"/>
    <s v="Convenience stores"/>
    <x v="6"/>
    <s v="Delta"/>
    <s v="|04/04/08|"/>
    <n v="2508"/>
    <n v="2.5"/>
    <n v="3.98"/>
  </r>
  <r>
    <x v="2"/>
    <s v="Convenience stores"/>
    <x v="6"/>
    <s v="Delta"/>
    <s v="|04/04/09|"/>
    <n v="1908"/>
    <n v="2.8"/>
    <n v="3.46"/>
  </r>
  <r>
    <x v="2"/>
    <s v="Convenience stores"/>
    <x v="6"/>
    <s v="Delta"/>
    <s v="|04/04/10|"/>
    <n v="1200"/>
    <n v="2.66"/>
    <n v="3.6"/>
  </r>
  <r>
    <x v="2"/>
    <s v="Convenience stores"/>
    <x v="6"/>
    <s v="Delta"/>
    <s v="|04/04/11|"/>
    <n v="2304"/>
    <n v="2.4"/>
    <n v="3.94"/>
  </r>
  <r>
    <x v="2"/>
    <s v="Convenience stores"/>
    <x v="6"/>
    <s v="Delta"/>
    <s v="|04/04/12|"/>
    <n v="1320"/>
    <n v="2.65"/>
    <n v="3.71"/>
  </r>
  <r>
    <x v="2"/>
    <s v="Convenience stores"/>
    <x v="6"/>
    <s v="Delta"/>
    <s v="|04/04/13|"/>
    <n v="1272"/>
    <n v="3"/>
    <n v="3.58"/>
  </r>
  <r>
    <x v="2"/>
    <s v="Convenience stores"/>
    <x v="6"/>
    <s v="Delta"/>
    <s v="|04/04/14|"/>
    <n v="1836"/>
    <n v="2.35"/>
    <n v="3.76"/>
  </r>
  <r>
    <x v="2"/>
    <s v="Convenience stores"/>
    <x v="6"/>
    <s v="Delta"/>
    <s v="|04/04/15|"/>
    <n v="2232"/>
    <n v="2.93"/>
    <n v="3.32"/>
  </r>
  <r>
    <x v="2"/>
    <s v="Convenience stores"/>
    <x v="6"/>
    <s v="Delta"/>
    <s v="|04/04/16|"/>
    <n v="2568"/>
    <n v="2.87"/>
    <n v="3.59"/>
  </r>
  <r>
    <x v="2"/>
    <s v="Convenience stores"/>
    <x v="6"/>
    <s v="Delta"/>
    <s v="|04/04/17|"/>
    <n v="2268"/>
    <n v="2.59"/>
    <n v="3.83"/>
  </r>
  <r>
    <x v="2"/>
    <s v="Convenience stores"/>
    <x v="6"/>
    <s v="Delta"/>
    <s v="|04/04/18|"/>
    <n v="2592"/>
    <n v="2.87"/>
    <n v="3.39"/>
  </r>
  <r>
    <x v="2"/>
    <s v="Convenience stores"/>
    <x v="6"/>
    <s v="Delta"/>
    <s v="|04/04/19|"/>
    <n v="2292"/>
    <n v="2.87"/>
    <n v="3.4"/>
  </r>
  <r>
    <x v="2"/>
    <s v="Convenience stores"/>
    <x v="6"/>
    <s v="Delta"/>
    <s v="|04/04/20|"/>
    <n v="1344"/>
    <n v="2.4700000000000002"/>
    <n v="3.69"/>
  </r>
  <r>
    <x v="2"/>
    <s v="Convenience stores"/>
    <x v="6"/>
    <s v="Delta"/>
    <s v="|04/04/21|"/>
    <n v="1464"/>
    <n v="2.95"/>
    <n v="3.49"/>
  </r>
  <r>
    <x v="2"/>
    <s v="Convenience stores"/>
    <x v="6"/>
    <s v="Delta"/>
    <s v="|04/04/22|"/>
    <n v="2124"/>
    <n v="2.95"/>
    <n v="3.43"/>
  </r>
  <r>
    <x v="2"/>
    <s v="Convenience stores"/>
    <x v="6"/>
    <s v="Delta"/>
    <s v="|04/04/23|"/>
    <n v="2316"/>
    <n v="2.37"/>
    <n v="3.67"/>
  </r>
  <r>
    <x v="2"/>
    <s v="Convenience stores"/>
    <x v="6"/>
    <s v="Delta"/>
    <s v="|04/04/24|"/>
    <n v="2376"/>
    <n v="2.6"/>
    <n v="3.4"/>
  </r>
  <r>
    <x v="2"/>
    <s v="Convenience stores"/>
    <x v="6"/>
    <s v="Delta"/>
    <s v="|04/04/25|"/>
    <n v="1800"/>
    <n v="2.97"/>
    <n v="3.96"/>
  </r>
  <r>
    <x v="2"/>
    <s v="Convenience stores"/>
    <x v="6"/>
    <s v="Delta"/>
    <s v="|04/04/26|"/>
    <n v="2004"/>
    <n v="2.84"/>
    <n v="3.41"/>
  </r>
  <r>
    <x v="2"/>
    <s v="Convenience stores"/>
    <x v="6"/>
    <s v="Delta"/>
    <s v="|04/04/27|"/>
    <n v="1332"/>
    <n v="2.95"/>
    <n v="3.44"/>
  </r>
  <r>
    <x v="2"/>
    <s v="Convenience stores"/>
    <x v="6"/>
    <s v="Delta"/>
    <s v="|04/04/28|"/>
    <n v="1524"/>
    <n v="2.73"/>
    <n v="3.42"/>
  </r>
  <r>
    <x v="2"/>
    <s v="Convenience stores"/>
    <x v="6"/>
    <s v="Delta"/>
    <s v="|04/04/29|"/>
    <n v="2100"/>
    <n v="2.86"/>
    <n v="3.81"/>
  </r>
  <r>
    <x v="2"/>
    <s v="Convenience stores"/>
    <x v="6"/>
    <s v="Delta"/>
    <s v="|04/04/30|"/>
    <n v="1680"/>
    <n v="2.37"/>
    <n v="3.74"/>
  </r>
  <r>
    <x v="2"/>
    <s v="Convenience stores"/>
    <x v="6"/>
    <s v="Delta"/>
    <s v="|04/04/31|"/>
    <n v="2268"/>
    <n v="2.52"/>
    <n v="3.97"/>
  </r>
  <r>
    <x v="2"/>
    <s v="Convenience stores"/>
    <x v="6"/>
    <s v="Delta"/>
    <s v="|04/04/32|"/>
    <n v="2568"/>
    <n v="2.63"/>
    <n v="3.75"/>
  </r>
  <r>
    <x v="2"/>
    <s v="Convenience stores"/>
    <x v="6"/>
    <s v="Delta"/>
    <s v="|04/04/33|"/>
    <n v="2364"/>
    <n v="2.92"/>
    <n v="3.6"/>
  </r>
  <r>
    <x v="2"/>
    <s v="Convenience stores"/>
    <x v="6"/>
    <s v="Delta"/>
    <s v="|04/04/34|"/>
    <n v="2436"/>
    <n v="2.74"/>
    <n v="3.43"/>
  </r>
  <r>
    <x v="2"/>
    <s v="Convenience stores"/>
    <x v="6"/>
    <s v="Delta"/>
    <s v="|04/04/35|"/>
    <n v="1656"/>
    <n v="2.56"/>
    <n v="3.79"/>
  </r>
  <r>
    <x v="2"/>
    <s v="Convenience stores"/>
    <x v="6"/>
    <s v="Delta"/>
    <s v="|04/04/36|"/>
    <n v="1872"/>
    <n v="2.61"/>
    <n v="3.86"/>
  </r>
  <r>
    <x v="2"/>
    <s v="Convenience stores"/>
    <x v="6"/>
    <s v="Delta"/>
    <s v="|04/04/37|"/>
    <n v="2388"/>
    <n v="2.85"/>
    <n v="3.65"/>
  </r>
  <r>
    <x v="2"/>
    <s v="Convenience stores"/>
    <x v="6"/>
    <s v="Delta"/>
    <s v="|04/04/38|"/>
    <n v="2532"/>
    <n v="2.4900000000000002"/>
    <n v="3.36"/>
  </r>
  <r>
    <x v="2"/>
    <s v="Convenience stores"/>
    <x v="6"/>
    <s v="Delta"/>
    <s v="|04/04/39|"/>
    <n v="1320"/>
    <n v="2.4300000000000002"/>
    <n v="3.58"/>
  </r>
  <r>
    <x v="2"/>
    <s v="Convenience stores"/>
    <x v="6"/>
    <s v="Delta"/>
    <s v="|04/04/40|"/>
    <n v="2544"/>
    <n v="2.84"/>
    <n v="3.65"/>
  </r>
  <r>
    <x v="2"/>
    <s v="Convenience stores"/>
    <x v="6"/>
    <s v="Delta"/>
    <s v="|04/04/41|"/>
    <n v="2676"/>
    <n v="2.82"/>
    <n v="3.88"/>
  </r>
  <r>
    <x v="2"/>
    <s v="Convenience stores"/>
    <x v="6"/>
    <s v="Delta"/>
    <s v="|04/04/42|"/>
    <n v="2172"/>
    <n v="2.89"/>
    <n v="3.71"/>
  </r>
  <r>
    <x v="2"/>
    <s v="Convenience stores"/>
    <x v="6"/>
    <s v="Delta"/>
    <s v="|04/04/43|"/>
    <n v="1728"/>
    <n v="2.72"/>
    <n v="3.79"/>
  </r>
  <r>
    <x v="2"/>
    <s v="Convenience stores"/>
    <x v="6"/>
    <s v="Delta"/>
    <s v="|04/04/44|"/>
    <n v="2472"/>
    <n v="2.72"/>
    <n v="3.7"/>
  </r>
  <r>
    <x v="2"/>
    <s v="Convenience stores"/>
    <x v="6"/>
    <s v="Delta"/>
    <s v="|04/04/45|"/>
    <n v="1368"/>
    <n v="2.68"/>
    <n v="3.91"/>
  </r>
  <r>
    <x v="2"/>
    <s v="Convenience stores"/>
    <x v="6"/>
    <s v="Delta"/>
    <s v="|04/04/46|"/>
    <n v="1404"/>
    <n v="2.96"/>
    <n v="3.46"/>
  </r>
  <r>
    <x v="2"/>
    <s v="Convenience stores"/>
    <x v="6"/>
    <s v="Delta"/>
    <s v="|04/04/47|"/>
    <n v="1692"/>
    <n v="2.6"/>
    <n v="3.96"/>
  </r>
  <r>
    <x v="2"/>
    <s v="Convenience stores"/>
    <x v="6"/>
    <s v="Delta"/>
    <s v="|04/04/48|"/>
    <n v="1560"/>
    <n v="2.94"/>
    <n v="3.62"/>
  </r>
  <r>
    <x v="2"/>
    <s v="Convenience stores"/>
    <x v="6"/>
    <s v="Delta"/>
    <s v="|04/04/49|"/>
    <n v="2280"/>
    <n v="2.57"/>
    <n v="3.84"/>
  </r>
  <r>
    <x v="2"/>
    <s v="Convenience stores"/>
    <x v="6"/>
    <s v="Delta"/>
    <s v="|04/04/50|"/>
    <n v="1848"/>
    <n v="2.5299999999999998"/>
    <n v="3.43"/>
  </r>
  <r>
    <x v="2"/>
    <s v="Convenience stores"/>
    <x v="6"/>
    <s v="Delta"/>
    <s v="|04/04/51|"/>
    <n v="1872"/>
    <n v="2.4500000000000002"/>
    <n v="3.31"/>
  </r>
  <r>
    <x v="2"/>
    <s v="Convenience stores"/>
    <x v="6"/>
    <s v="Delta"/>
    <s v="|04/04/52|"/>
    <n v="2484"/>
    <n v="2.4900000000000002"/>
    <n v="3.64"/>
  </r>
  <r>
    <x v="2"/>
    <s v="Convenience stores"/>
    <x v="6"/>
    <s v="Delta"/>
    <s v="|04/04/53|"/>
    <n v="1416"/>
    <n v="2.82"/>
    <n v="3.75"/>
  </r>
  <r>
    <x v="2"/>
    <s v="Convenience stores"/>
    <x v="6"/>
    <s v="Delta"/>
    <s v="|04/04/54|"/>
    <n v="2244"/>
    <n v="2.63"/>
    <n v="3.74"/>
  </r>
  <r>
    <x v="2"/>
    <s v="Convenience stores"/>
    <x v="6"/>
    <s v="Delta"/>
    <s v="|04/04/55|"/>
    <n v="1788"/>
    <n v="2.73"/>
    <n v="3.76"/>
  </r>
  <r>
    <x v="2"/>
    <s v="Convenience stores"/>
    <x v="6"/>
    <s v="Delta"/>
    <s v="|04/04/56|"/>
    <n v="1836"/>
    <n v="2.42"/>
    <n v="3.89"/>
  </r>
  <r>
    <x v="2"/>
    <s v="Convenience stores"/>
    <x v="6"/>
    <s v="Delta"/>
    <s v="|04/04/57|"/>
    <n v="1572"/>
    <n v="2.86"/>
    <n v="3.81"/>
  </r>
  <r>
    <x v="2"/>
    <s v="Convenience stores"/>
    <x v="6"/>
    <s v="Delta"/>
    <s v="|04/04/58|"/>
    <n v="1728"/>
    <n v="2.7"/>
    <n v="3.79"/>
  </r>
  <r>
    <x v="2"/>
    <s v="Convenience stores"/>
    <x v="6"/>
    <s v="Delta"/>
    <s v="|04/04/59|"/>
    <n v="2304"/>
    <n v="2.72"/>
    <n v="3.43"/>
  </r>
  <r>
    <x v="2"/>
    <s v="Convenience stores"/>
    <x v="6"/>
    <s v="Delta"/>
    <s v="|04/04/60|"/>
    <n v="2628"/>
    <n v="2.41"/>
    <n v="3.67"/>
  </r>
  <r>
    <x v="2"/>
    <s v="Convenience stores"/>
    <x v="6"/>
    <s v="Delta"/>
    <s v="|04/04/61|"/>
    <n v="1584"/>
    <n v="2.62"/>
    <n v="3.59"/>
  </r>
  <r>
    <x v="2"/>
    <s v="Convenience stores"/>
    <x v="6"/>
    <s v="Delta"/>
    <s v="|04/04/62|"/>
    <n v="2724"/>
    <n v="2.5099999999999998"/>
    <n v="3.6"/>
  </r>
  <r>
    <x v="2"/>
    <s v="Convenience stores"/>
    <x v="6"/>
    <s v="Delta"/>
    <s v="|04/04/63|"/>
    <n v="2460"/>
    <n v="2.75"/>
    <n v="3.77"/>
  </r>
  <r>
    <x v="2"/>
    <s v="Convenience stores"/>
    <x v="6"/>
    <s v="Delta"/>
    <s v="|04/04/64|"/>
    <n v="2064"/>
    <n v="2.2999999999999998"/>
    <n v="3.64"/>
  </r>
  <r>
    <x v="2"/>
    <s v="Convenience stores"/>
    <x v="6"/>
    <s v="Delta"/>
    <s v="|04/04/65|"/>
    <n v="1740"/>
    <n v="2.37"/>
    <n v="3.62"/>
  </r>
  <r>
    <x v="2"/>
    <s v="Convenience stores"/>
    <x v="6"/>
    <s v="Delta"/>
    <s v="|04/04/66|"/>
    <n v="2292"/>
    <n v="2.89"/>
    <n v="3.52"/>
  </r>
  <r>
    <x v="2"/>
    <s v="Convenience stores"/>
    <x v="6"/>
    <s v="Delta"/>
    <s v="|04/04/67|"/>
    <n v="2400"/>
    <n v="2.5"/>
    <n v="3.53"/>
  </r>
  <r>
    <x v="2"/>
    <s v="Convenience stores"/>
    <x v="6"/>
    <s v="Delta"/>
    <s v="|04/04/68|"/>
    <n v="2244"/>
    <n v="2.86"/>
    <n v="3.63"/>
  </r>
  <r>
    <x v="2"/>
    <s v="Convenience stores"/>
    <x v="6"/>
    <s v="Delta"/>
    <s v="|04/04/69|"/>
    <n v="2100"/>
    <n v="2.5"/>
    <n v="3.65"/>
  </r>
  <r>
    <x v="2"/>
    <s v="Convenience stores"/>
    <x v="6"/>
    <s v="Delta"/>
    <s v="|04/04/70|"/>
    <n v="1356"/>
    <n v="2.7"/>
    <n v="3.71"/>
  </r>
  <r>
    <x v="2"/>
    <s v="Convenience stores"/>
    <x v="6"/>
    <s v="Delta"/>
    <s v="|04/04/71|"/>
    <n v="2436"/>
    <n v="2.52"/>
    <n v="3.65"/>
  </r>
  <r>
    <x v="2"/>
    <s v="Convenience stores"/>
    <x v="6"/>
    <s v="Delta"/>
    <s v="|04/04/72|"/>
    <n v="2520"/>
    <n v="2.5"/>
    <n v="3.82"/>
  </r>
  <r>
    <x v="2"/>
    <s v="Convenience stores"/>
    <x v="6"/>
    <s v="Delta"/>
    <s v="|04/04/73|"/>
    <n v="1800"/>
    <n v="2.87"/>
    <n v="3.88"/>
  </r>
  <r>
    <x v="2"/>
    <s v="Convenience stores"/>
    <x v="6"/>
    <s v="Delta"/>
    <s v="|04/04/74|"/>
    <n v="2748"/>
    <n v="2.39"/>
    <n v="3.46"/>
  </r>
  <r>
    <x v="2"/>
    <s v="Convenience stores"/>
    <x v="6"/>
    <s v="Delta"/>
    <s v="|04/04/75|"/>
    <n v="1548"/>
    <n v="2.46"/>
    <n v="3.93"/>
  </r>
  <r>
    <x v="2"/>
    <s v="Convenience stores"/>
    <x v="6"/>
    <s v="Delta"/>
    <s v="|04/04/76|"/>
    <n v="1992"/>
    <n v="2.4"/>
    <n v="3.46"/>
  </r>
  <r>
    <x v="2"/>
    <s v="Convenience stores"/>
    <x v="6"/>
    <s v="Delta"/>
    <s v="|04/04/77|"/>
    <n v="1404"/>
    <n v="2.46"/>
    <n v="3.81"/>
  </r>
  <r>
    <x v="2"/>
    <s v="Convenience stores"/>
    <x v="6"/>
    <s v="Delta"/>
    <s v="|04/04/78|"/>
    <n v="1836"/>
    <n v="2.71"/>
    <n v="3.78"/>
  </r>
  <r>
    <x v="2"/>
    <s v="Convenience stores"/>
    <x v="6"/>
    <s v="Delta"/>
    <s v="|04/04/79|"/>
    <n v="2220"/>
    <n v="2.78"/>
    <n v="3.77"/>
  </r>
  <r>
    <x v="2"/>
    <s v="Convenience stores"/>
    <x v="6"/>
    <s v="Delta"/>
    <s v="|04/04/80|"/>
    <n v="2700"/>
    <n v="2.95"/>
    <n v="4"/>
  </r>
  <r>
    <x v="2"/>
    <s v="Convenience stores"/>
    <x v="6"/>
    <s v="Delta"/>
    <s v="|04/04/81|"/>
    <n v="1404"/>
    <n v="2.91"/>
    <n v="3.47"/>
  </r>
  <r>
    <x v="2"/>
    <s v="Convenience stores"/>
    <x v="6"/>
    <s v="Delta"/>
    <s v="|04/04/82|"/>
    <n v="2424"/>
    <n v="2.6"/>
    <n v="3.95"/>
  </r>
  <r>
    <x v="2"/>
    <s v="Convenience stores"/>
    <x v="6"/>
    <s v="Delta"/>
    <s v="|04/04/83|"/>
    <n v="1212"/>
    <n v="2.57"/>
    <n v="3.7"/>
  </r>
  <r>
    <x v="2"/>
    <s v="Convenience stores"/>
    <x v="6"/>
    <s v="Delta"/>
    <s v="|04/04/84|"/>
    <n v="2388"/>
    <n v="2.35"/>
    <n v="3.65"/>
  </r>
  <r>
    <x v="2"/>
    <s v="Convenience stores"/>
    <x v="6"/>
    <s v="Delta"/>
    <s v="|04/04/85|"/>
    <n v="1512"/>
    <n v="2.98"/>
    <n v="3.77"/>
  </r>
  <r>
    <x v="2"/>
    <s v="Convenience stores"/>
    <x v="6"/>
    <s v="Delta"/>
    <s v="|04/04/86|"/>
    <n v="2688"/>
    <n v="2.67"/>
    <n v="3.95"/>
  </r>
  <r>
    <x v="2"/>
    <s v="Convenience stores"/>
    <x v="6"/>
    <s v="Delta"/>
    <s v="|04/04/87|"/>
    <n v="1596"/>
    <n v="2.44"/>
    <n v="3.54"/>
  </r>
  <r>
    <x v="2"/>
    <s v="Convenience stores"/>
    <x v="6"/>
    <s v="Delta"/>
    <s v="|04/04/88|"/>
    <n v="2040"/>
    <n v="2.5299999999999998"/>
    <n v="3.33"/>
  </r>
  <r>
    <x v="2"/>
    <s v="Convenience stores"/>
    <x v="6"/>
    <s v="Delta"/>
    <s v="|04/04/89|"/>
    <n v="1464"/>
    <n v="2.33"/>
    <n v="3.41"/>
  </r>
  <r>
    <x v="2"/>
    <s v="Convenience stores"/>
    <x v="6"/>
    <s v="Delta"/>
    <s v="|04/04/90|"/>
    <n v="1860"/>
    <n v="2.38"/>
    <n v="3.97"/>
  </r>
  <r>
    <x v="2"/>
    <s v="Convenience stores"/>
    <x v="6"/>
    <s v="Delta"/>
    <s v="|04/04/91|"/>
    <n v="1452"/>
    <n v="2.68"/>
    <n v="3.84"/>
  </r>
  <r>
    <x v="2"/>
    <s v="Convenience stores"/>
    <x v="6"/>
    <s v="Delta"/>
    <s v="|04/04/92|"/>
    <n v="1932"/>
    <n v="2.93"/>
    <n v="3.95"/>
  </r>
  <r>
    <x v="2"/>
    <s v="Convenience stores"/>
    <x v="6"/>
    <s v="Delta"/>
    <s v="|04/04/93|"/>
    <n v="1764"/>
    <n v="2.54"/>
    <n v="3.44"/>
  </r>
  <r>
    <x v="2"/>
    <s v="Convenience stores"/>
    <x v="6"/>
    <s v="Delta"/>
    <s v="|04/04/94|"/>
    <n v="1428"/>
    <n v="2.9"/>
    <n v="3.55"/>
  </r>
  <r>
    <x v="2"/>
    <s v="Convenience stores"/>
    <x v="6"/>
    <s v="Delta"/>
    <s v="|04/04/95|"/>
    <n v="2508"/>
    <n v="2.84"/>
    <n v="3.47"/>
  </r>
  <r>
    <x v="2"/>
    <s v="Convenience stores"/>
    <x v="6"/>
    <s v="Delta"/>
    <s v="|04/04/96|"/>
    <n v="1800"/>
    <n v="2.52"/>
    <n v="3.83"/>
  </r>
  <r>
    <x v="2"/>
    <s v="Convenience stores"/>
    <x v="6"/>
    <s v="Delta"/>
    <s v="|04/04/97|"/>
    <n v="2340"/>
    <n v="2.77"/>
    <n v="3.66"/>
  </r>
  <r>
    <x v="2"/>
    <s v="Convenience stores"/>
    <x v="6"/>
    <s v="Delta"/>
    <s v="|04/04/98|"/>
    <n v="1488"/>
    <n v="2.59"/>
    <n v="3.85"/>
  </r>
  <r>
    <x v="2"/>
    <s v="Convenience stores"/>
    <x v="6"/>
    <s v="Delta"/>
    <s v="|04/04/99|"/>
    <n v="1284"/>
    <n v="2.4"/>
    <n v="3.68"/>
  </r>
  <r>
    <x v="2"/>
    <s v="Convenience stores"/>
    <x v="6"/>
    <s v="Delta"/>
    <s v="|04/05/01|"/>
    <n v="2472"/>
    <n v="2.73"/>
    <n v="3.32"/>
  </r>
  <r>
    <x v="2"/>
    <s v="Convenience stores"/>
    <x v="6"/>
    <s v="Delta"/>
    <s v="|04/05/02|"/>
    <n v="1488"/>
    <n v="2.66"/>
    <n v="3.92"/>
  </r>
  <r>
    <x v="2"/>
    <s v="Convenience stores"/>
    <x v="6"/>
    <s v="Delta"/>
    <s v="|04/05/03|"/>
    <n v="2592"/>
    <n v="2.96"/>
    <n v="3.78"/>
  </r>
  <r>
    <x v="2"/>
    <s v="Convenience stores"/>
    <x v="6"/>
    <s v="Delta"/>
    <s v="|04/05/04|"/>
    <n v="2436"/>
    <n v="2.82"/>
    <n v="3.57"/>
  </r>
  <r>
    <x v="2"/>
    <s v="Convenience stores"/>
    <x v="6"/>
    <s v="Delta"/>
    <s v="|04/05/05|"/>
    <n v="1524"/>
    <n v="2.85"/>
    <n v="3.99"/>
  </r>
  <r>
    <x v="2"/>
    <s v="Convenience stores"/>
    <x v="6"/>
    <s v="Delta"/>
    <s v="|04/05/06|"/>
    <n v="2136"/>
    <n v="2.8"/>
    <n v="3.99"/>
  </r>
  <r>
    <x v="2"/>
    <s v="Convenience stores"/>
    <x v="6"/>
    <s v="Delta"/>
    <s v="|04/05/07|"/>
    <n v="2592"/>
    <n v="2.64"/>
    <n v="3.94"/>
  </r>
  <r>
    <x v="2"/>
    <s v="Convenience stores"/>
    <x v="6"/>
    <s v="Delta"/>
    <s v="|04/05/08|"/>
    <n v="2328"/>
    <n v="2.2999999999999998"/>
    <n v="3.83"/>
  </r>
  <r>
    <x v="2"/>
    <s v="Convenience stores"/>
    <x v="6"/>
    <s v="Delta"/>
    <s v="|04/05/09|"/>
    <n v="2100"/>
    <n v="2.93"/>
    <n v="3.37"/>
  </r>
  <r>
    <x v="2"/>
    <s v="Convenience stores"/>
    <x v="6"/>
    <s v="Delta"/>
    <s v="|04/05/10|"/>
    <n v="1908"/>
    <n v="2.61"/>
    <n v="3.55"/>
  </r>
  <r>
    <x v="2"/>
    <s v="Convenience stores"/>
    <x v="6"/>
    <s v="Delta"/>
    <s v="|04/05/11|"/>
    <n v="2196"/>
    <n v="2.84"/>
    <n v="3.59"/>
  </r>
  <r>
    <x v="2"/>
    <s v="Convenience stores"/>
    <x v="6"/>
    <s v="Delta"/>
    <s v="|04/05/12|"/>
    <n v="2340"/>
    <n v="2.37"/>
    <n v="3.31"/>
  </r>
  <r>
    <x v="2"/>
    <s v="Convenience stores"/>
    <x v="6"/>
    <s v="Delta"/>
    <s v="|04/05/13|"/>
    <n v="1416"/>
    <n v="2.68"/>
    <n v="3.98"/>
  </r>
  <r>
    <x v="2"/>
    <s v="Convenience stores"/>
    <x v="6"/>
    <s v="Delta"/>
    <s v="|04/05/14|"/>
    <n v="1872"/>
    <n v="2.56"/>
    <n v="3.69"/>
  </r>
  <r>
    <x v="2"/>
    <s v="Convenience stores"/>
    <x v="6"/>
    <s v="Delta"/>
    <s v="|04/05/15|"/>
    <n v="1620"/>
    <n v="2.97"/>
    <n v="3.75"/>
  </r>
  <r>
    <x v="2"/>
    <s v="Convenience stores"/>
    <x v="6"/>
    <s v="Delta"/>
    <s v="|04/05/16|"/>
    <n v="1296"/>
    <n v="2.78"/>
    <n v="3.73"/>
  </r>
  <r>
    <x v="2"/>
    <s v="Convenience stores"/>
    <x v="6"/>
    <s v="Delta"/>
    <s v="|04/06/01|"/>
    <n v="2532"/>
    <n v="2.5099999999999998"/>
    <n v="3.4"/>
  </r>
  <r>
    <x v="2"/>
    <s v="Convenience stores"/>
    <x v="6"/>
    <s v="Delta"/>
    <s v="|04/06/02|"/>
    <n v="2544"/>
    <n v="2.46"/>
    <n v="3.32"/>
  </r>
  <r>
    <x v="2"/>
    <s v="Convenience stores"/>
    <x v="6"/>
    <s v="Delta"/>
    <s v="|04/06/04|"/>
    <n v="2460"/>
    <n v="2.48"/>
    <n v="3.73"/>
  </r>
  <r>
    <x v="2"/>
    <s v="Convenience stores"/>
    <x v="6"/>
    <s v="Delta"/>
    <s v="|08/04/03|"/>
    <n v="1932"/>
    <n v="3"/>
    <n v="3.4"/>
  </r>
  <r>
    <x v="2"/>
    <s v="Convenience stores"/>
    <x v="6"/>
    <s v="Delta"/>
    <s v="|08/04/04|"/>
    <n v="2184"/>
    <n v="2.97"/>
    <n v="3.4"/>
  </r>
  <r>
    <x v="2"/>
    <s v="Convenience stores"/>
    <x v="6"/>
    <s v="Delta"/>
    <s v="|08/04/05|"/>
    <n v="1236"/>
    <n v="2.5299999999999998"/>
    <n v="3.6"/>
  </r>
  <r>
    <x v="2"/>
    <s v="Convenience stores"/>
    <x v="6"/>
    <s v="Delta"/>
    <s v="|08/04/06|"/>
    <n v="2400"/>
    <n v="2.85"/>
    <n v="3.42"/>
  </r>
  <r>
    <x v="2"/>
    <s v="Convenience stores"/>
    <x v="6"/>
    <s v="Delta"/>
    <s v="|08/04/08|"/>
    <n v="2748"/>
    <n v="2.78"/>
    <n v="3.61"/>
  </r>
  <r>
    <x v="2"/>
    <s v="Convenience stores"/>
    <x v="6"/>
    <s v="Delta"/>
    <s v="|08/04/10|"/>
    <n v="1260"/>
    <n v="2.62"/>
    <n v="3.43"/>
  </r>
  <r>
    <x v="2"/>
    <s v="Convenience stores"/>
    <x v="6"/>
    <s v="Delta"/>
    <s v="|08/04/20|"/>
    <n v="1668"/>
    <n v="2.61"/>
    <n v="3.98"/>
  </r>
  <r>
    <x v="2"/>
    <s v="Convenience stores"/>
    <x v="6"/>
    <s v="Milky"/>
    <s v="|05/05/05|"/>
    <n v="2172"/>
    <n v="2.35"/>
    <n v="3.93"/>
  </r>
  <r>
    <x v="2"/>
    <s v="Convenience stores"/>
    <x v="5"/>
    <s v="Suchard"/>
    <s v="|99/03/01|"/>
    <n v="984"/>
    <n v="1.28"/>
    <n v="1.87"/>
  </r>
  <r>
    <x v="2"/>
    <s v="Convenience stores"/>
    <x v="5"/>
    <s v="Suchard"/>
    <s v="|99/03/02|"/>
    <n v="984"/>
    <n v="1.29"/>
    <n v="1.6"/>
  </r>
  <r>
    <x v="2"/>
    <s v="Convenience stores"/>
    <x v="5"/>
    <s v="Suchard"/>
    <s v="|99/03/03|"/>
    <n v="1092"/>
    <n v="1.2"/>
    <n v="1.69"/>
  </r>
  <r>
    <x v="2"/>
    <s v="Convenience stores"/>
    <x v="5"/>
    <s v="Suchard"/>
    <s v="|99/03/04|"/>
    <n v="1152"/>
    <n v="1.38"/>
    <n v="1.81"/>
  </r>
  <r>
    <x v="2"/>
    <s v="Convenience stores"/>
    <x v="5"/>
    <s v="Suchard"/>
    <s v="|99/03/05|"/>
    <n v="1020"/>
    <n v="1.37"/>
    <n v="1.66"/>
  </r>
  <r>
    <x v="2"/>
    <s v="Convenience stores"/>
    <x v="5"/>
    <s v="Suchard"/>
    <s v="|99/03/06|"/>
    <n v="1260"/>
    <n v="1.35"/>
    <n v="1.66"/>
  </r>
  <r>
    <x v="2"/>
    <s v="Convenience stores"/>
    <x v="5"/>
    <s v="Suchard"/>
    <s v="|99/03/07|"/>
    <n v="1032"/>
    <n v="1.4"/>
    <n v="1.82"/>
  </r>
  <r>
    <x v="2"/>
    <s v="Convenience stores"/>
    <x v="5"/>
    <s v="Suchard"/>
    <s v="|99/03/08|"/>
    <n v="1200"/>
    <n v="1.2"/>
    <n v="1.6"/>
  </r>
  <r>
    <x v="2"/>
    <s v="Convenience stores"/>
    <x v="5"/>
    <s v="Suchard"/>
    <s v="|99/03/09|"/>
    <n v="996"/>
    <n v="1.19"/>
    <n v="1.83"/>
  </r>
  <r>
    <x v="2"/>
    <s v="Convenience stores"/>
    <x v="5"/>
    <s v="Suchard"/>
    <s v="|128/02/01|"/>
    <n v="1092"/>
    <n v="1.1399999999999999"/>
    <n v="1.73"/>
  </r>
  <r>
    <x v="2"/>
    <s v="Convenience stores"/>
    <x v="5"/>
    <s v="Suchard"/>
    <s v="|128/02/02|"/>
    <n v="1056"/>
    <n v="1.28"/>
    <n v="1.87"/>
  </r>
  <r>
    <x v="2"/>
    <s v="Convenience stores"/>
    <x v="5"/>
    <s v="Suchard"/>
    <s v="|128/03/01|"/>
    <n v="1104"/>
    <n v="1.1499999999999999"/>
    <n v="1.71"/>
  </r>
  <r>
    <x v="2"/>
    <s v="Convenience stores"/>
    <x v="5"/>
    <s v="Suchard"/>
    <s v="|128/03/02|"/>
    <n v="696"/>
    <n v="1.31"/>
    <n v="1.9"/>
  </r>
  <r>
    <x v="2"/>
    <s v="Convenience stores"/>
    <x v="5"/>
    <s v="Suchard"/>
    <s v="|128/03/03|"/>
    <n v="684"/>
    <n v="1.35"/>
    <n v="1.84"/>
  </r>
  <r>
    <x v="2"/>
    <s v="Convenience stores"/>
    <x v="5"/>
    <s v="Suchard"/>
    <s v="|128/03/04|"/>
    <n v="696"/>
    <n v="1.23"/>
    <n v="1.76"/>
  </r>
  <r>
    <x v="2"/>
    <s v="Convenience stores"/>
    <x v="6"/>
    <s v="Creamy treat"/>
    <s v="|60/01/01|"/>
    <n v="2424"/>
    <n v="2.89"/>
    <n v="3.96"/>
  </r>
  <r>
    <x v="2"/>
    <s v="Convenience stores"/>
    <x v="6"/>
    <s v="Creamy treat"/>
    <s v="|60/01/02|"/>
    <n v="2700"/>
    <n v="2.52"/>
    <n v="3.4"/>
  </r>
  <r>
    <x v="2"/>
    <s v="Convenience stores"/>
    <x v="6"/>
    <s v="Creamy treat"/>
    <s v="|60/01/03|"/>
    <n v="1536"/>
    <n v="2.34"/>
    <n v="3.75"/>
  </r>
  <r>
    <x v="2"/>
    <s v="Convenience stores"/>
    <x v="6"/>
    <s v="Creamy treat"/>
    <s v="|60/01/04|"/>
    <n v="2268"/>
    <n v="2.9"/>
    <n v="3.47"/>
  </r>
  <r>
    <x v="2"/>
    <s v="Convenience stores"/>
    <x v="6"/>
    <s v="Creamy treat"/>
    <s v="|60/01/05|"/>
    <n v="2508"/>
    <n v="2.72"/>
    <n v="3.7"/>
  </r>
  <r>
    <x v="2"/>
    <s v="Convenience stores"/>
    <x v="6"/>
    <s v="Creamy treat"/>
    <s v="|60/01/06|"/>
    <n v="2628"/>
    <n v="2.54"/>
    <n v="3.98"/>
  </r>
  <r>
    <x v="2"/>
    <s v="Convenience stores"/>
    <x v="2"/>
    <s v="Kimbo"/>
    <s v="|30/01/01|"/>
    <n v="8184"/>
    <n v="0.89"/>
    <n v="1.1499999999999999"/>
  </r>
  <r>
    <x v="2"/>
    <s v="Convenience stores"/>
    <x v="2"/>
    <s v="Kimbo"/>
    <s v="|30/01/02|"/>
    <n v="7836"/>
    <n v="0.77"/>
    <n v="1.02"/>
  </r>
  <r>
    <x v="2"/>
    <s v="Convenience stores"/>
    <x v="2"/>
    <s v="Kimbo"/>
    <s v="|30/01/03|"/>
    <n v="7668"/>
    <n v="1.0900000000000001"/>
    <n v="0.97"/>
  </r>
  <r>
    <x v="2"/>
    <s v="Convenience stores"/>
    <x v="2"/>
    <s v="Kimbo"/>
    <s v="|30/01/04|"/>
    <n v="7680"/>
    <n v="0.85"/>
    <n v="1.19"/>
  </r>
  <r>
    <x v="2"/>
    <s v="Convenience stores"/>
    <x v="2"/>
    <s v="Kimbo"/>
    <s v="|30/01/05|"/>
    <n v="8340"/>
    <n v="0.82"/>
    <n v="0.9"/>
  </r>
  <r>
    <x v="2"/>
    <s v="Convenience stores"/>
    <x v="2"/>
    <s v="Kimbo"/>
    <s v="|30/01/06|"/>
    <n v="8100"/>
    <n v="0.81"/>
    <n v="1.05"/>
  </r>
  <r>
    <x v="2"/>
    <s v="Convenience stores"/>
    <x v="2"/>
    <s v="Kimbo"/>
    <s v="|30/01/07|"/>
    <n v="7176"/>
    <n v="0.98"/>
    <n v="1.08"/>
  </r>
  <r>
    <x v="2"/>
    <s v="Convenience stores"/>
    <x v="2"/>
    <s v="Kimbo"/>
    <s v="|30/01/08|"/>
    <n v="8832"/>
    <n v="0.82"/>
    <n v="0.96"/>
  </r>
  <r>
    <x v="2"/>
    <s v="Convenience stores"/>
    <x v="2"/>
    <s v="Kimbo"/>
    <s v="|30/01/09|"/>
    <n v="6312"/>
    <n v="0.9"/>
    <n v="0.95"/>
  </r>
  <r>
    <x v="2"/>
    <s v="Convenience stores"/>
    <x v="2"/>
    <s v="Kimbo"/>
    <s v="|30/01/10|"/>
    <n v="7392"/>
    <n v="0.99"/>
    <n v="0.94"/>
  </r>
  <r>
    <x v="2"/>
    <s v="Convenience stores"/>
    <x v="2"/>
    <s v="Kimbo"/>
    <s v="|30/01/11|"/>
    <n v="8748"/>
    <n v="1.18"/>
    <n v="0.91"/>
  </r>
  <r>
    <x v="2"/>
    <s v="Convenience stores"/>
    <x v="2"/>
    <s v="Kimbo"/>
    <s v="|30/01/12|"/>
    <n v="8412"/>
    <n v="0.48"/>
    <n v="0.93"/>
  </r>
  <r>
    <x v="2"/>
    <s v="Convenience stores"/>
    <x v="2"/>
    <s v="Kimbo"/>
    <s v="|30/01/13|"/>
    <n v="5328"/>
    <n v="0.57999999999999996"/>
    <n v="1.1299999999999999"/>
  </r>
  <r>
    <x v="2"/>
    <s v="Convenience stores"/>
    <x v="2"/>
    <s v="Kimbo"/>
    <s v="|30/01/14|"/>
    <n v="4908"/>
    <n v="0.45"/>
    <n v="1.1299999999999999"/>
  </r>
  <r>
    <x v="2"/>
    <s v="Convenience stores"/>
    <x v="2"/>
    <s v="Kimbo"/>
    <s v="|30/01/15|"/>
    <n v="6648"/>
    <n v="1.1399999999999999"/>
    <n v="1.07"/>
  </r>
  <r>
    <x v="2"/>
    <s v="Convenience stores"/>
    <x v="2"/>
    <s v="Kimbo"/>
    <s v="|30/01/16|"/>
    <n v="9540"/>
    <n v="1.19"/>
    <n v="0.98"/>
  </r>
  <r>
    <x v="2"/>
    <s v="Convenience stores"/>
    <x v="2"/>
    <s v="Kimbo"/>
    <s v="|30/01/17|"/>
    <n v="8388"/>
    <n v="1.1399999999999999"/>
    <n v="0.93"/>
  </r>
  <r>
    <x v="2"/>
    <s v="Convenience stores"/>
    <x v="2"/>
    <s v="Kimbo"/>
    <s v="|30/01/18|"/>
    <n v="4860"/>
    <n v="1.18"/>
    <n v="1.0900000000000001"/>
  </r>
  <r>
    <x v="2"/>
    <s v="Convenience stores"/>
    <x v="2"/>
    <s v="Kimbo"/>
    <s v="|30/01/19|"/>
    <n v="9000"/>
    <n v="1.07"/>
    <n v="0.91"/>
  </r>
  <r>
    <x v="2"/>
    <s v="Convenience stores"/>
    <x v="11"/>
    <s v="Chocopops"/>
    <s v="|94/00/01|"/>
    <n v="504"/>
    <n v="1.45"/>
    <n v="1.73"/>
  </r>
  <r>
    <x v="2"/>
    <s v="Convenience stores"/>
    <x v="11"/>
    <s v="Chocopops"/>
    <s v="|94/00/02|"/>
    <n v="360"/>
    <n v="1.55"/>
    <n v="1.78"/>
  </r>
  <r>
    <x v="2"/>
    <s v="Convenience stores"/>
    <x v="11"/>
    <s v="Chocopops"/>
    <s v="|94/00/03|"/>
    <n v="420"/>
    <n v="1.57"/>
    <n v="1.82"/>
  </r>
  <r>
    <x v="2"/>
    <s v="Convenience stores"/>
    <x v="11"/>
    <s v="Chocopops"/>
    <s v="|94/00/04|"/>
    <n v="432"/>
    <n v="1.47"/>
    <n v="1.7"/>
  </r>
  <r>
    <x v="2"/>
    <s v="Convenience stores"/>
    <x v="11"/>
    <s v="Chocopops"/>
    <s v="|94/00/05|"/>
    <n v="432"/>
    <n v="1.58"/>
    <n v="1.71"/>
  </r>
  <r>
    <x v="2"/>
    <s v="Convenience stores"/>
    <x v="11"/>
    <s v="Chocopops"/>
    <s v="|94/00/06|"/>
    <n v="408"/>
    <n v="1.52"/>
    <n v="1.71"/>
  </r>
  <r>
    <x v="2"/>
    <s v="Convenience stores"/>
    <x v="11"/>
    <s v="Chocopops"/>
    <s v="|94/00/07|"/>
    <n v="600"/>
    <n v="1.55"/>
    <n v="1.85"/>
  </r>
  <r>
    <x v="2"/>
    <s v="Convenience stores"/>
    <x v="11"/>
    <s v="Chocopops"/>
    <s v="|94/00/08|"/>
    <n v="600"/>
    <n v="1.58"/>
    <n v="1.83"/>
  </r>
  <r>
    <x v="2"/>
    <s v="Convenience stores"/>
    <x v="11"/>
    <s v="Chocopops"/>
    <s v="|94/00/09|"/>
    <n v="576"/>
    <n v="1.57"/>
    <n v="1.71"/>
  </r>
  <r>
    <x v="2"/>
    <s v="Convenience stores"/>
    <x v="11"/>
    <s v="Chocopops"/>
    <s v="|94/00/10|"/>
    <n v="348"/>
    <n v="1.49"/>
    <n v="1.85"/>
  </r>
  <r>
    <x v="2"/>
    <s v="Convenience stores"/>
    <x v="11"/>
    <s v="Chocopops"/>
    <s v="|94/00/11|"/>
    <n v="444"/>
    <n v="1.5"/>
    <n v="1.71"/>
  </r>
  <r>
    <x v="2"/>
    <s v="Convenience stores"/>
    <x v="11"/>
    <s v="Chocopops"/>
    <s v="|94/00/12|"/>
    <n v="636"/>
    <n v="1.41"/>
    <n v="1.7"/>
  </r>
  <r>
    <x v="2"/>
    <s v="Convenience stores"/>
    <x v="11"/>
    <s v="Chocopops"/>
    <s v="|94/00/13|"/>
    <n v="564"/>
    <n v="1.47"/>
    <n v="1.7"/>
  </r>
  <r>
    <x v="2"/>
    <s v="Convenience stores"/>
    <x v="11"/>
    <s v="Chocopops"/>
    <s v="|94/00/14|"/>
    <n v="336"/>
    <n v="1.43"/>
    <n v="1.72"/>
  </r>
  <r>
    <x v="2"/>
    <s v="Convenience stores"/>
    <x v="11"/>
    <s v="Chocopops"/>
    <s v="|94/00/15|"/>
    <n v="264"/>
    <n v="1.54"/>
    <n v="1.84"/>
  </r>
  <r>
    <x v="2"/>
    <s v="Convenience stores"/>
    <x v="11"/>
    <s v="Chocopops"/>
    <s v="|94/00/16|"/>
    <n v="588"/>
    <n v="1.48"/>
    <n v="1.71"/>
  </r>
  <r>
    <x v="2"/>
    <s v="Convenience stores"/>
    <x v="11"/>
    <s v="Chocopops"/>
    <s v="|94/00/17|"/>
    <n v="708"/>
    <n v="1.51"/>
    <n v="1.75"/>
  </r>
  <r>
    <x v="2"/>
    <s v="Convenience stores"/>
    <x v="11"/>
    <s v="Chocopops"/>
    <s v="|94/00/18|"/>
    <n v="312"/>
    <n v="1.43"/>
    <n v="1.74"/>
  </r>
  <r>
    <x v="2"/>
    <s v="Convenience stores"/>
    <x v="11"/>
    <s v="Chocopops"/>
    <s v="|94/00/19|"/>
    <n v="444"/>
    <n v="1.55"/>
    <n v="1.8"/>
  </r>
  <r>
    <x v="2"/>
    <s v="Convenience stores"/>
    <x v="11"/>
    <s v="Chocopops"/>
    <s v="|94/00/20|"/>
    <n v="504"/>
    <n v="1.49"/>
    <n v="1.79"/>
  </r>
  <r>
    <x v="2"/>
    <s v="Convenience stores"/>
    <x v="11"/>
    <s v="Chocopops"/>
    <s v="|94/00/30|"/>
    <n v="324"/>
    <n v="1.57"/>
    <n v="1.85"/>
  </r>
  <r>
    <x v="2"/>
    <s v="Convenience stores"/>
    <x v="11"/>
    <s v="Chocopops"/>
    <s v="|94/00/31|"/>
    <n v="300"/>
    <n v="1.57"/>
    <n v="1.72"/>
  </r>
  <r>
    <x v="2"/>
    <s v="Convenience stores"/>
    <x v="11"/>
    <s v="Chocopops"/>
    <s v="|94/00/32|"/>
    <n v="408"/>
    <n v="1.43"/>
    <n v="1.8"/>
  </r>
  <r>
    <x v="2"/>
    <s v="Convenience stores"/>
    <x v="11"/>
    <s v="Chocopops"/>
    <s v="|94/00/50|"/>
    <n v="468"/>
    <n v="1.47"/>
    <n v="1.81"/>
  </r>
  <r>
    <x v="2"/>
    <s v="Convenience stores"/>
    <x v="11"/>
    <s v="Chocopops"/>
    <s v="|94/00/51|"/>
    <n v="360"/>
    <n v="1.49"/>
    <n v="1.77"/>
  </r>
  <r>
    <x v="2"/>
    <s v="Convenience stores"/>
    <x v="11"/>
    <s v="Chocopops"/>
    <s v="|94/00/52|"/>
    <n v="684"/>
    <n v="1.44"/>
    <n v="1.73"/>
  </r>
  <r>
    <x v="2"/>
    <s v="Convenience stores"/>
    <x v="11"/>
    <s v="Chocopops"/>
    <s v="|94/00/53|"/>
    <n v="408"/>
    <n v="1.5"/>
    <n v="1.79"/>
  </r>
  <r>
    <x v="2"/>
    <s v="Convenience stores"/>
    <x v="11"/>
    <s v="Chocopops"/>
    <s v="|94/01/00|"/>
    <n v="360"/>
    <n v="1.43"/>
    <n v="1.72"/>
  </r>
  <r>
    <x v="2"/>
    <s v="Convenience stores"/>
    <x v="11"/>
    <s v="Chocopops"/>
    <s v="|94/01/01|"/>
    <n v="240"/>
    <n v="1.58"/>
    <n v="1.89"/>
  </r>
  <r>
    <x v="2"/>
    <s v="Convenience stores"/>
    <x v="11"/>
    <s v="Chocopops"/>
    <s v="|94/01/02|"/>
    <n v="312"/>
    <n v="1.44"/>
    <n v="1.74"/>
  </r>
  <r>
    <x v="2"/>
    <s v="Convenience stores"/>
    <x v="11"/>
    <s v="Chocopops"/>
    <s v="|94/01/03|"/>
    <n v="360"/>
    <n v="1.52"/>
    <n v="1.81"/>
  </r>
  <r>
    <x v="2"/>
    <s v="Convenience stores"/>
    <x v="11"/>
    <s v="Chocopops"/>
    <s v="|94/01/04|"/>
    <n v="480"/>
    <n v="1.41"/>
    <n v="1.71"/>
  </r>
  <r>
    <x v="2"/>
    <s v="Convenience stores"/>
    <x v="11"/>
    <s v="Chocopops"/>
    <s v="|94/02/01|"/>
    <n v="480"/>
    <n v="1.44"/>
    <n v="1.7"/>
  </r>
  <r>
    <x v="2"/>
    <s v="Convenience stores"/>
    <x v="11"/>
    <s v="Chocopops"/>
    <s v="|94/02/02|"/>
    <n v="540"/>
    <n v="1.41"/>
    <n v="1.84"/>
  </r>
  <r>
    <x v="2"/>
    <s v="Convenience stores"/>
    <x v="11"/>
    <s v="Chocopops"/>
    <s v="|94/02/04|"/>
    <n v="456"/>
    <n v="1.54"/>
    <n v="1.83"/>
  </r>
  <r>
    <x v="2"/>
    <s v="Convenience stores"/>
    <x v="11"/>
    <s v="Chocopops"/>
    <s v="|94/02/07|"/>
    <n v="564"/>
    <n v="1.46"/>
    <n v="1.89"/>
  </r>
  <r>
    <x v="2"/>
    <s v="Convenience stores"/>
    <x v="11"/>
    <s v="Chocopops"/>
    <s v="|94/03/01|"/>
    <n v="276"/>
    <n v="1.42"/>
    <n v="1.72"/>
  </r>
  <r>
    <x v="2"/>
    <s v="Convenience stores"/>
    <x v="11"/>
    <s v="Chocopops"/>
    <s v="|94/03/02|"/>
    <n v="360"/>
    <n v="1.54"/>
    <n v="1.9"/>
  </r>
  <r>
    <x v="2"/>
    <s v="Convenience stores"/>
    <x v="11"/>
    <s v="Chocopops"/>
    <s v="|94/03/03|"/>
    <n v="360"/>
    <n v="1.47"/>
    <n v="1.7"/>
  </r>
  <r>
    <x v="2"/>
    <s v="Convenience stores"/>
    <x v="11"/>
    <s v="Chocopops"/>
    <s v="|94/03/04|"/>
    <n v="264"/>
    <n v="1.49"/>
    <n v="1.86"/>
  </r>
  <r>
    <x v="2"/>
    <s v="Convenience stores"/>
    <x v="11"/>
    <s v="Chocopops"/>
    <s v="|94/03/05|"/>
    <n v="300"/>
    <n v="1.59"/>
    <n v="1.74"/>
  </r>
  <r>
    <x v="2"/>
    <s v="Convenience stores"/>
    <x v="11"/>
    <s v="Chocopops"/>
    <s v="|94/03/06|"/>
    <n v="528"/>
    <n v="1.43"/>
    <n v="1.87"/>
  </r>
  <r>
    <x v="2"/>
    <s v="Convenience stores"/>
    <x v="11"/>
    <s v="Chocopops"/>
    <s v="|94/03/07|"/>
    <n v="696"/>
    <n v="1.43"/>
    <n v="1.78"/>
  </r>
  <r>
    <x v="2"/>
    <s v="Convenience stores"/>
    <x v="11"/>
    <s v="Chocopops"/>
    <s v="|94/03/08|"/>
    <n v="684"/>
    <n v="1.56"/>
    <n v="1.89"/>
  </r>
  <r>
    <x v="2"/>
    <s v="Convenience stores"/>
    <x v="11"/>
    <s v="Chocopops"/>
    <s v="|94/03/09|"/>
    <n v="660"/>
    <n v="1.58"/>
    <n v="1.72"/>
  </r>
  <r>
    <x v="2"/>
    <s v="Convenience stores"/>
    <x v="11"/>
    <s v="Chocopops"/>
    <s v="|94/03/10|"/>
    <n v="492"/>
    <n v="1.5"/>
    <n v="1.88"/>
  </r>
  <r>
    <x v="2"/>
    <s v="Convenience stores"/>
    <x v="11"/>
    <s v="Chocopops"/>
    <s v="|94/03/11|"/>
    <n v="528"/>
    <n v="1.53"/>
    <n v="1.82"/>
  </r>
  <r>
    <x v="2"/>
    <s v="Convenience stores"/>
    <x v="11"/>
    <s v="Chocopops"/>
    <s v="|94/03/12|"/>
    <n v="648"/>
    <n v="1.46"/>
    <n v="1.8"/>
  </r>
  <r>
    <x v="2"/>
    <s v="Convenience stores"/>
    <x v="11"/>
    <s v="Chocopops"/>
    <s v="|94/03/14|"/>
    <n v="456"/>
    <n v="1.44"/>
    <n v="1.72"/>
  </r>
  <r>
    <x v="2"/>
    <s v="Convenience stores"/>
    <x v="11"/>
    <s v="Chocopops"/>
    <s v="|94/03/15|"/>
    <n v="432"/>
    <n v="1.43"/>
    <n v="1.82"/>
  </r>
  <r>
    <x v="2"/>
    <s v="Convenience stores"/>
    <x v="11"/>
    <s v="Chocopops"/>
    <s v="|94/03/16|"/>
    <n v="684"/>
    <n v="1.43"/>
    <n v="1.7"/>
  </r>
  <r>
    <x v="2"/>
    <s v="Convenience stores"/>
    <x v="11"/>
    <s v="Chocopops"/>
    <s v="|94/03/17|"/>
    <n v="324"/>
    <n v="1.5"/>
    <n v="1.81"/>
  </r>
  <r>
    <x v="2"/>
    <s v="Convenience stores"/>
    <x v="11"/>
    <s v="Chocopops"/>
    <s v="|94/03/18|"/>
    <n v="324"/>
    <n v="1.42"/>
    <n v="1.79"/>
  </r>
  <r>
    <x v="2"/>
    <s v="Convenience stores"/>
    <x v="11"/>
    <s v="Chocopops"/>
    <s v="|94/04/01|"/>
    <n v="672"/>
    <n v="1.51"/>
    <n v="1.88"/>
  </r>
  <r>
    <x v="2"/>
    <s v="Convenience stores"/>
    <x v="11"/>
    <s v="Chocopops"/>
    <s v="|94/04/02|"/>
    <n v="408"/>
    <n v="1.41"/>
    <n v="1.87"/>
  </r>
  <r>
    <x v="2"/>
    <s v="Convenience stores"/>
    <x v="11"/>
    <s v="Chocopops"/>
    <s v="|94/04/03|"/>
    <n v="348"/>
    <n v="1.51"/>
    <n v="1.76"/>
  </r>
  <r>
    <x v="2"/>
    <s v="Convenience stores"/>
    <x v="11"/>
    <s v="Chocopops"/>
    <s v="|94/04/05|"/>
    <n v="480"/>
    <n v="1.53"/>
    <n v="1.78"/>
  </r>
  <r>
    <x v="2"/>
    <s v="Convenience stores"/>
    <x v="11"/>
    <s v="Chocopops"/>
    <s v="|94/04/06|"/>
    <n v="672"/>
    <n v="1.42"/>
    <n v="1.89"/>
  </r>
  <r>
    <x v="2"/>
    <s v="Convenience stores"/>
    <x v="11"/>
    <s v="Chocopops"/>
    <s v="|94/04/07|"/>
    <n v="684"/>
    <n v="1.48"/>
    <n v="1.71"/>
  </r>
  <r>
    <x v="2"/>
    <s v="Convenience stores"/>
    <x v="11"/>
    <s v="Chocopops"/>
    <s v="|94/04/08|"/>
    <n v="372"/>
    <n v="1.51"/>
    <n v="1.8"/>
  </r>
  <r>
    <x v="2"/>
    <s v="Convenience stores"/>
    <x v="11"/>
    <s v="Chocopops"/>
    <s v="|94/04/09|"/>
    <n v="600"/>
    <n v="1.47"/>
    <n v="1.72"/>
  </r>
  <r>
    <x v="2"/>
    <s v="Convenience stores"/>
    <x v="11"/>
    <s v="Chocopops"/>
    <s v="|94/05/01|"/>
    <n v="660"/>
    <n v="1.4"/>
    <n v="1.82"/>
  </r>
  <r>
    <x v="2"/>
    <s v="Convenience stores"/>
    <x v="11"/>
    <s v="Chocopops"/>
    <s v="|94/05/02|"/>
    <n v="672"/>
    <n v="1.43"/>
    <n v="1.77"/>
  </r>
  <r>
    <x v="2"/>
    <s v="Convenience stores"/>
    <x v="11"/>
    <s v="Chocopops"/>
    <s v="|94/05/03|"/>
    <n v="552"/>
    <n v="1.54"/>
    <n v="1.89"/>
  </r>
  <r>
    <x v="2"/>
    <s v="Convenience stores"/>
    <x v="11"/>
    <s v="Chocopops"/>
    <s v="|94/05/08|"/>
    <n v="540"/>
    <n v="1.48"/>
    <n v="1.77"/>
  </r>
  <r>
    <x v="2"/>
    <s v="Convenience stores"/>
    <x v="11"/>
    <s v="Chocopops"/>
    <s v="|94/05/09|"/>
    <n v="612"/>
    <n v="1.52"/>
    <n v="1.82"/>
  </r>
  <r>
    <x v="2"/>
    <s v="Convenience stores"/>
    <x v="11"/>
    <s v="Chocopops"/>
    <s v="|94/05/10|"/>
    <n v="492"/>
    <n v="1.5"/>
    <n v="1.85"/>
  </r>
  <r>
    <x v="2"/>
    <s v="Convenience stores"/>
    <x v="11"/>
    <s v="Chocopops"/>
    <s v="|94/05/11|"/>
    <n v="360"/>
    <n v="1.55"/>
    <n v="1.75"/>
  </r>
  <r>
    <x v="2"/>
    <s v="Convenience stores"/>
    <x v="11"/>
    <s v="Chocopops"/>
    <s v="|94/05/12|"/>
    <n v="660"/>
    <n v="1.58"/>
    <n v="1.88"/>
  </r>
  <r>
    <x v="2"/>
    <s v="Convenience stores"/>
    <x v="11"/>
    <s v="Chocopops"/>
    <s v="|94/05/13|"/>
    <n v="264"/>
    <n v="1.55"/>
    <n v="1.77"/>
  </r>
  <r>
    <x v="2"/>
    <s v="Convenience stores"/>
    <x v="11"/>
    <s v="Chocopops"/>
    <s v="|94/05/14|"/>
    <n v="612"/>
    <n v="1.42"/>
    <n v="1.73"/>
  </r>
  <r>
    <x v="2"/>
    <s v="Convenience stores"/>
    <x v="11"/>
    <s v="Chocopops"/>
    <s v="|94/05/15|"/>
    <n v="408"/>
    <n v="1.57"/>
    <n v="1.79"/>
  </r>
  <r>
    <x v="2"/>
    <s v="Convenience stores"/>
    <x v="11"/>
    <s v="Chocopops"/>
    <s v="|94/05/16|"/>
    <n v="588"/>
    <n v="1.48"/>
    <n v="1.89"/>
  </r>
  <r>
    <x v="2"/>
    <s v="Convenience stores"/>
    <x v="11"/>
    <s v="Chocopops"/>
    <s v="|94/05/17|"/>
    <n v="528"/>
    <n v="1.44"/>
    <n v="1.74"/>
  </r>
  <r>
    <x v="2"/>
    <s v="Convenience stores"/>
    <x v="11"/>
    <s v="Chocopops"/>
    <s v="|94/05/21|"/>
    <n v="624"/>
    <n v="1.54"/>
    <n v="1.78"/>
  </r>
  <r>
    <x v="2"/>
    <s v="Convenience stores"/>
    <x v="11"/>
    <s v="Chocopops"/>
    <s v="|94/06/01|"/>
    <n v="480"/>
    <n v="1.52"/>
    <n v="1.71"/>
  </r>
  <r>
    <x v="2"/>
    <s v="Convenience stores"/>
    <x v="11"/>
    <s v="Chocopops"/>
    <s v="|94/06/02|"/>
    <n v="588"/>
    <n v="1.49"/>
    <n v="1.82"/>
  </r>
  <r>
    <x v="2"/>
    <s v="Convenience stores"/>
    <x v="11"/>
    <s v="Chocopops"/>
    <s v="|94/04/101|"/>
    <n v="252"/>
    <n v="1.54"/>
    <n v="1.73"/>
  </r>
  <r>
    <x v="2"/>
    <s v="Convenience stores"/>
    <x v="11"/>
    <s v="Chocopops"/>
    <s v="|94/04/102|"/>
    <n v="588"/>
    <n v="1.54"/>
    <n v="1.81"/>
  </r>
  <r>
    <x v="2"/>
    <s v="Convenience stores"/>
    <x v="11"/>
    <s v="Chocopops"/>
    <s v="|94/04/103|"/>
    <n v="408"/>
    <n v="1.6"/>
    <n v="1.77"/>
  </r>
  <r>
    <x v="2"/>
    <s v="Convenience stores"/>
    <x v="11"/>
    <s v="Chocopops"/>
    <s v="|94/04/104|"/>
    <n v="504"/>
    <n v="1.48"/>
    <n v="1.81"/>
  </r>
  <r>
    <x v="2"/>
    <s v="Convenience stores"/>
    <x v="11"/>
    <s v="Chocopops"/>
    <s v="|94/04/105|"/>
    <n v="516"/>
    <n v="1.4"/>
    <n v="1.84"/>
  </r>
  <r>
    <x v="2"/>
    <s v="Convenience stores"/>
    <x v="11"/>
    <s v="Chocopops"/>
    <s v="|94/04/106|"/>
    <n v="504"/>
    <n v="1.43"/>
    <n v="1.9"/>
  </r>
  <r>
    <x v="2"/>
    <s v="Convenience stores"/>
    <x v="11"/>
    <s v="Chocopops"/>
    <s v="|94/04/107|"/>
    <n v="648"/>
    <n v="1.48"/>
    <n v="1.88"/>
  </r>
  <r>
    <x v="2"/>
    <s v="Convenience stores"/>
    <x v="11"/>
    <s v="Chocopops"/>
    <s v="|94/04/108|"/>
    <n v="300"/>
    <n v="1.54"/>
    <n v="1.7"/>
  </r>
  <r>
    <x v="2"/>
    <s v="Convenience stores"/>
    <x v="11"/>
    <s v="Chocopops"/>
    <s v="|94/04/109|"/>
    <n v="276"/>
    <n v="1.41"/>
    <n v="1.88"/>
  </r>
  <r>
    <x v="2"/>
    <s v="Convenience stores"/>
    <x v="11"/>
    <s v="Chocopops"/>
    <s v="|94/04/110|"/>
    <n v="300"/>
    <n v="1.59"/>
    <n v="1.74"/>
  </r>
  <r>
    <x v="2"/>
    <s v="Convenience stores"/>
    <x v="11"/>
    <s v="Chocopops"/>
    <s v="|94/04/111|"/>
    <n v="552"/>
    <n v="1.56"/>
    <n v="1.9"/>
  </r>
  <r>
    <x v="2"/>
    <s v="Convenience stores"/>
    <x v="11"/>
    <s v="Chocopops"/>
    <s v="|94/04/114|"/>
    <n v="264"/>
    <n v="1.46"/>
    <n v="1.72"/>
  </r>
  <r>
    <x v="2"/>
    <s v="Convenience stores"/>
    <x v="11"/>
    <s v="Chocopops"/>
    <s v="|94/04/115|"/>
    <n v="660"/>
    <n v="1.45"/>
    <n v="1.7"/>
  </r>
  <r>
    <x v="2"/>
    <s v="Convenience stores"/>
    <x v="11"/>
    <s v="Chocopops"/>
    <s v="|94/06/03|"/>
    <n v="300"/>
    <n v="1.48"/>
    <n v="1.82"/>
  </r>
  <r>
    <x v="2"/>
    <s v="Convenience stores"/>
    <x v="5"/>
    <s v="Chocowaff"/>
    <s v="|96/01/01|"/>
    <n v="1272"/>
    <n v="1.19"/>
    <n v="1.7"/>
  </r>
  <r>
    <x v="2"/>
    <s v="Convenience stores"/>
    <x v="5"/>
    <s v="Chocowaff"/>
    <s v="|96/01/02|"/>
    <n v="732"/>
    <n v="1.2"/>
    <n v="1.8"/>
  </r>
  <r>
    <x v="2"/>
    <s v="Convenience stores"/>
    <x v="5"/>
    <s v="Chocowaff"/>
    <s v="|96/01/03|"/>
    <n v="612"/>
    <n v="1.23"/>
    <n v="1.61"/>
  </r>
  <r>
    <x v="2"/>
    <s v="Convenience stores"/>
    <x v="5"/>
    <s v="Chocowaff"/>
    <s v="|96/01/04|"/>
    <n v="1272"/>
    <n v="1.29"/>
    <n v="1.61"/>
  </r>
  <r>
    <x v="2"/>
    <s v="Convenience stores"/>
    <x v="5"/>
    <s v="Chocowaff"/>
    <s v="|96/01/05|"/>
    <n v="804"/>
    <n v="1.19"/>
    <n v="1.84"/>
  </r>
  <r>
    <x v="2"/>
    <s v="Convenience stores"/>
    <x v="5"/>
    <s v="Chocowaff"/>
    <s v="|96/01/06a|"/>
    <n v="1236"/>
    <n v="1.3"/>
    <n v="1.83"/>
  </r>
  <r>
    <x v="2"/>
    <s v="Convenience stores"/>
    <x v="5"/>
    <s v="Chocowaff"/>
    <s v="|96/01/07a|"/>
    <n v="1104"/>
    <n v="1.25"/>
    <n v="1.8"/>
  </r>
  <r>
    <x v="2"/>
    <s v="Convenience stores"/>
    <x v="5"/>
    <s v="Chocowaff"/>
    <s v="|96/01/08|"/>
    <n v="768"/>
    <n v="1.3"/>
    <n v="1.68"/>
  </r>
  <r>
    <x v="2"/>
    <s v="Convenience stores"/>
    <x v="5"/>
    <s v="Chocowaff"/>
    <s v="|96/01/09|"/>
    <n v="1104"/>
    <n v="1.21"/>
    <n v="1.77"/>
  </r>
  <r>
    <x v="2"/>
    <s v="Convenience stores"/>
    <x v="5"/>
    <s v="Chocowaff"/>
    <s v="|96/01/10|"/>
    <n v="1212"/>
    <n v="1.18"/>
    <n v="1.67"/>
  </r>
  <r>
    <x v="2"/>
    <s v="Convenience stores"/>
    <x v="5"/>
    <s v="Chocowaff"/>
    <s v="|96/01/11|"/>
    <n v="852"/>
    <n v="1.21"/>
    <n v="1.72"/>
  </r>
  <r>
    <x v="2"/>
    <s v="Convenience stores"/>
    <x v="5"/>
    <s v="Chocowaff"/>
    <s v="|96/01/12|"/>
    <n v="1320"/>
    <n v="1.17"/>
    <n v="1.65"/>
  </r>
  <r>
    <x v="2"/>
    <s v="Convenience stores"/>
    <x v="3"/>
    <s v="Dr Pepper"/>
    <s v="|03/01/01|"/>
    <n v="72"/>
    <n v="1.1100000000000001"/>
    <n v="1.31"/>
  </r>
  <r>
    <x v="2"/>
    <s v="Convenience stores"/>
    <x v="3"/>
    <s v="Dr Pepper"/>
    <s v="|03/01/02|"/>
    <n v="72"/>
    <n v="1.1200000000000001"/>
    <n v="1.37"/>
  </r>
  <r>
    <x v="2"/>
    <s v="Convenience stores"/>
    <x v="2"/>
    <s v="Pausa Caffe'"/>
    <s v="|12/12/00|"/>
    <n v="8604"/>
    <n v="1.04"/>
    <n v="0.9"/>
  </r>
  <r>
    <x v="2"/>
    <s v="Convenience stores"/>
    <x v="2"/>
    <s v="Pausa Caffe'"/>
    <s v="|12/12/01|"/>
    <n v="8052"/>
    <n v="0.65"/>
    <n v="0.95"/>
  </r>
  <r>
    <x v="2"/>
    <s v="Convenience stores"/>
    <x v="2"/>
    <s v="Pausa Caffe'"/>
    <s v="|12/12/02|"/>
    <n v="8208"/>
    <n v="1.17"/>
    <n v="1.1000000000000001"/>
  </r>
  <r>
    <x v="2"/>
    <s v="Convenience stores"/>
    <x v="2"/>
    <s v="Pausa Caffe'"/>
    <s v="|12/12/03|"/>
    <n v="7608"/>
    <n v="0.62"/>
    <n v="1.1299999999999999"/>
  </r>
  <r>
    <x v="2"/>
    <s v="Convenience stores"/>
    <x v="2"/>
    <s v="Pausa Caffe'"/>
    <s v="|12/12/04|"/>
    <n v="5388"/>
    <n v="0.69"/>
    <n v="1.17"/>
  </r>
  <r>
    <x v="2"/>
    <s v="Convenience stores"/>
    <x v="2"/>
    <s v="Pausa Caffe'"/>
    <s v="|12/12/06|"/>
    <n v="7044"/>
    <n v="1.2"/>
    <n v="1.05"/>
  </r>
  <r>
    <x v="2"/>
    <s v="Convenience stores"/>
    <x v="2"/>
    <s v="Pausa Caffe'"/>
    <s v="|12/12/07|"/>
    <n v="7560"/>
    <n v="0.66"/>
    <n v="1.1399999999999999"/>
  </r>
  <r>
    <x v="2"/>
    <s v="Convenience stores"/>
    <x v="2"/>
    <s v="Pausa Caffe'"/>
    <s v="|12/12/105|"/>
    <n v="5712"/>
    <n v="0.87"/>
    <n v="1.05"/>
  </r>
  <r>
    <x v="2"/>
    <s v="Convenience stores"/>
    <x v="2"/>
    <s v="Pausa Caffe'"/>
    <s v="|12/12/107|"/>
    <n v="9264"/>
    <n v="0.95"/>
    <n v="1.1399999999999999"/>
  </r>
  <r>
    <x v="2"/>
    <s v="Convenience stores"/>
    <x v="2"/>
    <s v="Pausa Caffe'"/>
    <s v="|12/12/108|"/>
    <n v="5532"/>
    <n v="1.1599999999999999"/>
    <n v="1.0900000000000001"/>
  </r>
  <r>
    <x v="2"/>
    <s v="Convenience stores"/>
    <x v="2"/>
    <s v="Pausa Caffe'"/>
    <s v="|12/12/110|"/>
    <n v="5076"/>
    <n v="0.49"/>
    <n v="1.02"/>
  </r>
  <r>
    <x v="2"/>
    <s v="Convenience stores"/>
    <x v="2"/>
    <s v="Pausa Caffe'"/>
    <s v="|12/12/112|"/>
    <n v="6612"/>
    <n v="0.87"/>
    <n v="1.03"/>
  </r>
  <r>
    <x v="2"/>
    <s v="Convenience stores"/>
    <x v="2"/>
    <s v="Pausa Caffe'"/>
    <s v="|12/12/113|"/>
    <n v="6804"/>
    <n v="0.63"/>
    <n v="1"/>
  </r>
  <r>
    <x v="2"/>
    <s v="Convenience stores"/>
    <x v="2"/>
    <s v="Pausa Caffe'"/>
    <s v="|12/12/13|"/>
    <n v="5124"/>
    <n v="1.1000000000000001"/>
    <n v="0.94"/>
  </r>
  <r>
    <x v="2"/>
    <s v="Convenience stores"/>
    <x v="2"/>
    <s v="Pausa Caffe'"/>
    <s v="|12/12/18|"/>
    <n v="8892"/>
    <n v="0.84"/>
    <n v="0.92"/>
  </r>
  <r>
    <x v="2"/>
    <s v="Convenience stores"/>
    <x v="2"/>
    <s v="Pausa Caffe'"/>
    <s v="|12/12/27|"/>
    <n v="6576"/>
    <n v="1.1299999999999999"/>
    <n v="1.07"/>
  </r>
  <r>
    <x v="2"/>
    <s v="Convenience stores"/>
    <x v="2"/>
    <s v="Pausa Caffe'"/>
    <s v="|12/12/36|"/>
    <n v="9036"/>
    <n v="1.18"/>
    <n v="0.94"/>
  </r>
  <r>
    <x v="2"/>
    <s v="Convenience stores"/>
    <x v="2"/>
    <s v="Pausa Caffe'"/>
    <s v="|12/12/43|"/>
    <n v="8928"/>
    <n v="1.01"/>
    <n v="0.99"/>
  </r>
  <r>
    <x v="2"/>
    <s v="Convenience stores"/>
    <x v="2"/>
    <s v="Pausa Caffe'"/>
    <s v="|12/12/45|"/>
    <n v="8580"/>
    <n v="1.1599999999999999"/>
    <n v="0.97"/>
  </r>
  <r>
    <x v="2"/>
    <s v="Convenience stores"/>
    <x v="2"/>
    <s v="Pausa Caffe'"/>
    <s v="|12/12/47|"/>
    <n v="8340"/>
    <n v="0.82"/>
    <n v="0.99"/>
  </r>
  <r>
    <x v="2"/>
    <s v="Convenience stores"/>
    <x v="2"/>
    <s v="Pausa Caffe'"/>
    <s v="|12/12/50|"/>
    <n v="7440"/>
    <n v="0.66"/>
    <n v="0.95"/>
  </r>
  <r>
    <x v="2"/>
    <s v="Convenience stores"/>
    <x v="2"/>
    <s v="Pausa Caffe'"/>
    <s v="|12/12/51|"/>
    <n v="8220"/>
    <n v="0.55000000000000004"/>
    <n v="0.94"/>
  </r>
  <r>
    <x v="2"/>
    <s v="Convenience stores"/>
    <x v="2"/>
    <s v="Pausa Caffe'"/>
    <s v="|12/12/53|"/>
    <n v="8244"/>
    <n v="1.0900000000000001"/>
    <n v="1.1200000000000001"/>
  </r>
  <r>
    <x v="2"/>
    <s v="Convenience stores"/>
    <x v="2"/>
    <s v="Pausa Caffe'"/>
    <s v="|12/12/586|"/>
    <n v="9072"/>
    <n v="0.42"/>
    <n v="0.99"/>
  </r>
  <r>
    <x v="2"/>
    <s v="Convenience stores"/>
    <x v="2"/>
    <s v="Pausa Caffe'"/>
    <s v="|12/12/62|"/>
    <n v="9432"/>
    <n v="1.1499999999999999"/>
    <n v="0.91"/>
  </r>
  <r>
    <x v="2"/>
    <s v="Convenience stores"/>
    <x v="2"/>
    <s v="Pausa Caffe'"/>
    <s v="|12/12/67|"/>
    <n v="5436"/>
    <n v="1.08"/>
    <n v="0.98"/>
  </r>
  <r>
    <x v="2"/>
    <s v="Convenience stores"/>
    <x v="2"/>
    <s v="Pausa Caffe'"/>
    <s v="|12/12/68|"/>
    <n v="5952"/>
    <n v="0.59"/>
    <n v="0.98"/>
  </r>
  <r>
    <x v="2"/>
    <s v="Convenience stores"/>
    <x v="2"/>
    <s v="Pausa Caffe'"/>
    <s v="|12/12/69|"/>
    <n v="5568"/>
    <n v="1.07"/>
    <n v="0.95"/>
  </r>
  <r>
    <x v="2"/>
    <s v="Convenience stores"/>
    <x v="2"/>
    <s v="Pausa Caffe'"/>
    <s v="|12/12/71|"/>
    <n v="6036"/>
    <n v="0.69"/>
    <n v="0.94"/>
  </r>
  <r>
    <x v="2"/>
    <s v="Convenience stores"/>
    <x v="2"/>
    <s v="Pausa Caffe'"/>
    <s v="|12/12/73|"/>
    <n v="9288"/>
    <n v="0.95"/>
    <n v="1.08"/>
  </r>
  <r>
    <x v="2"/>
    <s v="Convenience stores"/>
    <x v="2"/>
    <s v="Pausa Caffe'"/>
    <s v="|12/12/74|"/>
    <n v="7944"/>
    <n v="1.05"/>
    <n v="0.94"/>
  </r>
  <r>
    <x v="2"/>
    <s v="Convenience stores"/>
    <x v="2"/>
    <s v="Pausa Caffe'"/>
    <s v="|12/12/75|"/>
    <n v="7080"/>
    <n v="0.74"/>
    <n v="0.94"/>
  </r>
  <r>
    <x v="2"/>
    <s v="Convenience stores"/>
    <x v="2"/>
    <s v="Pausa Caffe'"/>
    <s v="|12/12/76|"/>
    <n v="5544"/>
    <n v="0.61"/>
    <n v="0.93"/>
  </r>
  <r>
    <x v="2"/>
    <s v="Convenience stores"/>
    <x v="2"/>
    <s v="Pausa Caffe'"/>
    <s v="|12/12/77|"/>
    <n v="6816"/>
    <n v="1.1599999999999999"/>
    <n v="1.05"/>
  </r>
  <r>
    <x v="2"/>
    <s v="Convenience stores"/>
    <x v="2"/>
    <s v="Pausa Caffe'"/>
    <s v="|12/12/78|"/>
    <n v="9012"/>
    <n v="0.87"/>
    <n v="0.9"/>
  </r>
  <r>
    <x v="2"/>
    <s v="Convenience stores"/>
    <x v="2"/>
    <s v="Pausa Caffe'"/>
    <s v="|12/12/81|"/>
    <n v="8328"/>
    <n v="0.9"/>
    <n v="0.94"/>
  </r>
  <r>
    <x v="2"/>
    <s v="Convenience stores"/>
    <x v="2"/>
    <s v="Pausa Caffe'"/>
    <s v="|12/12/83|"/>
    <n v="6948"/>
    <n v="0.6"/>
    <n v="0.92"/>
  </r>
  <r>
    <x v="2"/>
    <s v="Convenience stores"/>
    <x v="2"/>
    <s v="Pausa Caffe'"/>
    <s v="|12/12/86|"/>
    <n v="6336"/>
    <n v="1.18"/>
    <n v="0.91"/>
  </r>
  <r>
    <x v="2"/>
    <s v="Convenience stores"/>
    <x v="2"/>
    <s v="Pausa Caffe'"/>
    <s v="|12/12/86B|"/>
    <n v="6132"/>
    <n v="0.43"/>
    <n v="1.19"/>
  </r>
  <r>
    <x v="2"/>
    <s v="Convenience stores"/>
    <x v="2"/>
    <s v="Pausa Caffe'"/>
    <s v="|12/12/876|"/>
    <n v="6876"/>
    <n v="1.03"/>
    <n v="1.2"/>
  </r>
  <r>
    <x v="2"/>
    <s v="Convenience stores"/>
    <x v="2"/>
    <s v="Pausa Caffe'"/>
    <s v="|12/12/91|"/>
    <n v="5880"/>
    <n v="0.49"/>
    <n v="0.93"/>
  </r>
  <r>
    <x v="2"/>
    <s v="Convenience stores"/>
    <x v="2"/>
    <s v="Pausa Caffe'"/>
    <s v="|12/12/93|"/>
    <n v="8748"/>
    <n v="0.89"/>
    <n v="1.19"/>
  </r>
  <r>
    <x v="2"/>
    <s v="Convenience stores"/>
    <x v="2"/>
    <s v="Pausa Caffe'"/>
    <s v="|12/12/95|"/>
    <n v="7728"/>
    <n v="0.95"/>
    <n v="0.98"/>
  </r>
  <r>
    <x v="2"/>
    <s v="Convenience stores"/>
    <x v="2"/>
    <s v="Pausa Caffe'"/>
    <s v="|12/12/96|"/>
    <n v="6984"/>
    <n v="0.51"/>
    <n v="1.1299999999999999"/>
  </r>
  <r>
    <x v="2"/>
    <s v="Convenience stores"/>
    <x v="2"/>
    <s v="Pausa Caffe'"/>
    <s v="|12/12/97|"/>
    <n v="7428"/>
    <n v="0.87"/>
    <n v="1.18"/>
  </r>
  <r>
    <x v="2"/>
    <s v="Convenience stores"/>
    <x v="2"/>
    <s v="Pausa Caffe'"/>
    <s v="|12/12/98|"/>
    <n v="4836"/>
    <n v="0.6"/>
    <n v="0.96"/>
  </r>
  <r>
    <x v="2"/>
    <s v="Convenience stores"/>
    <x v="2"/>
    <s v="Pausa Caffe'"/>
    <s v="|12/12/99|"/>
    <n v="6624"/>
    <n v="0.9"/>
    <n v="0.99"/>
  </r>
  <r>
    <x v="2"/>
    <s v="Convenience stores"/>
    <x v="2"/>
    <s v="Pausa Caffe'"/>
    <s v="|12/12/C 86|"/>
    <n v="5844"/>
    <n v="0.87"/>
    <n v="0.96"/>
  </r>
  <r>
    <x v="2"/>
    <s v="Convenience stores"/>
    <x v="2"/>
    <s v="Pausa Caffe'"/>
    <s v="|12/12/S|"/>
    <n v="7212"/>
    <n v="0.56999999999999995"/>
    <n v="1.03"/>
  </r>
  <r>
    <x v="2"/>
    <s v="Convenience stores"/>
    <x v="2"/>
    <s v="Caffe Italiano"/>
    <s v="|15/15/01|"/>
    <n v="6432"/>
    <n v="1.1299999999999999"/>
    <n v="1"/>
  </r>
  <r>
    <x v="2"/>
    <s v="Convenience stores"/>
    <x v="2"/>
    <s v="Caffe Italiano"/>
    <s v="|15/15/02|"/>
    <n v="4920"/>
    <n v="1.03"/>
    <n v="1.1399999999999999"/>
  </r>
  <r>
    <x v="2"/>
    <s v="Convenience stores"/>
    <x v="2"/>
    <s v="Caffe Italiano"/>
    <s v="|15/15/03|"/>
    <n v="5712"/>
    <n v="0.48"/>
    <n v="1.17"/>
  </r>
  <r>
    <x v="2"/>
    <s v="Convenience stores"/>
    <x v="2"/>
    <s v="Caffe Italiano"/>
    <s v="|15/15/04|"/>
    <n v="7164"/>
    <n v="0.8"/>
    <n v="0.94"/>
  </r>
  <r>
    <x v="2"/>
    <s v="Convenience stores"/>
    <x v="2"/>
    <s v="Caffe Italiano"/>
    <s v="|15/15/05|"/>
    <n v="6396"/>
    <n v="1.05"/>
    <n v="0.99"/>
  </r>
  <r>
    <x v="2"/>
    <s v="Convenience stores"/>
    <x v="2"/>
    <s v="Caffe Italiano"/>
    <s v="|15/15/06|"/>
    <n v="5532"/>
    <n v="0.92"/>
    <n v="1.01"/>
  </r>
  <r>
    <x v="2"/>
    <s v="Convenience stores"/>
    <x v="2"/>
    <s v="Caffe Italiano"/>
    <s v="|15/15/07|"/>
    <n v="6996"/>
    <n v="0.94"/>
    <n v="1.02"/>
  </r>
  <r>
    <x v="2"/>
    <s v="Convenience stores"/>
    <x v="2"/>
    <s v="Caffe Italiano"/>
    <s v="|15/15/08|"/>
    <n v="6312"/>
    <n v="0.48"/>
    <n v="1.18"/>
  </r>
  <r>
    <x v="2"/>
    <s v="Convenience stores"/>
    <x v="2"/>
    <s v="Caffe Italiano"/>
    <s v="|15/15/09|"/>
    <n v="5904"/>
    <n v="1.1599999999999999"/>
    <n v="1"/>
  </r>
  <r>
    <x v="2"/>
    <s v="Convenience stores"/>
    <x v="2"/>
    <s v="Caffe Italiano"/>
    <s v="|15/15/10|"/>
    <n v="5244"/>
    <n v="1.1299999999999999"/>
    <n v="1.1499999999999999"/>
  </r>
  <r>
    <x v="2"/>
    <s v="Convenience stores"/>
    <x v="2"/>
    <s v="Caffe Italiano"/>
    <s v="|15/15/11|"/>
    <n v="6000"/>
    <n v="0.76"/>
    <n v="1.18"/>
  </r>
  <r>
    <x v="2"/>
    <s v="Convenience stores"/>
    <x v="2"/>
    <s v="Caffe Italiano"/>
    <s v="|15/15/12|"/>
    <n v="6360"/>
    <n v="1.1100000000000001"/>
    <n v="0.98"/>
  </r>
  <r>
    <x v="2"/>
    <s v="Convenience stores"/>
    <x v="2"/>
    <s v="Caffe Italiano"/>
    <s v="|15/15/13|"/>
    <n v="4980"/>
    <n v="0.85"/>
    <n v="1.01"/>
  </r>
  <r>
    <x v="2"/>
    <s v="Convenience stores"/>
    <x v="2"/>
    <s v="Caffe Italiano"/>
    <s v="|15/15/14|"/>
    <n v="5988"/>
    <n v="1.18"/>
    <n v="1.08"/>
  </r>
  <r>
    <x v="2"/>
    <s v="Convenience stores"/>
    <x v="2"/>
    <s v="Caffe Italiano"/>
    <s v="|15/15/15|"/>
    <n v="6900"/>
    <n v="0.9"/>
    <n v="1.05"/>
  </r>
  <r>
    <x v="2"/>
    <s v="Convenience stores"/>
    <x v="2"/>
    <s v="Caffe Italiano"/>
    <s v="|15/15/16|"/>
    <n v="4968"/>
    <n v="0.78"/>
    <n v="0.96"/>
  </r>
  <r>
    <x v="2"/>
    <s v="Convenience stores"/>
    <x v="2"/>
    <s v="Caffe Italiano"/>
    <s v="|15/15/17|"/>
    <n v="6468"/>
    <n v="0.64"/>
    <n v="1.04"/>
  </r>
  <r>
    <x v="2"/>
    <s v="Convenience stores"/>
    <x v="2"/>
    <s v="Caffe Italiano"/>
    <s v="|15/15/18|"/>
    <n v="8748"/>
    <n v="0.98"/>
    <n v="1.1000000000000001"/>
  </r>
  <r>
    <x v="2"/>
    <s v="Convenience stores"/>
    <x v="2"/>
    <s v="Caffe Italiano"/>
    <s v="|15/15/19|"/>
    <n v="7728"/>
    <n v="0.84"/>
    <n v="1.05"/>
  </r>
  <r>
    <x v="2"/>
    <s v="Convenience stores"/>
    <x v="2"/>
    <s v="Caffe Italiano"/>
    <s v="|15/15/20|"/>
    <n v="6792"/>
    <n v="0.85"/>
    <n v="0.95"/>
  </r>
  <r>
    <x v="2"/>
    <s v="Convenience stores"/>
    <x v="2"/>
    <s v="Caffe Italiano"/>
    <s v="|15/15/21|"/>
    <n v="6732"/>
    <n v="0.69"/>
    <n v="1.01"/>
  </r>
  <r>
    <x v="2"/>
    <s v="Convenience stores"/>
    <x v="2"/>
    <s v="Caffe Italiano"/>
    <s v="|15/15/22|"/>
    <n v="8856"/>
    <n v="0.84"/>
    <n v="1.19"/>
  </r>
  <r>
    <x v="2"/>
    <s v="Convenience stores"/>
    <x v="2"/>
    <s v="Caffe Italiano"/>
    <s v="|15/15/23|"/>
    <n v="4860"/>
    <n v="0.86"/>
    <n v="1.06"/>
  </r>
  <r>
    <x v="2"/>
    <s v="Convenience stores"/>
    <x v="2"/>
    <s v="Caffe Italiano"/>
    <s v="|15/15/24|"/>
    <n v="5136"/>
    <n v="0.55000000000000004"/>
    <n v="1.06"/>
  </r>
  <r>
    <x v="2"/>
    <s v="Convenience stores"/>
    <x v="2"/>
    <s v="Caffe Italiano"/>
    <s v="|15/15/25|"/>
    <n v="8016"/>
    <n v="0.72"/>
    <n v="1.1200000000000001"/>
  </r>
  <r>
    <x v="2"/>
    <s v="Convenience stores"/>
    <x v="2"/>
    <s v="Caffe Italiano"/>
    <s v="|15/15/26|"/>
    <n v="6252"/>
    <n v="0.83"/>
    <n v="0.9"/>
  </r>
  <r>
    <x v="2"/>
    <s v="Convenience stores"/>
    <x v="2"/>
    <s v="Caffe Italiano"/>
    <s v="|15/15/27|"/>
    <n v="7992"/>
    <n v="0.59"/>
    <n v="1.03"/>
  </r>
  <r>
    <x v="2"/>
    <s v="Convenience stores"/>
    <x v="2"/>
    <s v="Caffe Italiano"/>
    <s v="|15/15/28|"/>
    <n v="5256"/>
    <n v="0.88"/>
    <n v="0.91"/>
  </r>
  <r>
    <x v="2"/>
    <s v="Convenience stores"/>
    <x v="2"/>
    <s v="Caffe Italiano"/>
    <s v="|15/15/29|"/>
    <n v="7920"/>
    <n v="1.07"/>
    <n v="0.98"/>
  </r>
  <r>
    <x v="2"/>
    <s v="Convenience stores"/>
    <x v="2"/>
    <s v="Caffe Italiano"/>
    <s v="|15/15/30|"/>
    <n v="8940"/>
    <n v="0.51"/>
    <n v="0.97"/>
  </r>
  <r>
    <x v="2"/>
    <s v="Convenience stores"/>
    <x v="2"/>
    <s v="Caffe Italiano"/>
    <s v="|15/15/31|"/>
    <n v="9048"/>
    <n v="1.1299999999999999"/>
    <n v="1.08"/>
  </r>
  <r>
    <x v="2"/>
    <s v="Convenience stores"/>
    <x v="2"/>
    <s v="Caffe Italiano"/>
    <s v="|15/15/32|"/>
    <n v="6144"/>
    <n v="0.9"/>
    <n v="1.1100000000000001"/>
  </r>
  <r>
    <x v="2"/>
    <s v="Convenience stores"/>
    <x v="2"/>
    <s v="Caffe Italiano"/>
    <s v="|15/15/40|"/>
    <n v="5484"/>
    <n v="0.77"/>
    <n v="0.98"/>
  </r>
  <r>
    <x v="2"/>
    <s v="Convenience stores"/>
    <x v="2"/>
    <s v="Caffe Italiano"/>
    <s v="|15/15/41|"/>
    <n v="6960"/>
    <n v="1.02"/>
    <n v="0.98"/>
  </r>
  <r>
    <x v="2"/>
    <s v="Convenience stores"/>
    <x v="2"/>
    <s v="Caffe Italiano"/>
    <s v="|15/15/42|"/>
    <n v="8940"/>
    <n v="1.06"/>
    <n v="0.92"/>
  </r>
  <r>
    <x v="2"/>
    <s v="Convenience stores"/>
    <x v="2"/>
    <s v="Caffe Italiano"/>
    <s v="|15/15/43|"/>
    <n v="7488"/>
    <n v="1.06"/>
    <n v="1.08"/>
  </r>
  <r>
    <x v="2"/>
    <s v="Convenience stores"/>
    <x v="2"/>
    <s v="Caffe Italiano"/>
    <s v="|15/15/44|"/>
    <n v="6000"/>
    <n v="0.99"/>
    <n v="1.02"/>
  </r>
  <r>
    <x v="2"/>
    <s v="Convenience stores"/>
    <x v="2"/>
    <s v="Caffe Italiano"/>
    <s v="|15/15/45|"/>
    <n v="7236"/>
    <n v="1.1599999999999999"/>
    <n v="1.1499999999999999"/>
  </r>
  <r>
    <x v="2"/>
    <s v="Convenience stores"/>
    <x v="2"/>
    <s v="Caffe Italiano"/>
    <s v="|15/15/46|"/>
    <n v="8460"/>
    <n v="0.69"/>
    <n v="0.91"/>
  </r>
  <r>
    <x v="2"/>
    <s v="Convenience stores"/>
    <x v="2"/>
    <s v="Caffe Italiano"/>
    <s v="|15/15/47|"/>
    <n v="5760"/>
    <n v="0.6"/>
    <n v="0.96"/>
  </r>
  <r>
    <x v="2"/>
    <s v="Convenience stores"/>
    <x v="2"/>
    <s v="Caffe Italiano"/>
    <s v="|15/15/48|"/>
    <n v="8796"/>
    <n v="1.1100000000000001"/>
    <n v="1.2"/>
  </r>
  <r>
    <x v="2"/>
    <s v="Convenience stores"/>
    <x v="2"/>
    <s v="Caffe Italiano"/>
    <s v="|15/15/49|"/>
    <n v="6624"/>
    <n v="1.1200000000000001"/>
    <n v="1.08"/>
  </r>
  <r>
    <x v="2"/>
    <s v="Convenience stores"/>
    <x v="2"/>
    <s v="Caffe Italiano"/>
    <s v="|15/15/60|"/>
    <n v="5640"/>
    <n v="1.04"/>
    <n v="1.04"/>
  </r>
  <r>
    <x v="2"/>
    <s v="Convenience stores"/>
    <x v="2"/>
    <s v="Caffe Italiano"/>
    <s v="|15/15/61|"/>
    <n v="8268"/>
    <n v="0.48"/>
    <n v="1.1399999999999999"/>
  </r>
  <r>
    <x v="2"/>
    <s v="Convenience stores"/>
    <x v="2"/>
    <s v="Caffe Italiano"/>
    <s v="|15/15/62|"/>
    <n v="9108"/>
    <n v="0.99"/>
    <n v="1.05"/>
  </r>
  <r>
    <x v="2"/>
    <s v="Convenience stores"/>
    <x v="2"/>
    <s v="Caffe Italiano"/>
    <s v="|15/15/63|"/>
    <n v="6708"/>
    <n v="1.1299999999999999"/>
    <n v="0.96"/>
  </r>
  <r>
    <x v="2"/>
    <s v="Convenience stores"/>
    <x v="2"/>
    <s v="Caffe Italiano"/>
    <s v="|15/15/64|"/>
    <n v="8520"/>
    <n v="0.93"/>
    <n v="0.98"/>
  </r>
  <r>
    <x v="2"/>
    <s v="Convenience stores"/>
    <x v="2"/>
    <s v="Caffe Italiano"/>
    <s v="|15/15/65|"/>
    <n v="8304"/>
    <n v="0.46"/>
    <n v="1.1499999999999999"/>
  </r>
  <r>
    <x v="2"/>
    <s v="Convenience stores"/>
    <x v="2"/>
    <s v="Caffe Italiano"/>
    <s v="|15/15/66|"/>
    <n v="8172"/>
    <n v="0.66"/>
    <n v="0.94"/>
  </r>
  <r>
    <x v="2"/>
    <s v="Convenience stores"/>
    <x v="2"/>
    <s v="Caffe Italiano"/>
    <s v="|15/15/67|"/>
    <n v="7788"/>
    <n v="1.18"/>
    <n v="0.98"/>
  </r>
  <r>
    <x v="2"/>
    <s v="Convenience stores"/>
    <x v="2"/>
    <s v="Caffe Italiano"/>
    <s v="|15/15/69|"/>
    <n v="6684"/>
    <n v="0.56000000000000005"/>
    <n v="1.1100000000000001"/>
  </r>
  <r>
    <x v="2"/>
    <s v="Convenience stores"/>
    <x v="2"/>
    <s v="Caffe Italiano"/>
    <s v="|15/16/01|"/>
    <n v="6816"/>
    <n v="1.1299999999999999"/>
    <n v="0.93"/>
  </r>
  <r>
    <x v="2"/>
    <s v="Convenience stores"/>
    <x v="2"/>
    <s v="Caffe Italiano"/>
    <s v="|15/16/02|"/>
    <n v="7764"/>
    <n v="1.17"/>
    <n v="0.94"/>
  </r>
  <r>
    <x v="2"/>
    <s v="Convenience stores"/>
    <x v="2"/>
    <s v="Caffe Italiano"/>
    <s v="|15/16/03|"/>
    <n v="7308"/>
    <n v="0.72"/>
    <n v="1.1599999999999999"/>
  </r>
  <r>
    <x v="2"/>
    <s v="Convenience stores"/>
    <x v="2"/>
    <s v="Caffe Italiano"/>
    <s v="|15/16/04|"/>
    <n v="7728"/>
    <n v="0.53"/>
    <n v="1.0900000000000001"/>
  </r>
  <r>
    <x v="2"/>
    <s v="Convenience stores"/>
    <x v="2"/>
    <s v="Caffe Italiano"/>
    <s v="|15/16/05|"/>
    <n v="9132"/>
    <n v="0.72"/>
    <n v="0.93"/>
  </r>
  <r>
    <x v="2"/>
    <s v="Convenience stores"/>
    <x v="2"/>
    <s v="Caffe Italiano"/>
    <s v="|15/16/06|"/>
    <n v="9048"/>
    <n v="0.88"/>
    <n v="1.05"/>
  </r>
  <r>
    <x v="2"/>
    <s v="Convenience stores"/>
    <x v="2"/>
    <s v="Caffe Italiano"/>
    <s v="|15/16/07|"/>
    <n v="8388"/>
    <n v="0.53"/>
    <n v="1.04"/>
  </r>
  <r>
    <x v="2"/>
    <s v="Convenience stores"/>
    <x v="2"/>
    <s v="Caffe Italiano"/>
    <s v="|15/16/08|"/>
    <n v="7884"/>
    <n v="0.64"/>
    <n v="1.17"/>
  </r>
  <r>
    <x v="2"/>
    <s v="Convenience stores"/>
    <x v="2"/>
    <s v="Caffe Italiano"/>
    <s v="|15/16/09|"/>
    <n v="5748"/>
    <n v="0.5"/>
    <n v="1.2"/>
  </r>
  <r>
    <x v="2"/>
    <s v="Convenience stores"/>
    <x v="2"/>
    <s v="Caffe Italiano"/>
    <s v="|15/16/09a|"/>
    <n v="4884"/>
    <n v="0.75"/>
    <n v="1.1599999999999999"/>
  </r>
  <r>
    <x v="2"/>
    <s v="Convenience stores"/>
    <x v="2"/>
    <s v="Caffe Italiano"/>
    <s v="|15/16/10|"/>
    <n v="9576"/>
    <n v="0.74"/>
    <n v="1.19"/>
  </r>
  <r>
    <x v="2"/>
    <s v="Convenience stores"/>
    <x v="2"/>
    <s v="Caffe Italiano"/>
    <s v="|15/16/11|"/>
    <n v="6324"/>
    <n v="1.0900000000000001"/>
    <n v="1.02"/>
  </r>
  <r>
    <x v="2"/>
    <s v="Convenience stores"/>
    <x v="5"/>
    <s v="Dole"/>
    <s v="|17/01/01|"/>
    <n v="744"/>
    <n v="1.1599999999999999"/>
    <n v="1.67"/>
  </r>
  <r>
    <x v="2"/>
    <s v="Convenience stores"/>
    <x v="5"/>
    <s v="Dole"/>
    <s v="|17/01/02|"/>
    <n v="1176"/>
    <n v="1.1499999999999999"/>
    <n v="1.88"/>
  </r>
  <r>
    <x v="2"/>
    <s v="Convenience stores"/>
    <x v="5"/>
    <s v="Dole"/>
    <s v="|17/01/03|"/>
    <n v="1272"/>
    <n v="1.1599999999999999"/>
    <n v="1.81"/>
  </r>
  <r>
    <x v="2"/>
    <s v="Convenience stores"/>
    <x v="5"/>
    <s v="Dole"/>
    <s v="|17/01/04|"/>
    <n v="768"/>
    <n v="1.17"/>
    <n v="1.71"/>
  </r>
  <r>
    <x v="2"/>
    <s v="Convenience stores"/>
    <x v="5"/>
    <s v="Dole"/>
    <s v="|17/01/05|"/>
    <n v="1032"/>
    <n v="1.47"/>
    <n v="1.68"/>
  </r>
  <r>
    <x v="2"/>
    <s v="Convenience stores"/>
    <x v="5"/>
    <s v="Dole"/>
    <s v="|17/01/06|"/>
    <n v="588"/>
    <n v="1.4"/>
    <n v="1.6"/>
  </r>
  <r>
    <x v="2"/>
    <s v="Convenience stores"/>
    <x v="5"/>
    <s v="Dole"/>
    <s v="|17/01/07|"/>
    <n v="780"/>
    <n v="1.18"/>
    <n v="1.78"/>
  </r>
  <r>
    <x v="2"/>
    <s v="Convenience stores"/>
    <x v="5"/>
    <s v="Dole"/>
    <s v="|17/01/08|"/>
    <n v="1152"/>
    <n v="1.17"/>
    <n v="1.82"/>
  </r>
  <r>
    <x v="2"/>
    <s v="Convenience stores"/>
    <x v="5"/>
    <s v="Dole"/>
    <s v="|17/01/09|"/>
    <n v="924"/>
    <n v="1.38"/>
    <n v="1.63"/>
  </r>
  <r>
    <x v="2"/>
    <s v="Convenience stores"/>
    <x v="5"/>
    <s v="Dole"/>
    <s v="|17/01/10|"/>
    <n v="1188"/>
    <n v="1.37"/>
    <n v="1.87"/>
  </r>
  <r>
    <x v="2"/>
    <s v="Convenience stores"/>
    <x v="5"/>
    <s v="Dole"/>
    <s v="|17/01/11|"/>
    <n v="708"/>
    <n v="1.17"/>
    <n v="1.8"/>
  </r>
  <r>
    <x v="2"/>
    <s v="Convenience stores"/>
    <x v="5"/>
    <s v="Dole"/>
    <s v="|17/01/13|"/>
    <n v="1212"/>
    <n v="1.29"/>
    <n v="1.77"/>
  </r>
  <r>
    <x v="2"/>
    <s v="Convenience stores"/>
    <x v="5"/>
    <s v="Dole"/>
    <s v="|17/01/14|"/>
    <n v="1320"/>
    <n v="1.46"/>
    <n v="1.83"/>
  </r>
  <r>
    <x v="2"/>
    <s v="Convenience stores"/>
    <x v="5"/>
    <s v="Dole"/>
    <s v="|17/01/15|"/>
    <n v="972"/>
    <n v="1.32"/>
    <n v="1.81"/>
  </r>
  <r>
    <x v="2"/>
    <s v="Convenience stores"/>
    <x v="10"/>
    <s v="Dole"/>
    <s v="|17/01/16|"/>
    <n v="360"/>
    <n v="3.13"/>
    <n v="6.44"/>
  </r>
  <r>
    <x v="2"/>
    <s v="Convenience stores"/>
    <x v="10"/>
    <s v="Dole"/>
    <s v="|17/01/17|"/>
    <n v="480"/>
    <n v="4.9400000000000004"/>
    <n v="5.5"/>
  </r>
  <r>
    <x v="2"/>
    <s v="Convenience stores"/>
    <x v="10"/>
    <s v="Dole"/>
    <s v="|17/01/19|"/>
    <n v="528"/>
    <n v="3.02"/>
    <n v="5.26"/>
  </r>
  <r>
    <x v="2"/>
    <s v="Convenience stores"/>
    <x v="10"/>
    <s v="Dole"/>
    <s v="|17/01/18|"/>
    <n v="360"/>
    <n v="3.48"/>
    <n v="6.81"/>
  </r>
  <r>
    <x v="2"/>
    <s v="Convenience stores"/>
    <x v="10"/>
    <s v="Dole"/>
    <s v="|17/01/16s|"/>
    <n v="492"/>
    <n v="4.2699999999999996"/>
    <n v="5.19"/>
  </r>
  <r>
    <x v="2"/>
    <s v="Convenience stores"/>
    <x v="10"/>
    <s v="Dole"/>
    <s v="|17/01/17s|"/>
    <n v="384"/>
    <n v="3.69"/>
    <n v="5.0599999999999996"/>
  </r>
  <r>
    <x v="2"/>
    <s v="Convenience stores"/>
    <x v="10"/>
    <s v="Dole"/>
    <s v="|17/01/18s|"/>
    <n v="528"/>
    <n v="4.6399999999999997"/>
    <n v="6.58"/>
  </r>
  <r>
    <x v="2"/>
    <s v="Convenience stores"/>
    <x v="5"/>
    <s v="Dole"/>
    <s v="|17/01/20|"/>
    <n v="1296"/>
    <n v="1.19"/>
    <n v="1.83"/>
  </r>
  <r>
    <x v="2"/>
    <s v="Convenience stores"/>
    <x v="4"/>
    <s v="Kimberley Clark"/>
    <s v="|61/01/01|"/>
    <n v="432"/>
    <n v="4.58"/>
    <n v="5.39"/>
  </r>
  <r>
    <x v="2"/>
    <s v="Convenience stores"/>
    <x v="4"/>
    <s v="Kimberley Clark"/>
    <s v="|61/01/02|"/>
    <n v="396"/>
    <n v="4.32"/>
    <n v="5.19"/>
  </r>
  <r>
    <x v="2"/>
    <s v="Convenience stores"/>
    <x v="4"/>
    <s v="Kimberley Clark"/>
    <s v="|61/01/03|"/>
    <n v="336"/>
    <n v="4.68"/>
    <n v="5.26"/>
  </r>
  <r>
    <x v="2"/>
    <s v="Convenience stores"/>
    <x v="4"/>
    <s v="Kimberley Clark"/>
    <s v="|61/01/04|"/>
    <n v="252"/>
    <n v="4.42"/>
    <n v="5.0999999999999996"/>
  </r>
  <r>
    <x v="2"/>
    <s v="Convenience stores"/>
    <x v="4"/>
    <s v="Kimberley Clark"/>
    <s v="|61/01/05|"/>
    <n v="672"/>
    <n v="4.0599999999999996"/>
    <n v="5.4"/>
  </r>
  <r>
    <x v="2"/>
    <s v="Convenience stores"/>
    <x v="4"/>
    <s v="Kimberley Clark"/>
    <s v="|61/01/06|"/>
    <n v="648"/>
    <n v="4.0599999999999996"/>
    <n v="5.27"/>
  </r>
  <r>
    <x v="2"/>
    <s v="Convenience stores"/>
    <x v="4"/>
    <s v="Kimberley Clark"/>
    <s v="|61/01/07|"/>
    <n v="600"/>
    <n v="4.75"/>
    <n v="5.21"/>
  </r>
  <r>
    <x v="2"/>
    <s v="Convenience stores"/>
    <x v="4"/>
    <s v="Kimberley Clark"/>
    <s v="|61/01/08|"/>
    <n v="360"/>
    <n v="4.0599999999999996"/>
    <n v="5.16"/>
  </r>
  <r>
    <x v="2"/>
    <s v="Convenience stores"/>
    <x v="4"/>
    <s v="Kimberley Clark"/>
    <s v="|61/01/09|"/>
    <n v="468"/>
    <n v="4.57"/>
    <n v="5.04"/>
  </r>
  <r>
    <x v="2"/>
    <s v="Convenience stores"/>
    <x v="4"/>
    <s v="Kimberley Clark"/>
    <s v="|61/01/10|"/>
    <n v="408"/>
    <n v="4.9400000000000004"/>
    <n v="5.01"/>
  </r>
  <r>
    <x v="2"/>
    <s v="Convenience stores"/>
    <x v="4"/>
    <s v="Kimberley Clark"/>
    <s v="|61/01/11|"/>
    <n v="324"/>
    <n v="4.46"/>
    <n v="5.14"/>
  </r>
  <r>
    <x v="2"/>
    <s v="Convenience stores"/>
    <x v="4"/>
    <s v="Kimberley Clark"/>
    <s v="|61/01/12|"/>
    <n v="720"/>
    <n v="4.24"/>
    <n v="5.26"/>
  </r>
  <r>
    <x v="2"/>
    <s v="Convenience stores"/>
    <x v="4"/>
    <s v="Kimberley Clark"/>
    <s v="|61/01/13|"/>
    <n v="408"/>
    <n v="4.26"/>
    <n v="5.04"/>
  </r>
  <r>
    <x v="2"/>
    <s v="Convenience stores"/>
    <x v="4"/>
    <s v="Kimberley Clark"/>
    <s v="|61/01/14|"/>
    <n v="264"/>
    <n v="4.95"/>
    <n v="5.34"/>
  </r>
  <r>
    <x v="2"/>
    <s v="Convenience stores"/>
    <x v="4"/>
    <s v="Kimberley Clark"/>
    <s v="|61/01/15|"/>
    <n v="396"/>
    <n v="4.42"/>
    <n v="5.1100000000000003"/>
  </r>
  <r>
    <x v="2"/>
    <s v="Convenience stores"/>
    <x v="4"/>
    <s v="Kimberley Clark"/>
    <s v="|61/01/16|"/>
    <n v="312"/>
    <n v="4.04"/>
    <n v="5.09"/>
  </r>
  <r>
    <x v="2"/>
    <s v="Convenience stores"/>
    <x v="4"/>
    <s v="Kimberley Clark"/>
    <s v="|61/01/17|"/>
    <n v="324"/>
    <n v="4.75"/>
    <n v="5.34"/>
  </r>
  <r>
    <x v="2"/>
    <s v="Convenience stores"/>
    <x v="4"/>
    <s v="Kimberley Clark"/>
    <s v="|61/01/18|"/>
    <n v="288"/>
    <n v="4.46"/>
    <n v="5.08"/>
  </r>
  <r>
    <x v="2"/>
    <s v="Convenience stores"/>
    <x v="4"/>
    <s v="Kimberley Clark"/>
    <s v="|61/01/19|"/>
    <n v="432"/>
    <n v="4.99"/>
    <n v="5.2"/>
  </r>
  <r>
    <x v="2"/>
    <s v="Convenience stores"/>
    <x v="4"/>
    <s v="Kimberley Clark"/>
    <s v="|61/01/20|"/>
    <n v="552"/>
    <n v="4.8499999999999996"/>
    <n v="5.12"/>
  </r>
  <r>
    <x v="2"/>
    <s v="Convenience stores"/>
    <x v="4"/>
    <s v="Kimberley Clark"/>
    <s v="|61/01/21|"/>
    <n v="492"/>
    <n v="4.29"/>
    <n v="5.22"/>
  </r>
  <r>
    <x v="2"/>
    <s v="Convenience stores"/>
    <x v="4"/>
    <s v="Kimberley Clark"/>
    <s v="|61/01/22|"/>
    <n v="720"/>
    <n v="4.28"/>
    <n v="5.0599999999999996"/>
  </r>
  <r>
    <x v="2"/>
    <s v="Convenience stores"/>
    <x v="4"/>
    <s v="Kimberley Clark"/>
    <s v="|61/01/23|"/>
    <n v="420"/>
    <n v="4.83"/>
    <n v="5.25"/>
  </r>
  <r>
    <x v="2"/>
    <s v="Convenience stores"/>
    <x v="4"/>
    <s v="Kimberley Clark"/>
    <s v="|61/01/24|"/>
    <n v="660"/>
    <n v="4.84"/>
    <n v="5.27"/>
  </r>
  <r>
    <x v="2"/>
    <s v="Convenience stores"/>
    <x v="4"/>
    <s v="Kimberley Clark"/>
    <s v="|61/01/25|"/>
    <n v="300"/>
    <n v="4.99"/>
    <n v="5.22"/>
  </r>
  <r>
    <x v="2"/>
    <s v="Convenience stores"/>
    <x v="4"/>
    <s v="Kimberley Clark"/>
    <s v="|61/01/26|"/>
    <n v="444"/>
    <n v="4.9000000000000004"/>
    <n v="5.19"/>
  </r>
  <r>
    <x v="2"/>
    <s v="Convenience stores"/>
    <x v="4"/>
    <s v="Kimberley Clark"/>
    <s v="|61/01/27|"/>
    <n v="408"/>
    <n v="4.6100000000000003"/>
    <n v="5.25"/>
  </r>
  <r>
    <x v="2"/>
    <s v="Convenience stores"/>
    <x v="4"/>
    <s v="Kimberley Clark"/>
    <s v="|61/01/28|"/>
    <n v="336"/>
    <n v="4.43"/>
    <n v="5.37"/>
  </r>
  <r>
    <x v="2"/>
    <s v="Convenience stores"/>
    <x v="4"/>
    <s v="Kimberley Clark"/>
    <s v="|61/01/29|"/>
    <n v="672"/>
    <n v="4.18"/>
    <n v="5.23"/>
  </r>
  <r>
    <x v="2"/>
    <s v="Convenience stores"/>
    <x v="4"/>
    <s v="Kimberley Clark"/>
    <s v="|61/01/30|"/>
    <n v="288"/>
    <n v="4.6500000000000004"/>
    <n v="5.36"/>
  </r>
  <r>
    <x v="2"/>
    <s v="Convenience stores"/>
    <x v="4"/>
    <s v="Kimberley Clark"/>
    <s v="|61/01/31|"/>
    <n v="372"/>
    <n v="5"/>
    <n v="5.07"/>
  </r>
  <r>
    <x v="2"/>
    <s v="Convenience stores"/>
    <x v="4"/>
    <s v="Kimberley Clark"/>
    <s v="|61/01/32|"/>
    <n v="276"/>
    <n v="4.74"/>
    <n v="5.0999999999999996"/>
  </r>
  <r>
    <x v="2"/>
    <s v="Convenience stores"/>
    <x v="4"/>
    <s v="Kimberley Clark"/>
    <s v="|61/01/33|"/>
    <n v="408"/>
    <n v="4.47"/>
    <n v="5.4"/>
  </r>
  <r>
    <x v="2"/>
    <s v="Convenience stores"/>
    <x v="4"/>
    <s v="Kimberley Clark"/>
    <s v="|61/01/34|"/>
    <n v="552"/>
    <n v="4.0199999999999996"/>
    <n v="5.01"/>
  </r>
  <r>
    <x v="2"/>
    <s v="Convenience stores"/>
    <x v="4"/>
    <s v="Kimberley Clark"/>
    <s v="|61/01/35|"/>
    <n v="384"/>
    <n v="4.0199999999999996"/>
    <n v="5.12"/>
  </r>
  <r>
    <x v="2"/>
    <s v="Convenience stores"/>
    <x v="4"/>
    <s v="Kimberley Clark"/>
    <s v="|61/01/36|"/>
    <n v="372"/>
    <n v="4.17"/>
    <n v="5.13"/>
  </r>
  <r>
    <x v="2"/>
    <s v="Convenience stores"/>
    <x v="4"/>
    <s v="Kimberley Clark"/>
    <s v="|61/01/37|"/>
    <n v="444"/>
    <n v="4.2"/>
    <n v="5.4"/>
  </r>
  <r>
    <x v="2"/>
    <s v="Convenience stores"/>
    <x v="4"/>
    <s v="Kimberley Clark"/>
    <s v="|61/01/38|"/>
    <n v="492"/>
    <n v="4.71"/>
    <n v="5.37"/>
  </r>
  <r>
    <x v="2"/>
    <s v="Convenience stores"/>
    <x v="4"/>
    <s v="Kimberley Clark"/>
    <s v="|61/01/39|"/>
    <n v="720"/>
    <n v="4.16"/>
    <n v="5.23"/>
  </r>
  <r>
    <x v="2"/>
    <s v="Convenience stores"/>
    <x v="4"/>
    <s v="Kimberley Clark"/>
    <s v="|61/01/40|"/>
    <n v="276"/>
    <n v="4.43"/>
    <n v="5.18"/>
  </r>
  <r>
    <x v="2"/>
    <s v="Convenience stores"/>
    <x v="4"/>
    <s v="Kimberley Clark"/>
    <s v="|61/01/41|"/>
    <n v="348"/>
    <n v="4.04"/>
    <n v="5.4"/>
  </r>
  <r>
    <x v="2"/>
    <s v="Convenience stores"/>
    <x v="4"/>
    <s v="Kimberley Clark"/>
    <s v="|61/01/42|"/>
    <n v="648"/>
    <n v="4.07"/>
    <n v="5.09"/>
  </r>
  <r>
    <x v="2"/>
    <s v="Convenience stores"/>
    <x v="4"/>
    <s v="Kimberley Clark"/>
    <s v="|61/01/43|"/>
    <n v="612"/>
    <n v="4.4800000000000004"/>
    <n v="5.14"/>
  </r>
  <r>
    <x v="2"/>
    <s v="Convenience stores"/>
    <x v="4"/>
    <s v="Kimberley Clark"/>
    <s v="|61/01/44|"/>
    <n v="708"/>
    <n v="4.95"/>
    <n v="5.12"/>
  </r>
  <r>
    <x v="2"/>
    <s v="Convenience stores"/>
    <x v="4"/>
    <s v="Kimberley Clark"/>
    <s v="|61/01/45|"/>
    <n v="696"/>
    <n v="4.13"/>
    <n v="5.38"/>
  </r>
  <r>
    <x v="2"/>
    <s v="Convenience stores"/>
    <x v="4"/>
    <s v="Kimberley Clark"/>
    <s v="|61/01/46|"/>
    <n v="492"/>
    <n v="4.6900000000000004"/>
    <n v="5.36"/>
  </r>
  <r>
    <x v="2"/>
    <s v="Convenience stores"/>
    <x v="4"/>
    <s v="Kimberley Clark"/>
    <s v="|61/01/47|"/>
    <n v="408"/>
    <n v="4.82"/>
    <n v="5.26"/>
  </r>
  <r>
    <x v="2"/>
    <s v="Convenience stores"/>
    <x v="4"/>
    <s v="Kimberley Clark"/>
    <s v="|61/01/48|"/>
    <n v="552"/>
    <n v="4.2300000000000004"/>
    <n v="5.18"/>
  </r>
  <r>
    <x v="2"/>
    <s v="Convenience stores"/>
    <x v="4"/>
    <s v="Kimberley Clark"/>
    <s v="|61/01/49|"/>
    <n v="336"/>
    <n v="4.2"/>
    <n v="5.28"/>
  </r>
  <r>
    <x v="2"/>
    <s v="Convenience stores"/>
    <x v="4"/>
    <s v="Kimberley Clark"/>
    <s v="|61/01/50|"/>
    <n v="672"/>
    <n v="4.72"/>
    <n v="5.05"/>
  </r>
  <r>
    <x v="2"/>
    <s v="Convenience stores"/>
    <x v="4"/>
    <s v="Kimberley Clark"/>
    <s v="|61/01/51|"/>
    <n v="336"/>
    <n v="4.1500000000000004"/>
    <n v="5.34"/>
  </r>
  <r>
    <x v="2"/>
    <s v="Convenience stores"/>
    <x v="4"/>
    <s v="Kimberley Clark"/>
    <s v="|61/01/52|"/>
    <n v="372"/>
    <n v="4.2"/>
    <n v="5.14"/>
  </r>
  <r>
    <x v="2"/>
    <s v="Convenience stores"/>
    <x v="4"/>
    <s v="Kimberley Clark"/>
    <s v="|61/01/53|"/>
    <n v="300"/>
    <n v="4.12"/>
    <n v="5.39"/>
  </r>
  <r>
    <x v="2"/>
    <s v="Convenience stores"/>
    <x v="4"/>
    <s v="Kimberley Clark"/>
    <s v="|61/01/54|"/>
    <n v="372"/>
    <n v="4.33"/>
    <n v="5.33"/>
  </r>
  <r>
    <x v="2"/>
    <s v="Convenience stores"/>
    <x v="4"/>
    <s v="Kimberley Clark"/>
    <s v="|61/01/55|"/>
    <n v="384"/>
    <n v="4.6100000000000003"/>
    <n v="5.17"/>
  </r>
  <r>
    <x v="2"/>
    <s v="Convenience stores"/>
    <x v="4"/>
    <s v="Kimberley Clark"/>
    <s v="|61/01/56|"/>
    <n v="396"/>
    <n v="4.72"/>
    <n v="5.16"/>
  </r>
  <r>
    <x v="2"/>
    <s v="Convenience stores"/>
    <x v="4"/>
    <s v="Kimberley Clark"/>
    <s v="|61/01/57|"/>
    <n v="480"/>
    <n v="4.3899999999999997"/>
    <n v="5.0999999999999996"/>
  </r>
  <r>
    <x v="2"/>
    <s v="Convenience stores"/>
    <x v="4"/>
    <s v="Kimberley Clark"/>
    <s v="|61/01/58|"/>
    <n v="456"/>
    <n v="4.5599999999999996"/>
    <n v="5.05"/>
  </r>
  <r>
    <x v="2"/>
    <s v="Convenience stores"/>
    <x v="4"/>
    <s v="Kimberley Clark"/>
    <s v="|61/01/59|"/>
    <n v="528"/>
    <n v="4.87"/>
    <n v="5.28"/>
  </r>
  <r>
    <x v="2"/>
    <s v="Convenience stores"/>
    <x v="4"/>
    <s v="Kimberley Clark"/>
    <s v="|61/01/60|"/>
    <n v="504"/>
    <n v="4.46"/>
    <n v="5.19"/>
  </r>
  <r>
    <x v="2"/>
    <s v="Convenience stores"/>
    <x v="4"/>
    <s v="Kimberley Clark"/>
    <s v="|61/01/61|"/>
    <n v="480"/>
    <n v="4.66"/>
    <n v="5.18"/>
  </r>
  <r>
    <x v="2"/>
    <s v="Convenience stores"/>
    <x v="4"/>
    <s v="Kimberley Clark"/>
    <s v="|61/01/62|"/>
    <n v="420"/>
    <n v="4.16"/>
    <n v="5.17"/>
  </r>
  <r>
    <x v="2"/>
    <s v="Convenience stores"/>
    <x v="4"/>
    <s v="Kimberley Clark"/>
    <s v="|61/01/63|"/>
    <n v="672"/>
    <n v="4.99"/>
    <n v="5"/>
  </r>
  <r>
    <x v="2"/>
    <s v="Convenience stores"/>
    <x v="4"/>
    <s v="Kimberley Clark"/>
    <s v="|61/01/64|"/>
    <n v="288"/>
    <n v="4.21"/>
    <n v="5.09"/>
  </r>
  <r>
    <x v="2"/>
    <s v="Convenience stores"/>
    <x v="4"/>
    <s v="Kimberley Clark"/>
    <s v="|61/01/65|"/>
    <n v="348"/>
    <n v="4.4000000000000004"/>
    <n v="5.09"/>
  </r>
  <r>
    <x v="2"/>
    <s v="Convenience stores"/>
    <x v="4"/>
    <s v="Kimberley Clark"/>
    <s v="|61/01/66|"/>
    <n v="720"/>
    <n v="4.24"/>
    <n v="5.24"/>
  </r>
  <r>
    <x v="2"/>
    <s v="Convenience stores"/>
    <x v="4"/>
    <s v="Kimberley Clark"/>
    <s v="|61/01/67|"/>
    <n v="468"/>
    <n v="4.2300000000000004"/>
    <n v="5.15"/>
  </r>
  <r>
    <x v="2"/>
    <s v="Convenience stores"/>
    <x v="4"/>
    <s v="Kimberley Clark"/>
    <s v="|61/01/68|"/>
    <n v="540"/>
    <n v="4.17"/>
    <n v="5.37"/>
  </r>
  <r>
    <x v="2"/>
    <s v="Convenience stores"/>
    <x v="4"/>
    <s v="Kimberley Clark"/>
    <s v="|61/01/69|"/>
    <n v="324"/>
    <n v="4.25"/>
    <n v="5"/>
  </r>
  <r>
    <x v="2"/>
    <s v="Convenience stores"/>
    <x v="4"/>
    <s v="Kimberley Clark"/>
    <s v="|61/01/70|"/>
    <n v="360"/>
    <n v="4.33"/>
    <n v="5.21"/>
  </r>
  <r>
    <x v="2"/>
    <s v="Convenience stores"/>
    <x v="4"/>
    <s v="Kimberley Clark"/>
    <s v="|61/01/71|"/>
    <n v="708"/>
    <n v="4.72"/>
    <n v="5.03"/>
  </r>
  <r>
    <x v="2"/>
    <s v="Convenience stores"/>
    <x v="4"/>
    <s v="Kimberley Clark"/>
    <s v="|61/01/72*|"/>
    <n v="360"/>
    <n v="4.99"/>
    <n v="5.13"/>
  </r>
  <r>
    <x v="2"/>
    <s v="Convenience stores"/>
    <x v="4"/>
    <s v="Kimberley Clark"/>
    <s v="|61/01/75|"/>
    <n v="468"/>
    <n v="4.54"/>
    <n v="5.01"/>
  </r>
  <r>
    <x v="2"/>
    <s v="Convenience stores"/>
    <x v="4"/>
    <s v="Kimberley Clark"/>
    <s v="|61/01/76|"/>
    <n v="408"/>
    <n v="4.7"/>
    <n v="5.38"/>
  </r>
  <r>
    <x v="2"/>
    <s v="Convenience stores"/>
    <x v="4"/>
    <s v="Kimberley Clark"/>
    <s v="|61/01/77|"/>
    <n v="264"/>
    <n v="4.25"/>
    <n v="5.05"/>
  </r>
  <r>
    <x v="2"/>
    <s v="Convenience stores"/>
    <x v="3"/>
    <s v="Salvadori"/>
    <s v="|26/02/01|"/>
    <n v="72"/>
    <n v="1.0900000000000001"/>
    <n v="1.2"/>
  </r>
  <r>
    <x v="2"/>
    <s v="Convenience stores"/>
    <x v="3"/>
    <s v="Salvadori"/>
    <s v="|26/02/02|"/>
    <n v="60"/>
    <n v="1.1200000000000001"/>
    <n v="1.39"/>
  </r>
  <r>
    <x v="2"/>
    <s v="Convenience stores"/>
    <x v="3"/>
    <s v="Salvadori"/>
    <s v="|26/02/03|"/>
    <n v="72"/>
    <n v="1.06"/>
    <n v="1.38"/>
  </r>
  <r>
    <x v="2"/>
    <s v="Convenience stores"/>
    <x v="3"/>
    <s v="Salvadori"/>
    <s v="|26/02/04|"/>
    <n v="48"/>
    <n v="1.04"/>
    <n v="1.29"/>
  </r>
  <r>
    <x v="2"/>
    <s v="Convenience stores"/>
    <x v="3"/>
    <s v="Salvadori"/>
    <s v="|26/02/05|"/>
    <n v="48"/>
    <n v="1.04"/>
    <n v="1.2"/>
  </r>
  <r>
    <x v="2"/>
    <s v="Convenience stores"/>
    <x v="3"/>
    <s v="Salvadori"/>
    <s v="|26/02/06|"/>
    <n v="48"/>
    <n v="1.1299999999999999"/>
    <n v="1.3"/>
  </r>
  <r>
    <x v="2"/>
    <s v="Convenience stores"/>
    <x v="3"/>
    <s v="Salvadori"/>
    <s v="|26/02/07|"/>
    <n v="60"/>
    <n v="1.1599999999999999"/>
    <n v="1.4"/>
  </r>
  <r>
    <x v="2"/>
    <s v="Convenience stores"/>
    <x v="3"/>
    <s v="Salvadori"/>
    <s v="|26/02/08|"/>
    <n v="48"/>
    <n v="1.1299999999999999"/>
    <n v="1.35"/>
  </r>
  <r>
    <x v="2"/>
    <s v="Convenience stores"/>
    <x v="3"/>
    <s v="Salvadori"/>
    <s v="|26/02/09|"/>
    <n v="60"/>
    <n v="1.1499999999999999"/>
    <n v="1.37"/>
  </r>
  <r>
    <x v="2"/>
    <s v="Convenience stores"/>
    <x v="3"/>
    <s v="Salvadori"/>
    <s v="|26/02/10|"/>
    <n v="60"/>
    <n v="1.0900000000000001"/>
    <n v="1.26"/>
  </r>
  <r>
    <x v="2"/>
    <s v="Convenience stores"/>
    <x v="3"/>
    <s v="Salvadori"/>
    <s v="|26/02/11|"/>
    <n v="72"/>
    <n v="1.05"/>
    <n v="1.29"/>
  </r>
  <r>
    <x v="2"/>
    <s v="Convenience stores"/>
    <x v="3"/>
    <s v="Salvadori"/>
    <s v="|26/02/12|"/>
    <n v="72"/>
    <n v="1.1399999999999999"/>
    <n v="1.27"/>
  </r>
  <r>
    <x v="2"/>
    <s v="Convenience stores"/>
    <x v="3"/>
    <s v="Salvadori"/>
    <s v="|26/02/13|"/>
    <n v="60"/>
    <n v="1.2"/>
    <n v="1.39"/>
  </r>
  <r>
    <x v="2"/>
    <s v="Convenience stores"/>
    <x v="3"/>
    <s v="Salvadori"/>
    <s v="|26/02/14|"/>
    <n v="48"/>
    <n v="1.06"/>
    <n v="1.37"/>
  </r>
  <r>
    <x v="2"/>
    <s v="Convenience stores"/>
    <x v="3"/>
    <s v="Salvadori"/>
    <s v="|26/02/15|"/>
    <n v="48"/>
    <n v="1.03"/>
    <n v="1.27"/>
  </r>
  <r>
    <x v="2"/>
    <s v="Convenience stores"/>
    <x v="3"/>
    <s v="Salvadori"/>
    <s v="|26/02/16|"/>
    <n v="60"/>
    <n v="1.1100000000000001"/>
    <n v="1.28"/>
  </r>
  <r>
    <x v="2"/>
    <s v="Convenience stores"/>
    <x v="3"/>
    <s v="Salvadori"/>
    <s v="|26/02/17|"/>
    <n v="60"/>
    <n v="1.1000000000000001"/>
    <n v="1.21"/>
  </r>
  <r>
    <x v="2"/>
    <s v="Convenience stores"/>
    <x v="3"/>
    <s v="Salvadori"/>
    <s v="|26/02/18|"/>
    <n v="48"/>
    <n v="1.07"/>
    <n v="1.29"/>
  </r>
  <r>
    <x v="2"/>
    <s v="Convenience stores"/>
    <x v="3"/>
    <s v="Salvadori"/>
    <s v="|26/02/19|"/>
    <n v="60"/>
    <n v="1.1399999999999999"/>
    <n v="1.3"/>
  </r>
  <r>
    <x v="2"/>
    <s v="Convenience stores"/>
    <x v="3"/>
    <s v="Salvadori"/>
    <s v="|26/02/20|"/>
    <n v="60"/>
    <n v="1.01"/>
    <n v="1.2"/>
  </r>
  <r>
    <x v="2"/>
    <s v="Convenience stores"/>
    <x v="3"/>
    <s v="Salvadori"/>
    <s v="|26/02/21|"/>
    <n v="72"/>
    <n v="1.2"/>
    <n v="1.3"/>
  </r>
  <r>
    <x v="2"/>
    <s v="Convenience stores"/>
    <x v="3"/>
    <s v="Salvadori"/>
    <s v="|26/02/22|"/>
    <n v="60"/>
    <n v="1.08"/>
    <n v="1.39"/>
  </r>
  <r>
    <x v="2"/>
    <s v="Convenience stores"/>
    <x v="3"/>
    <s v="Salvadori"/>
    <s v="|26/02/23|"/>
    <n v="60"/>
    <n v="1.06"/>
    <n v="1.25"/>
  </r>
  <r>
    <x v="2"/>
    <s v="Convenience stores"/>
    <x v="3"/>
    <s v="Salvadori"/>
    <s v="|26/02/24|"/>
    <n v="48"/>
    <n v="1.1599999999999999"/>
    <n v="1.37"/>
  </r>
  <r>
    <x v="2"/>
    <s v="Convenience stores"/>
    <x v="3"/>
    <s v="Salvadori"/>
    <s v="|26/02/25|"/>
    <n v="48"/>
    <n v="1.1200000000000001"/>
    <n v="1.23"/>
  </r>
  <r>
    <x v="2"/>
    <s v="Convenience stores"/>
    <x v="3"/>
    <s v="Salvadori"/>
    <s v="|26/02/26|"/>
    <n v="60"/>
    <n v="1.1599999999999999"/>
    <n v="1.36"/>
  </r>
  <r>
    <x v="2"/>
    <s v="Convenience stores"/>
    <x v="3"/>
    <s v="Salvadori"/>
    <s v="|26/02/27|"/>
    <n v="60"/>
    <n v="1"/>
    <n v="1.38"/>
  </r>
  <r>
    <x v="2"/>
    <s v="Convenience stores"/>
    <x v="3"/>
    <s v="Salvadori"/>
    <s v="|26/02/28|"/>
    <n v="72"/>
    <n v="1.1599999999999999"/>
    <n v="1.4"/>
  </r>
  <r>
    <x v="2"/>
    <s v="Convenience stores"/>
    <x v="3"/>
    <s v="Salvadori"/>
    <s v="|26/02/29|"/>
    <n v="72"/>
    <n v="1.1200000000000001"/>
    <n v="1.3"/>
  </r>
  <r>
    <x v="2"/>
    <s v="Convenience stores"/>
    <x v="3"/>
    <s v="Salvadori"/>
    <s v="|26/02/30|"/>
    <n v="60"/>
    <n v="1.1499999999999999"/>
    <n v="1.25"/>
  </r>
  <r>
    <x v="2"/>
    <s v="Convenience stores"/>
    <x v="3"/>
    <s v="Salvadori"/>
    <s v="|26/02/31|"/>
    <n v="60"/>
    <n v="1.19"/>
    <n v="1.24"/>
  </r>
  <r>
    <x v="2"/>
    <s v="Convenience stores"/>
    <x v="3"/>
    <s v="Salvadori"/>
    <s v="|26/02/32|"/>
    <n v="48"/>
    <n v="1.05"/>
    <n v="1.25"/>
  </r>
  <r>
    <x v="2"/>
    <s v="Convenience stores"/>
    <x v="3"/>
    <s v="Salvadori"/>
    <s v="|26/02/33|"/>
    <n v="48"/>
    <n v="1.06"/>
    <n v="1.36"/>
  </r>
  <r>
    <x v="2"/>
    <s v="Convenience stores"/>
    <x v="3"/>
    <s v="Salvadori"/>
    <s v="|26/02/50|"/>
    <n v="48"/>
    <n v="1.1299999999999999"/>
    <n v="1.32"/>
  </r>
  <r>
    <x v="2"/>
    <s v="Convenience stores"/>
    <x v="3"/>
    <s v="Salvadori"/>
    <s v="|26/02/51|"/>
    <n v="48"/>
    <n v="1.1299999999999999"/>
    <n v="1.38"/>
  </r>
  <r>
    <x v="2"/>
    <s v="Convenience stores"/>
    <x v="3"/>
    <s v="Salvadori"/>
    <s v="|26/02/52|"/>
    <n v="60"/>
    <n v="1.07"/>
    <n v="1.37"/>
  </r>
  <r>
    <x v="2"/>
    <s v="Convenience stores"/>
    <x v="3"/>
    <s v="Salvadori"/>
    <s v="|26/02/53|"/>
    <n v="72"/>
    <n v="1.02"/>
    <n v="1.26"/>
  </r>
  <r>
    <x v="2"/>
    <s v="Convenience stores"/>
    <x v="3"/>
    <s v="Salvadori"/>
    <s v="|26/02/54|"/>
    <n v="60"/>
    <n v="1.1299999999999999"/>
    <n v="1.33"/>
  </r>
  <r>
    <x v="2"/>
    <s v="Convenience stores"/>
    <x v="3"/>
    <s v="Salvadori"/>
    <s v="|26/02/55|"/>
    <n v="60"/>
    <n v="1.01"/>
    <n v="1.34"/>
  </r>
  <r>
    <x v="2"/>
    <s v="Convenience stores"/>
    <x v="3"/>
    <s v="Salvadori"/>
    <s v="|26/02/56|"/>
    <n v="72"/>
    <n v="1"/>
    <n v="1.3"/>
  </r>
  <r>
    <x v="2"/>
    <s v="Convenience stores"/>
    <x v="3"/>
    <s v="Salvadori"/>
    <s v="|26/02/57|"/>
    <n v="48"/>
    <n v="1.1299999999999999"/>
    <n v="1.29"/>
  </r>
  <r>
    <x v="2"/>
    <s v="Convenience stores"/>
    <x v="3"/>
    <s v="Salvadori"/>
    <s v="|26/02/58|"/>
    <n v="60"/>
    <n v="1.17"/>
    <n v="1.25"/>
  </r>
  <r>
    <x v="2"/>
    <s v="Convenience stores"/>
    <x v="3"/>
    <s v="Salvadori"/>
    <s v="|26/02/59|"/>
    <n v="60"/>
    <n v="1.02"/>
    <n v="1.24"/>
  </r>
  <r>
    <x v="2"/>
    <s v="Convenience stores"/>
    <x v="3"/>
    <s v="Salvadori"/>
    <s v="|26/02/60|"/>
    <n v="60"/>
    <n v="1.1499999999999999"/>
    <n v="1.35"/>
  </r>
  <r>
    <x v="2"/>
    <s v="Convenience stores"/>
    <x v="3"/>
    <s v="Salvadori"/>
    <s v="|26/02/61|"/>
    <n v="72"/>
    <n v="1.04"/>
    <n v="1.21"/>
  </r>
  <r>
    <x v="2"/>
    <s v="Convenience stores"/>
    <x v="3"/>
    <s v="Salvadori"/>
    <s v="|26/02/62|"/>
    <n v="72"/>
    <n v="1.19"/>
    <n v="1.38"/>
  </r>
  <r>
    <x v="2"/>
    <s v="Convenience stores"/>
    <x v="3"/>
    <s v="Salvadori"/>
    <s v="|26/02/63|"/>
    <n v="60"/>
    <n v="1.03"/>
    <n v="1.25"/>
  </r>
  <r>
    <x v="2"/>
    <s v="Convenience stores"/>
    <x v="3"/>
    <s v="Salvadori"/>
    <s v="|26/02/64|"/>
    <n v="72"/>
    <n v="1.0900000000000001"/>
    <n v="1.29"/>
  </r>
  <r>
    <x v="2"/>
    <s v="Convenience stores"/>
    <x v="3"/>
    <s v="Salvadori"/>
    <s v="|26/02/65|"/>
    <n v="48"/>
    <n v="1.1599999999999999"/>
    <n v="1.27"/>
  </r>
  <r>
    <x v="2"/>
    <s v="Convenience stores"/>
    <x v="3"/>
    <s v="Salvadori"/>
    <s v="|26/02/66|"/>
    <n v="48"/>
    <n v="1.1299999999999999"/>
    <n v="1.29"/>
  </r>
  <r>
    <x v="2"/>
    <s v="Convenience stores"/>
    <x v="3"/>
    <s v="Salvadori"/>
    <s v="|26/02/67|"/>
    <n v="72"/>
    <n v="1.1399999999999999"/>
    <n v="1.26"/>
  </r>
  <r>
    <x v="2"/>
    <s v="Convenience stores"/>
    <x v="3"/>
    <s v="Salvadori"/>
    <s v="|26/02/70|"/>
    <n v="72"/>
    <n v="1.1200000000000001"/>
    <n v="1.26"/>
  </r>
  <r>
    <x v="2"/>
    <s v="Convenience stores"/>
    <x v="3"/>
    <s v="Salvadori"/>
    <s v="|26/02/71|"/>
    <n v="60"/>
    <n v="1.08"/>
    <n v="1.26"/>
  </r>
  <r>
    <x v="2"/>
    <s v="Convenience stores"/>
    <x v="3"/>
    <s v="Salvadori"/>
    <s v="|26/02/72|"/>
    <n v="72"/>
    <n v="1.0900000000000001"/>
    <n v="1.24"/>
  </r>
  <r>
    <x v="2"/>
    <s v="Convenience stores"/>
    <x v="3"/>
    <s v="Salvadori"/>
    <s v="|26/02/73|"/>
    <n v="60"/>
    <n v="1.03"/>
    <n v="1.23"/>
  </r>
  <r>
    <x v="2"/>
    <s v="Convenience stores"/>
    <x v="3"/>
    <s v="Salvadori"/>
    <s v="|26/02/74|"/>
    <n v="72"/>
    <n v="1.0900000000000001"/>
    <n v="1.31"/>
  </r>
  <r>
    <x v="2"/>
    <s v="Convenience stores"/>
    <x v="3"/>
    <s v="Salvadori"/>
    <s v="|26/02/75|"/>
    <n v="48"/>
    <n v="1.18"/>
    <n v="1.37"/>
  </r>
  <r>
    <x v="2"/>
    <s v="Convenience stores"/>
    <x v="3"/>
    <s v="Salvadori"/>
    <s v="|26/02/76|"/>
    <n v="60"/>
    <n v="1.1299999999999999"/>
    <n v="1.2"/>
  </r>
  <r>
    <x v="2"/>
    <s v="Convenience stores"/>
    <x v="3"/>
    <s v="Salvadori"/>
    <s v="|26/02/77|"/>
    <n v="60"/>
    <n v="1.0900000000000001"/>
    <n v="1.26"/>
  </r>
  <r>
    <x v="2"/>
    <s v="Convenience stores"/>
    <x v="3"/>
    <s v="Salvadori"/>
    <s v="|26/02/78|"/>
    <n v="60"/>
    <n v="1.1399999999999999"/>
    <n v="1.27"/>
  </r>
  <r>
    <x v="2"/>
    <s v="Convenience stores"/>
    <x v="3"/>
    <s v="Salvadori"/>
    <s v="|26/02/79|"/>
    <n v="72"/>
    <n v="1.1200000000000001"/>
    <n v="1.26"/>
  </r>
  <r>
    <x v="2"/>
    <s v="Convenience stores"/>
    <x v="3"/>
    <s v="Salvadori"/>
    <s v="|26/02/80|"/>
    <n v="60"/>
    <n v="1.1100000000000001"/>
    <n v="1.22"/>
  </r>
  <r>
    <x v="2"/>
    <s v="Convenience stores"/>
    <x v="3"/>
    <s v="Salvadori"/>
    <s v="|26/02/81|"/>
    <n v="60"/>
    <n v="1.07"/>
    <n v="1.27"/>
  </r>
  <r>
    <x v="2"/>
    <s v="Convenience stores"/>
    <x v="3"/>
    <s v="Salvadori"/>
    <s v="|26/02/82|"/>
    <n v="48"/>
    <n v="1.04"/>
    <n v="1.21"/>
  </r>
  <r>
    <x v="2"/>
    <s v="Convenience stores"/>
    <x v="3"/>
    <s v="Salvadori"/>
    <s v="|26/02/98|"/>
    <n v="72"/>
    <n v="1.07"/>
    <n v="1.2"/>
  </r>
  <r>
    <x v="2"/>
    <s v="Convenience stores"/>
    <x v="3"/>
    <s v="Salvadori"/>
    <s v="|26/02/99|"/>
    <n v="60"/>
    <n v="1.18"/>
    <n v="1.25"/>
  </r>
  <r>
    <x v="2"/>
    <s v="Convenience stores"/>
    <x v="3"/>
    <s v="Salvadori"/>
    <s v="|26/03/01|"/>
    <n v="72"/>
    <n v="1.0900000000000001"/>
    <n v="1.28"/>
  </r>
  <r>
    <x v="2"/>
    <s v="Convenience stores"/>
    <x v="3"/>
    <s v="Salvadori"/>
    <s v="|26/03/02|"/>
    <n v="72"/>
    <n v="1.06"/>
    <n v="1.26"/>
  </r>
  <r>
    <x v="2"/>
    <s v="Convenience stores"/>
    <x v="3"/>
    <s v="Salvadori"/>
    <s v="|26/03/03|"/>
    <n v="60"/>
    <n v="1.05"/>
    <n v="1.38"/>
  </r>
  <r>
    <x v="2"/>
    <s v="Convenience stores"/>
    <x v="3"/>
    <s v="Salvadori"/>
    <s v="|26/03/04|"/>
    <n v="72"/>
    <n v="1.1599999999999999"/>
    <n v="1.31"/>
  </r>
  <r>
    <x v="2"/>
    <s v="Convenience stores"/>
    <x v="3"/>
    <s v="Salvadori"/>
    <s v="|26/03/05|"/>
    <n v="60"/>
    <n v="1.1499999999999999"/>
    <n v="1.25"/>
  </r>
  <r>
    <x v="2"/>
    <s v="Convenience stores"/>
    <x v="3"/>
    <s v="Salvadori"/>
    <s v="|26/99/91|"/>
    <n v="48"/>
    <n v="1.1399999999999999"/>
    <n v="1.35"/>
  </r>
  <r>
    <x v="2"/>
    <s v="Convenience stores"/>
    <x v="3"/>
    <s v="Salvadori"/>
    <s v="|26/99/92|"/>
    <n v="72"/>
    <n v="1.01"/>
    <n v="1.21"/>
  </r>
  <r>
    <x v="2"/>
    <s v="Convenience stores"/>
    <x v="3"/>
    <s v="Salvadori"/>
    <s v="|26/99/93|"/>
    <n v="48"/>
    <n v="1.17"/>
    <n v="1.39"/>
  </r>
  <r>
    <x v="2"/>
    <s v="Convenience stores"/>
    <x v="3"/>
    <s v="Salvadori"/>
    <s v="|26/99/94|"/>
    <n v="60"/>
    <n v="1.18"/>
    <n v="1.31"/>
  </r>
  <r>
    <x v="2"/>
    <s v="Convenience stores"/>
    <x v="3"/>
    <s v="Salvadori"/>
    <s v="|26/99/95|"/>
    <n v="72"/>
    <n v="1.2"/>
    <n v="1.24"/>
  </r>
  <r>
    <x v="2"/>
    <s v="Convenience stores"/>
    <x v="3"/>
    <s v="Salvadori"/>
    <s v="|26/99/96|"/>
    <n v="48"/>
    <n v="1.17"/>
    <n v="1.25"/>
  </r>
  <r>
    <x v="2"/>
    <s v="Convenience stores"/>
    <x v="3"/>
    <s v="Salvadori"/>
    <s v="|26/99/97|"/>
    <n v="48"/>
    <n v="1.1000000000000001"/>
    <n v="1.39"/>
  </r>
  <r>
    <x v="2"/>
    <s v="Convenience stores"/>
    <x v="3"/>
    <s v="Salvadori"/>
    <s v="|26/99/103|"/>
    <n v="72"/>
    <n v="1.17"/>
    <n v="1.36"/>
  </r>
  <r>
    <x v="2"/>
    <s v="Convenience stores"/>
    <x v="3"/>
    <s v="Salvadori"/>
    <s v="|73/01/01|"/>
    <n v="72"/>
    <n v="1.04"/>
    <n v="1.36"/>
  </r>
  <r>
    <x v="2"/>
    <s v="Convenience stores"/>
    <x v="6"/>
    <s v="Momo figli"/>
    <s v="|67/01/01|"/>
    <n v="2004"/>
    <n v="2.4300000000000002"/>
    <n v="3.84"/>
  </r>
  <r>
    <x v="2"/>
    <s v="Convenience stores"/>
    <x v="6"/>
    <s v="Momo figli"/>
    <s v="|67/01/02|"/>
    <n v="2616"/>
    <n v="2.76"/>
    <n v="3.71"/>
  </r>
  <r>
    <x v="2"/>
    <s v="Convenience stores"/>
    <x v="6"/>
    <s v="Momo figli"/>
    <s v="|67/01/03|"/>
    <n v="2496"/>
    <n v="2.44"/>
    <n v="3.33"/>
  </r>
  <r>
    <x v="2"/>
    <s v="Convenience stores"/>
    <x v="6"/>
    <s v="Momo figli"/>
    <s v="|67/01/04|"/>
    <n v="2292"/>
    <n v="2.85"/>
    <n v="3.42"/>
  </r>
  <r>
    <x v="2"/>
    <s v="Convenience stores"/>
    <x v="6"/>
    <s v="Momo figli"/>
    <s v="|67/01/05|"/>
    <n v="1344"/>
    <n v="2.34"/>
    <n v="3.99"/>
  </r>
  <r>
    <x v="2"/>
    <s v="Convenience stores"/>
    <x v="6"/>
    <s v="Momo figli"/>
    <s v="|67/01/06|"/>
    <n v="1932"/>
    <n v="2.95"/>
    <n v="3.98"/>
  </r>
  <r>
    <x v="2"/>
    <s v="Convenience stores"/>
    <x v="6"/>
    <s v="Momo figli"/>
    <s v="|67/01/07|"/>
    <n v="1800"/>
    <n v="2.38"/>
    <n v="3.76"/>
  </r>
  <r>
    <x v="2"/>
    <s v="Convenience stores"/>
    <x v="6"/>
    <s v="Momo figli"/>
    <s v="|67/01/08|"/>
    <n v="2100"/>
    <n v="2.66"/>
    <n v="3.69"/>
  </r>
  <r>
    <x v="2"/>
    <s v="Convenience stores"/>
    <x v="6"/>
    <s v="Momo figli"/>
    <s v="|67/01/09|"/>
    <n v="2484"/>
    <n v="2.4500000000000002"/>
    <n v="3.93"/>
  </r>
  <r>
    <x v="2"/>
    <s v="Convenience stores"/>
    <x v="1"/>
    <s v="Serwis"/>
    <s v="|99/02/01|"/>
    <n v="600"/>
    <n v="5.5066666666666668"/>
    <n v="7.8133333333333335"/>
  </r>
  <r>
    <x v="2"/>
    <s v="Convenience stores"/>
    <x v="1"/>
    <s v="Serwis"/>
    <s v="|99/02/02|"/>
    <n v="564"/>
    <n v="6.2266666666666666"/>
    <n v="7.4666666666666668"/>
  </r>
  <r>
    <x v="2"/>
    <s v="Convenience stores"/>
    <x v="1"/>
    <s v="Serwis"/>
    <s v="|99/02/03|"/>
    <n v="468"/>
    <n v="5.94"/>
    <n v="8.2733333333333334"/>
  </r>
  <r>
    <x v="2"/>
    <s v="Convenience stores"/>
    <x v="1"/>
    <s v="Serwis"/>
    <s v="|99/02/04|"/>
    <n v="576"/>
    <n v="6.3066666666666666"/>
    <n v="7.5666666666666664"/>
  </r>
  <r>
    <x v="2"/>
    <s v="Convenience stores"/>
    <x v="1"/>
    <s v="Serwis"/>
    <s v="|99/02/08|"/>
    <n v="564"/>
    <n v="5.6066666666666665"/>
    <n v="7.6133333333333333"/>
  </r>
  <r>
    <x v="2"/>
    <s v="Convenience stores"/>
    <x v="1"/>
    <s v="Serwis"/>
    <s v="|127/02/01|"/>
    <n v="408"/>
    <n v="5.9933333333333332"/>
    <n v="7.56"/>
  </r>
  <r>
    <x v="2"/>
    <s v="Convenience stores"/>
    <x v="4"/>
    <s v="St.Dalfour"/>
    <s v="|24/28/01|"/>
    <n v="480"/>
    <n v="4.71"/>
    <n v="5.27"/>
  </r>
  <r>
    <x v="2"/>
    <s v="Convenience stores"/>
    <x v="4"/>
    <s v="St.Dalfour"/>
    <s v="|24/28/02|"/>
    <n v="516"/>
    <n v="4.5"/>
    <n v="5.24"/>
  </r>
  <r>
    <x v="2"/>
    <s v="Convenience stores"/>
    <x v="4"/>
    <s v="St.Dalfour"/>
    <s v="|24/28/03|"/>
    <n v="456"/>
    <n v="4.5999999999999996"/>
    <n v="5.3"/>
  </r>
  <r>
    <x v="2"/>
    <s v="Convenience stores"/>
    <x v="4"/>
    <s v="St.Dalfour"/>
    <s v="|24/28/04|"/>
    <n v="276"/>
    <n v="4.01"/>
    <n v="5.33"/>
  </r>
  <r>
    <x v="2"/>
    <s v="Convenience stores"/>
    <x v="4"/>
    <s v="St.Dalfour"/>
    <s v="|24/28/05|"/>
    <n v="396"/>
    <n v="4.82"/>
    <n v="5.27"/>
  </r>
  <r>
    <x v="2"/>
    <s v="Convenience stores"/>
    <x v="4"/>
    <s v="St.Dalfour"/>
    <s v="|24/28/06|"/>
    <n v="456"/>
    <n v="4.88"/>
    <n v="5.13"/>
  </r>
  <r>
    <x v="2"/>
    <s v="Convenience stores"/>
    <x v="4"/>
    <s v="St.Dalfour"/>
    <s v="|24/28/07|"/>
    <n v="468"/>
    <n v="4.33"/>
    <n v="5.17"/>
  </r>
  <r>
    <x v="2"/>
    <s v="Convenience stores"/>
    <x v="10"/>
    <s v="St.Dalfour"/>
    <s v="|120/01/13|"/>
    <n v="504"/>
    <n v="3.34"/>
    <n v="5.23"/>
  </r>
  <r>
    <x v="2"/>
    <s v="Convenience stores"/>
    <x v="10"/>
    <s v="St.Dalfour"/>
    <s v="|24/01/01|"/>
    <n v="540"/>
    <n v="3.74"/>
    <n v="5.19"/>
  </r>
  <r>
    <x v="2"/>
    <s v="Convenience stores"/>
    <x v="10"/>
    <s v="St.Dalfour"/>
    <s v="|24/01/02|"/>
    <n v="540"/>
    <n v="4.41"/>
    <n v="6.8"/>
  </r>
  <r>
    <x v="2"/>
    <s v="Convenience stores"/>
    <x v="10"/>
    <s v="St.Dalfour"/>
    <s v="|24/01/03|"/>
    <n v="420"/>
    <n v="3.74"/>
    <n v="5.48"/>
  </r>
  <r>
    <x v="2"/>
    <s v="Convenience stores"/>
    <x v="10"/>
    <s v="St.Dalfour"/>
    <s v="|24/01/04|"/>
    <n v="372"/>
    <n v="3.74"/>
    <n v="5.76"/>
  </r>
  <r>
    <x v="2"/>
    <s v="Convenience stores"/>
    <x v="10"/>
    <s v="St.Dalfour"/>
    <s v="|24/01/05|"/>
    <n v="360"/>
    <n v="3.19"/>
    <n v="5"/>
  </r>
  <r>
    <x v="2"/>
    <s v="Convenience stores"/>
    <x v="10"/>
    <s v="St.Dalfour"/>
    <s v="|24/01/06|"/>
    <n v="468"/>
    <n v="3.79"/>
    <n v="6.44"/>
  </r>
  <r>
    <x v="2"/>
    <s v="Convenience stores"/>
    <x v="10"/>
    <s v="St.Dalfour"/>
    <s v="|24/01/07|"/>
    <n v="540"/>
    <n v="3.64"/>
    <n v="6.37"/>
  </r>
  <r>
    <x v="2"/>
    <s v="Convenience stores"/>
    <x v="10"/>
    <s v="St.Dalfour"/>
    <s v="|24/01/08|"/>
    <n v="396"/>
    <n v="3.85"/>
    <n v="6.52"/>
  </r>
  <r>
    <x v="2"/>
    <s v="Convenience stores"/>
    <x v="10"/>
    <s v="St.Dalfour"/>
    <s v="|24/01/09|"/>
    <n v="456"/>
    <n v="3.83"/>
    <n v="6.1"/>
  </r>
  <r>
    <x v="2"/>
    <s v="Convenience stores"/>
    <x v="10"/>
    <s v="St.Dalfour"/>
    <s v="|24/01/30|"/>
    <n v="492"/>
    <n v="4.71"/>
    <n v="5.57"/>
  </r>
  <r>
    <x v="2"/>
    <s v="Convenience stores"/>
    <x v="10"/>
    <s v="St.Dalfour"/>
    <s v="|24/01/31|"/>
    <n v="456"/>
    <n v="4.72"/>
    <n v="5.78"/>
  </r>
  <r>
    <x v="2"/>
    <s v="Convenience stores"/>
    <x v="10"/>
    <s v="St.Dalfour"/>
    <s v="|24/01/32|"/>
    <n v="516"/>
    <n v="3.97"/>
    <n v="5.68"/>
  </r>
  <r>
    <x v="2"/>
    <s v="Convenience stores"/>
    <x v="10"/>
    <s v="St.Dalfour"/>
    <s v="|24/01/33|"/>
    <n v="444"/>
    <n v="3.45"/>
    <n v="5.08"/>
  </r>
  <r>
    <x v="2"/>
    <s v="Convenience stores"/>
    <x v="10"/>
    <s v="St.Dalfour"/>
    <s v="|24/01/34|"/>
    <n v="444"/>
    <n v="3.52"/>
    <n v="5.19"/>
  </r>
  <r>
    <x v="2"/>
    <s v="Convenience stores"/>
    <x v="10"/>
    <s v="St.Dalfour"/>
    <s v="|24/01/35|"/>
    <n v="360"/>
    <n v="4.62"/>
    <n v="5.94"/>
  </r>
  <r>
    <x v="2"/>
    <s v="Convenience stores"/>
    <x v="10"/>
    <s v="St.Dalfour"/>
    <s v="|24/01/36|"/>
    <n v="456"/>
    <n v="4.8"/>
    <n v="6.39"/>
  </r>
  <r>
    <x v="2"/>
    <s v="Convenience stores"/>
    <x v="10"/>
    <s v="St.Dalfour"/>
    <s v="|24/01/37|"/>
    <n v="540"/>
    <n v="3.52"/>
    <n v="6.7"/>
  </r>
  <r>
    <x v="2"/>
    <s v="Convenience stores"/>
    <x v="10"/>
    <s v="St.Dalfour"/>
    <s v="|24/01/38|"/>
    <n v="492"/>
    <n v="4.4400000000000004"/>
    <n v="6.81"/>
  </r>
  <r>
    <x v="2"/>
    <s v="Convenience stores"/>
    <x v="10"/>
    <s v="St.Dalfour"/>
    <s v="|24/24/01|"/>
    <n v="420"/>
    <n v="4.01"/>
    <n v="5.8"/>
  </r>
  <r>
    <x v="2"/>
    <s v="Convenience stores"/>
    <x v="10"/>
    <s v="St.Dalfour"/>
    <s v="|24/24/02|"/>
    <n v="360"/>
    <n v="4.18"/>
    <n v="6.32"/>
  </r>
  <r>
    <x v="2"/>
    <s v="Convenience stores"/>
    <x v="10"/>
    <s v="St.Dalfour"/>
    <s v="|24/24/03|"/>
    <n v="384"/>
    <n v="4.96"/>
    <n v="7"/>
  </r>
  <r>
    <x v="2"/>
    <s v="Convenience stores"/>
    <x v="10"/>
    <s v="St.Dalfour"/>
    <s v="|24/24/04|"/>
    <n v="396"/>
    <n v="4.17"/>
    <n v="5.04"/>
  </r>
  <r>
    <x v="2"/>
    <s v="Convenience stores"/>
    <x v="10"/>
    <s v="St.Dalfour"/>
    <s v="|24/24/05|"/>
    <n v="384"/>
    <n v="3.39"/>
    <n v="6.9"/>
  </r>
  <r>
    <x v="2"/>
    <s v="Convenience stores"/>
    <x v="10"/>
    <s v="St.Dalfour"/>
    <s v="|24/24/06|"/>
    <n v="384"/>
    <n v="4.3899999999999997"/>
    <n v="6.54"/>
  </r>
  <r>
    <x v="2"/>
    <s v="Convenience stores"/>
    <x v="10"/>
    <s v="St.Dalfour"/>
    <s v="|24/24/07|"/>
    <n v="540"/>
    <n v="4.37"/>
    <n v="5.27"/>
  </r>
  <r>
    <x v="2"/>
    <s v="Convenience stores"/>
    <x v="10"/>
    <s v="St.Dalfour"/>
    <s v="|24/24/08|"/>
    <n v="492"/>
    <n v="4.87"/>
    <n v="5.19"/>
  </r>
  <r>
    <x v="2"/>
    <s v="Convenience stores"/>
    <x v="10"/>
    <s v="St.Dalfour"/>
    <s v="|24/24/09|"/>
    <n v="516"/>
    <n v="3.19"/>
    <n v="6.35"/>
  </r>
  <r>
    <x v="2"/>
    <s v="Convenience stores"/>
    <x v="10"/>
    <s v="St.Dalfour"/>
    <s v="|24/24/10|"/>
    <n v="384"/>
    <n v="3.77"/>
    <n v="6.72"/>
  </r>
  <r>
    <x v="2"/>
    <s v="Convenience stores"/>
    <x v="10"/>
    <s v="St.Dalfour"/>
    <s v="|24/24/11|"/>
    <n v="384"/>
    <n v="4.83"/>
    <n v="6.24"/>
  </r>
  <r>
    <x v="2"/>
    <s v="Convenience stores"/>
    <x v="10"/>
    <s v="St.Dalfour"/>
    <s v="|24/24/12|"/>
    <n v="492"/>
    <n v="3.9"/>
    <n v="6.87"/>
  </r>
  <r>
    <x v="2"/>
    <s v="Convenience stores"/>
    <x v="10"/>
    <s v="St.Dalfour"/>
    <s v="|24/24/13|"/>
    <n v="408"/>
    <n v="3.48"/>
    <n v="6.42"/>
  </r>
  <r>
    <x v="2"/>
    <s v="Convenience stores"/>
    <x v="10"/>
    <s v="St.Dalfour"/>
    <s v="|24/24/14|"/>
    <n v="540"/>
    <n v="4.71"/>
    <n v="5.28"/>
  </r>
  <r>
    <x v="2"/>
    <s v="Convenience stores"/>
    <x v="10"/>
    <s v="St.Dalfour"/>
    <s v="|24/24/15|"/>
    <n v="456"/>
    <n v="4.22"/>
    <n v="5.59"/>
  </r>
  <r>
    <x v="2"/>
    <s v="Convenience stores"/>
    <x v="10"/>
    <s v="St.Dalfour"/>
    <s v="|24/24/16|"/>
    <n v="384"/>
    <n v="3.27"/>
    <n v="6.06"/>
  </r>
  <r>
    <x v="2"/>
    <s v="Convenience stores"/>
    <x v="10"/>
    <s v="St.Dalfour"/>
    <s v="|24/24/17|"/>
    <n v="480"/>
    <n v="4.3099999999999996"/>
    <n v="5.57"/>
  </r>
  <r>
    <x v="2"/>
    <s v="Convenience stores"/>
    <x v="10"/>
    <s v="St.Dalfour"/>
    <s v="|24/24/18|"/>
    <n v="528"/>
    <n v="3.63"/>
    <n v="5.56"/>
  </r>
  <r>
    <x v="2"/>
    <s v="Convenience stores"/>
    <x v="10"/>
    <s v="St.Dalfour"/>
    <s v="|24/24/19|"/>
    <n v="408"/>
    <n v="4.91"/>
    <n v="5.21"/>
  </r>
  <r>
    <x v="2"/>
    <s v="Convenience stores"/>
    <x v="10"/>
    <s v="St.Dalfour"/>
    <s v="|24/24/31|"/>
    <n v="456"/>
    <n v="4.05"/>
    <n v="5.28"/>
  </r>
  <r>
    <x v="2"/>
    <s v="Convenience stores"/>
    <x v="10"/>
    <s v="St.Dalfour"/>
    <s v="|24/24/32|"/>
    <n v="468"/>
    <n v="3.39"/>
    <n v="6.16"/>
  </r>
  <r>
    <x v="2"/>
    <s v="Convenience stores"/>
    <x v="10"/>
    <s v="St.Dalfour"/>
    <s v="|24/24/33|"/>
    <n v="456"/>
    <n v="4.17"/>
    <n v="6.08"/>
  </r>
  <r>
    <x v="2"/>
    <s v="Convenience stores"/>
    <x v="10"/>
    <s v="St.Dalfour"/>
    <s v="|24/24/34|"/>
    <n v="384"/>
    <n v="3.15"/>
    <n v="6.2"/>
  </r>
  <r>
    <x v="2"/>
    <s v="Convenience stores"/>
    <x v="10"/>
    <s v="St.Dalfour"/>
    <s v="|24/24/35|"/>
    <n v="528"/>
    <n v="4.57"/>
    <n v="5.7"/>
  </r>
  <r>
    <x v="2"/>
    <s v="Convenience stores"/>
    <x v="10"/>
    <s v="St.Dalfour"/>
    <s v="|24/24/36|"/>
    <n v="492"/>
    <n v="4.8"/>
    <n v="6.92"/>
  </r>
  <r>
    <x v="2"/>
    <s v="Convenience stores"/>
    <x v="10"/>
    <s v="St.Dalfour"/>
    <s v="|24/24/37|"/>
    <n v="504"/>
    <n v="4.6399999999999997"/>
    <n v="6.95"/>
  </r>
  <r>
    <x v="2"/>
    <s v="Convenience stores"/>
    <x v="10"/>
    <s v="St.Dalfour"/>
    <s v="|24/24/38|"/>
    <n v="516"/>
    <n v="3.93"/>
    <n v="6.86"/>
  </r>
  <r>
    <x v="2"/>
    <s v="Convenience stores"/>
    <x v="10"/>
    <s v="St.Dalfour"/>
    <s v="|24/24/39|"/>
    <n v="504"/>
    <n v="3.37"/>
    <n v="5.94"/>
  </r>
  <r>
    <x v="2"/>
    <s v="Convenience stores"/>
    <x v="10"/>
    <s v="St.Dalfour"/>
    <s v="|24/24/40|"/>
    <n v="444"/>
    <n v="4.26"/>
    <n v="6.47"/>
  </r>
  <r>
    <x v="2"/>
    <s v="Convenience stores"/>
    <x v="10"/>
    <s v="St.Dalfour"/>
    <s v="|24/24/41|"/>
    <n v="504"/>
    <n v="3.58"/>
    <n v="6.8"/>
  </r>
  <r>
    <x v="2"/>
    <s v="Convenience stores"/>
    <x v="10"/>
    <s v="St.Dalfour"/>
    <s v="|24/24/42|"/>
    <n v="528"/>
    <n v="3.8"/>
    <n v="5.08"/>
  </r>
  <r>
    <x v="2"/>
    <s v="Convenience stores"/>
    <x v="10"/>
    <s v="St.Dalfour"/>
    <s v="|24/24/43|"/>
    <n v="384"/>
    <n v="3.47"/>
    <n v="5.0999999999999996"/>
  </r>
  <r>
    <x v="2"/>
    <s v="Convenience stores"/>
    <x v="10"/>
    <s v="St.Dalfour"/>
    <s v="|24/24/44|"/>
    <n v="480"/>
    <n v="3.33"/>
    <n v="5.37"/>
  </r>
  <r>
    <x v="2"/>
    <s v="Convenience stores"/>
    <x v="10"/>
    <s v="St.Dalfour"/>
    <s v="|24/24/45|"/>
    <n v="444"/>
    <n v="4.5999999999999996"/>
    <n v="6.19"/>
  </r>
  <r>
    <x v="2"/>
    <s v="Convenience stores"/>
    <x v="10"/>
    <s v="St.Dalfour"/>
    <s v="|24/24/48|"/>
    <n v="384"/>
    <n v="3.15"/>
    <n v="5.44"/>
  </r>
  <r>
    <x v="2"/>
    <s v="Convenience stores"/>
    <x v="10"/>
    <s v="St.Dalfour"/>
    <s v="|24/24/49|"/>
    <n v="540"/>
    <n v="4.29"/>
    <n v="6.66"/>
  </r>
  <r>
    <x v="2"/>
    <s v="Convenience stores"/>
    <x v="10"/>
    <s v="St.Dalfour"/>
    <s v="|24/24/50|"/>
    <n v="504"/>
    <n v="3.82"/>
    <n v="5.56"/>
  </r>
  <r>
    <x v="2"/>
    <s v="Convenience stores"/>
    <x v="10"/>
    <s v="St.Dalfour"/>
    <s v="|24/24/51|"/>
    <n v="420"/>
    <n v="3.03"/>
    <n v="6"/>
  </r>
  <r>
    <x v="2"/>
    <s v="Convenience stores"/>
    <x v="10"/>
    <s v="St.Dalfour"/>
    <s v="|24/25/01|"/>
    <n v="480"/>
    <n v="4.3"/>
    <n v="6.26"/>
  </r>
  <r>
    <x v="2"/>
    <s v="Convenience stores"/>
    <x v="10"/>
    <s v="St.Dalfour"/>
    <s v="|24/25/02|"/>
    <n v="480"/>
    <n v="3.26"/>
    <n v="6.35"/>
  </r>
  <r>
    <x v="2"/>
    <s v="Convenience stores"/>
    <x v="10"/>
    <s v="St.Dalfour"/>
    <s v="|24/26/01|"/>
    <n v="492"/>
    <n v="4.08"/>
    <n v="6.41"/>
  </r>
  <r>
    <x v="2"/>
    <s v="Convenience stores"/>
    <x v="10"/>
    <s v="St.Dalfour"/>
    <s v="|24/26/02|"/>
    <n v="432"/>
    <n v="3.69"/>
    <n v="6.98"/>
  </r>
  <r>
    <x v="2"/>
    <s v="Convenience stores"/>
    <x v="10"/>
    <s v="St.Dalfour"/>
    <s v="|24/26/03|"/>
    <n v="408"/>
    <n v="4.82"/>
    <n v="5.68"/>
  </r>
  <r>
    <x v="2"/>
    <s v="Convenience stores"/>
    <x v="10"/>
    <s v="St.Dalfour"/>
    <s v="|24/26/04|"/>
    <n v="492"/>
    <n v="3.34"/>
    <n v="6.92"/>
  </r>
  <r>
    <x v="2"/>
    <s v="Convenience stores"/>
    <x v="10"/>
    <s v="St.Dalfour"/>
    <s v="|24/27/01|"/>
    <n v="528"/>
    <n v="3.53"/>
    <n v="6.37"/>
  </r>
  <r>
    <x v="2"/>
    <s v="Convenience stores"/>
    <x v="10"/>
    <s v="St.Dalfour"/>
    <s v="|24/27/02|"/>
    <n v="372"/>
    <n v="4.83"/>
    <n v="5.52"/>
  </r>
  <r>
    <x v="2"/>
    <s v="Convenience stores"/>
    <x v="10"/>
    <s v="St.Dalfour"/>
    <s v="|24/27/03|"/>
    <n v="384"/>
    <n v="3.24"/>
    <n v="7"/>
  </r>
  <r>
    <x v="2"/>
    <s v="Convenience stores"/>
    <x v="9"/>
    <s v="P&amp;G"/>
    <s v="|128/01/01|"/>
    <n v="948"/>
    <n v="1.6"/>
    <n v="2.1800000000000002"/>
  </r>
  <r>
    <x v="2"/>
    <s v="Convenience stores"/>
    <x v="9"/>
    <s v="P&amp;G"/>
    <s v="|128/01/02|"/>
    <n v="924"/>
    <n v="2.44"/>
    <n v="2.4300000000000002"/>
  </r>
  <r>
    <x v="2"/>
    <s v="Convenience stores"/>
    <x v="9"/>
    <s v="P&amp;G"/>
    <s v="|128/01/03|"/>
    <n v="900"/>
    <n v="1.38"/>
    <n v="2.5299999999999998"/>
  </r>
  <r>
    <x v="2"/>
    <s v="Convenience stores"/>
    <x v="9"/>
    <s v="P&amp;G"/>
    <s v="|128/01/04|"/>
    <n v="528"/>
    <n v="1.3"/>
    <n v="2.69"/>
  </r>
  <r>
    <x v="2"/>
    <s v="Convenience stores"/>
    <x v="9"/>
    <s v="P&amp;G"/>
    <s v="|128/01/05|"/>
    <n v="996"/>
    <n v="1.96"/>
    <n v="2.2799999999999998"/>
  </r>
  <r>
    <x v="2"/>
    <s v="Convenience stores"/>
    <x v="9"/>
    <s v="P&amp;G"/>
    <s v="|128/01/06|"/>
    <n v="396"/>
    <n v="2.46"/>
    <n v="2.2400000000000002"/>
  </r>
  <r>
    <x v="2"/>
    <s v="Convenience stores"/>
    <x v="9"/>
    <s v="P&amp;G"/>
    <s v="|128/01/07|"/>
    <n v="528"/>
    <n v="1.91"/>
    <n v="3.19"/>
  </r>
  <r>
    <x v="2"/>
    <s v="Convenience stores"/>
    <x v="9"/>
    <s v="P&amp;G"/>
    <s v="|128/01/08|"/>
    <n v="1032"/>
    <n v="1.69"/>
    <n v="3"/>
  </r>
  <r>
    <x v="2"/>
    <s v="Convenience stores"/>
    <x v="9"/>
    <s v="P&amp;G"/>
    <s v="|128/01/09|"/>
    <n v="780"/>
    <n v="1.29"/>
    <n v="2.83"/>
  </r>
  <r>
    <x v="2"/>
    <s v="Convenience stores"/>
    <x v="9"/>
    <s v="P&amp;G"/>
    <s v="|128/01/10|"/>
    <n v="1104"/>
    <n v="1.71"/>
    <n v="2.58"/>
  </r>
  <r>
    <x v="2"/>
    <s v="Convenience stores"/>
    <x v="9"/>
    <s v="P&amp;G"/>
    <s v="|128/01/11|"/>
    <n v="1116"/>
    <n v="2.0299999999999998"/>
    <n v="2.6"/>
  </r>
  <r>
    <x v="2"/>
    <s v="Convenience stores"/>
    <x v="9"/>
    <s v="P&amp;G"/>
    <s v="|128/01/12|"/>
    <n v="780"/>
    <n v="1.98"/>
    <n v="2.87"/>
  </r>
  <r>
    <x v="2"/>
    <s v="Convenience stores"/>
    <x v="6"/>
    <s v="Gelati veri"/>
    <s v="|92/00/01|"/>
    <n v="1368"/>
    <n v="2.72"/>
    <n v="3.89"/>
  </r>
  <r>
    <x v="2"/>
    <s v="Convenience stores"/>
    <x v="6"/>
    <s v="Gelati veri"/>
    <s v="|92/00/02|"/>
    <n v="1572"/>
    <n v="2.81"/>
    <n v="3.53"/>
  </r>
  <r>
    <x v="2"/>
    <s v="Convenience stores"/>
    <x v="6"/>
    <s v="Gelati veri"/>
    <s v="|92/00/03|"/>
    <n v="2568"/>
    <n v="2.71"/>
    <n v="3.33"/>
  </r>
  <r>
    <x v="2"/>
    <s v="Convenience stores"/>
    <x v="6"/>
    <s v="Gelati veri"/>
    <s v="|92/00/04|"/>
    <n v="1632"/>
    <n v="2.56"/>
    <n v="3.52"/>
  </r>
  <r>
    <x v="2"/>
    <s v="Convenience stores"/>
    <x v="6"/>
    <s v="Gelati veri"/>
    <s v="|92/00/05|"/>
    <n v="1560"/>
    <n v="2.5099999999999998"/>
    <n v="3.99"/>
  </r>
  <r>
    <x v="2"/>
    <s v="Convenience stores"/>
    <x v="6"/>
    <s v="Gelati veri"/>
    <s v="|92/00/06|"/>
    <n v="2040"/>
    <n v="2.76"/>
    <n v="3.44"/>
  </r>
  <r>
    <x v="2"/>
    <s v="Convenience stores"/>
    <x v="6"/>
    <s v="Gelati veri"/>
    <s v="|92/00/07|"/>
    <n v="1728"/>
    <n v="2.38"/>
    <n v="3.56"/>
  </r>
  <r>
    <x v="2"/>
    <s v="Convenience stores"/>
    <x v="6"/>
    <s v="Gelati veri"/>
    <s v="|92/00/08|"/>
    <n v="2136"/>
    <n v="2.74"/>
    <n v="3.82"/>
  </r>
  <r>
    <x v="2"/>
    <s v="Convenience stores"/>
    <x v="6"/>
    <s v="Gelati veri"/>
    <s v="|92/00/09|"/>
    <n v="1944"/>
    <n v="2.44"/>
    <n v="3.51"/>
  </r>
  <r>
    <x v="2"/>
    <s v="Convenience stores"/>
    <x v="6"/>
    <s v="Gelati veri"/>
    <s v="|92/00/10|"/>
    <n v="2040"/>
    <n v="2.4300000000000002"/>
    <n v="3.97"/>
  </r>
  <r>
    <x v="2"/>
    <s v="Convenience stores"/>
    <x v="6"/>
    <s v="Gelati veri"/>
    <s v="|92/00/11|"/>
    <n v="2136"/>
    <n v="2.61"/>
    <n v="3.91"/>
  </r>
  <r>
    <x v="2"/>
    <s v="Convenience stores"/>
    <x v="6"/>
    <s v="Gelati veri"/>
    <s v="|92/02/01|"/>
    <n v="1536"/>
    <n v="2.4500000000000002"/>
    <n v="4"/>
  </r>
  <r>
    <x v="2"/>
    <s v="Convenience stores"/>
    <x v="6"/>
    <s v="Gelati veri"/>
    <s v="|92/03/01|"/>
    <n v="1680"/>
    <n v="2.89"/>
    <n v="3.66"/>
  </r>
  <r>
    <x v="2"/>
    <s v="Convenience stores"/>
    <x v="1"/>
    <s v="KBG"/>
    <s v="|117/02/01|"/>
    <n v="492"/>
    <n v="5.6333333333333337"/>
    <n v="7.7266666666666666"/>
  </r>
  <r>
    <x v="2"/>
    <s v="Convenience stores"/>
    <x v="1"/>
    <s v="KBG"/>
    <s v="|117/02/02|"/>
    <n v="612"/>
    <n v="6.36"/>
    <n v="7.7866666666666671"/>
  </r>
  <r>
    <x v="2"/>
    <s v="Convenience stores"/>
    <x v="1"/>
    <s v="KBG"/>
    <s v="|117/02/03|"/>
    <n v="576"/>
    <n v="5.7733333333333334"/>
    <n v="8.3133333333333326"/>
  </r>
  <r>
    <x v="2"/>
    <s v="Convenience stores"/>
    <x v="1"/>
    <s v="KBG"/>
    <s v="|117/02/04|"/>
    <n v="636"/>
    <n v="5.9266666666666667"/>
    <n v="7.44"/>
  </r>
  <r>
    <x v="2"/>
    <s v="Convenience stores"/>
    <x v="1"/>
    <s v="KBG"/>
    <s v="|117/02/05|"/>
    <n v="576"/>
    <n v="6.246666666666667"/>
    <n v="8.086666666666666"/>
  </r>
  <r>
    <x v="2"/>
    <s v="Convenience stores"/>
    <x v="1"/>
    <s v="KBG"/>
    <s v="|117/02/06|"/>
    <n v="456"/>
    <n v="6.22"/>
    <n v="8.2799999999999994"/>
  </r>
  <r>
    <x v="2"/>
    <s v="Convenience stores"/>
    <x v="1"/>
    <s v="KBG"/>
    <s v="|117/02/07|"/>
    <n v="528"/>
    <n v="5.4133333333333331"/>
    <n v="8.52"/>
  </r>
  <r>
    <x v="2"/>
    <s v="Convenience stores"/>
    <x v="1"/>
    <s v="KBG"/>
    <s v="|117/02/08|"/>
    <n v="540"/>
    <n v="6.4933333333333332"/>
    <n v="8.2666666666666675"/>
  </r>
  <r>
    <x v="2"/>
    <s v="Convenience stores"/>
    <x v="1"/>
    <s v="KBG"/>
    <s v="|117/02/12|"/>
    <n v="624"/>
    <n v="6.3666666666666663"/>
    <n v="7.96"/>
  </r>
  <r>
    <x v="2"/>
    <s v="Convenience stores"/>
    <x v="1"/>
    <s v="KBG"/>
    <s v="|117/02/14|"/>
    <n v="420"/>
    <n v="5.793333333333333"/>
    <n v="8.1666666666666661"/>
  </r>
  <r>
    <x v="2"/>
    <s v="Convenience stores"/>
    <x v="7"/>
    <s v="KBG"/>
    <s v="|117/01/01|"/>
    <n v="912"/>
    <n v="2.79"/>
    <n v="3.93"/>
  </r>
  <r>
    <x v="2"/>
    <s v="Convenience stores"/>
    <x v="7"/>
    <s v="KBG"/>
    <s v="|117/01/02|"/>
    <n v="612"/>
    <n v="2.11"/>
    <n v="3.62"/>
  </r>
  <r>
    <x v="2"/>
    <s v="Convenience stores"/>
    <x v="7"/>
    <s v="KBG"/>
    <s v="|117/01/03|"/>
    <n v="660"/>
    <n v="2.88"/>
    <n v="3.47"/>
  </r>
  <r>
    <x v="2"/>
    <s v="Convenience stores"/>
    <x v="7"/>
    <s v="KBG"/>
    <s v="|117/01/04|"/>
    <n v="816"/>
    <n v="2.65"/>
    <n v="3.39"/>
  </r>
  <r>
    <x v="2"/>
    <s v="Convenience stores"/>
    <x v="7"/>
    <s v="KBG"/>
    <s v="|117/01/05|"/>
    <n v="1176"/>
    <n v="2.4"/>
    <n v="3.94"/>
  </r>
  <r>
    <x v="2"/>
    <s v="Convenience stores"/>
    <x v="7"/>
    <s v="KBG"/>
    <s v="|117/01/06|"/>
    <n v="840"/>
    <n v="2.4500000000000002"/>
    <n v="3.54"/>
  </r>
  <r>
    <x v="2"/>
    <s v="Convenience stores"/>
    <x v="7"/>
    <s v="KBG"/>
    <s v="|117/01/07|"/>
    <n v="1068"/>
    <n v="2.1800000000000002"/>
    <n v="3.92"/>
  </r>
  <r>
    <x v="2"/>
    <s v="Convenience stores"/>
    <x v="7"/>
    <s v="KBG"/>
    <s v="|117/01/08|"/>
    <n v="1116"/>
    <n v="2.0099999999999998"/>
    <n v="3.75"/>
  </r>
  <r>
    <x v="2"/>
    <s v="Convenience stores"/>
    <x v="7"/>
    <s v="KBG"/>
    <s v="|117/01/09|"/>
    <n v="1200"/>
    <n v="2.23"/>
    <n v="3.36"/>
  </r>
  <r>
    <x v="2"/>
    <s v="Convenience stores"/>
    <x v="7"/>
    <s v="KBG"/>
    <s v="|117/01/10|"/>
    <n v="1080"/>
    <n v="2.97"/>
    <n v="3.61"/>
  </r>
  <r>
    <x v="2"/>
    <s v="Convenience stores"/>
    <x v="7"/>
    <s v="KBG"/>
    <s v="|117/01/11|"/>
    <n v="1008"/>
    <n v="2.59"/>
    <n v="3.37"/>
  </r>
  <r>
    <x v="2"/>
    <s v="Convenience stores"/>
    <x v="7"/>
    <s v="KBG"/>
    <s v="|117/01/12|"/>
    <n v="804"/>
    <n v="2.2000000000000002"/>
    <n v="3.56"/>
  </r>
  <r>
    <x v="2"/>
    <s v="Convenience stores"/>
    <x v="7"/>
    <s v="KBG"/>
    <s v="|117/01/13|"/>
    <n v="984"/>
    <n v="2.83"/>
    <n v="3.68"/>
  </r>
  <r>
    <x v="2"/>
    <s v="Convenience stores"/>
    <x v="7"/>
    <s v="KBG"/>
    <s v="|117/01/14|"/>
    <n v="708"/>
    <n v="2.99"/>
    <n v="3.4"/>
  </r>
  <r>
    <x v="2"/>
    <s v="Convenience stores"/>
    <x v="7"/>
    <s v="KBG"/>
    <s v="|117/01/15|"/>
    <n v="1164"/>
    <n v="2.73"/>
    <n v="3.33"/>
  </r>
  <r>
    <x v="2"/>
    <s v="Convenience stores"/>
    <x v="7"/>
    <s v="KBG"/>
    <s v="|117/01/16|"/>
    <n v="648"/>
    <n v="2.68"/>
    <n v="3.91"/>
  </r>
  <r>
    <x v="2"/>
    <s v="Convenience stores"/>
    <x v="7"/>
    <s v="KBG"/>
    <s v="|117/01/17|"/>
    <n v="888"/>
    <n v="2.44"/>
    <n v="3.86"/>
  </r>
  <r>
    <x v="2"/>
    <s v="Convenience stores"/>
    <x v="7"/>
    <s v="KBG"/>
    <s v="|117/01/18|"/>
    <n v="1044"/>
    <n v="2.15"/>
    <n v="3.51"/>
  </r>
  <r>
    <x v="2"/>
    <s v="Convenience stores"/>
    <x v="7"/>
    <s v="KBG"/>
    <s v="|117/01/19|"/>
    <n v="672"/>
    <n v="2.06"/>
    <n v="3.98"/>
  </r>
  <r>
    <x v="2"/>
    <s v="Convenience stores"/>
    <x v="6"/>
    <s v="Cherry dreams"/>
    <s v="|47/01/01|"/>
    <n v="1644"/>
    <n v="2.39"/>
    <n v="3.54"/>
  </r>
  <r>
    <x v="2"/>
    <s v="Convenience stores"/>
    <x v="6"/>
    <s v="Cherry dreams"/>
    <s v="|47/01/02|"/>
    <n v="2544"/>
    <n v="2.82"/>
    <n v="3.39"/>
  </r>
  <r>
    <x v="2"/>
    <s v="Convenience stores"/>
    <x v="6"/>
    <s v="Cherry dreams"/>
    <s v="|47/01/03|"/>
    <n v="1788"/>
    <n v="2.81"/>
    <n v="3.56"/>
  </r>
  <r>
    <x v="2"/>
    <s v="Convenience stores"/>
    <x v="6"/>
    <s v="Cherry dreams"/>
    <s v="|47/01/04|"/>
    <n v="1524"/>
    <n v="2.37"/>
    <n v="3.54"/>
  </r>
  <r>
    <x v="2"/>
    <s v="Convenience stores"/>
    <x v="6"/>
    <s v="Cherry dreams"/>
    <s v="|47/01/05|"/>
    <n v="1752"/>
    <n v="2.7"/>
    <n v="3.46"/>
  </r>
  <r>
    <x v="2"/>
    <s v="Convenience stores"/>
    <x v="6"/>
    <s v="Cherry dreams"/>
    <s v="|47/01/06|"/>
    <n v="1956"/>
    <n v="2.5099999999999998"/>
    <n v="3.74"/>
  </r>
  <r>
    <x v="2"/>
    <s v="Convenience stores"/>
    <x v="6"/>
    <s v="Cherry dreams"/>
    <s v="|47/01/07|"/>
    <n v="1452"/>
    <n v="2.82"/>
    <n v="3.37"/>
  </r>
  <r>
    <x v="2"/>
    <s v="Convenience stores"/>
    <x v="6"/>
    <s v="Cherry dreams"/>
    <s v="|47/01/08|"/>
    <n v="1872"/>
    <n v="2.56"/>
    <n v="3.95"/>
  </r>
  <r>
    <x v="2"/>
    <s v="Convenience stores"/>
    <x v="6"/>
    <s v="Cherry dreams"/>
    <s v="|47/01/09|"/>
    <n v="2664"/>
    <n v="2.99"/>
    <n v="3.41"/>
  </r>
  <r>
    <x v="2"/>
    <s v="Convenience stores"/>
    <x v="6"/>
    <s v="Cherry dreams"/>
    <s v="|47/01/10|"/>
    <n v="2724"/>
    <n v="2.88"/>
    <n v="3.36"/>
  </r>
  <r>
    <x v="2"/>
    <s v="Convenience stores"/>
    <x v="6"/>
    <s v="Cherry dreams"/>
    <s v="|47/01/11|"/>
    <n v="2712"/>
    <n v="2.67"/>
    <n v="3.61"/>
  </r>
  <r>
    <x v="2"/>
    <s v="Convenience stores"/>
    <x v="6"/>
    <s v="Cherry dreams"/>
    <s v="|47/01/12|"/>
    <n v="1464"/>
    <n v="2.71"/>
    <n v="3.72"/>
  </r>
  <r>
    <x v="2"/>
    <s v="Convenience stores"/>
    <x v="4"/>
    <s v="Green Farm"/>
    <s v="|01/03/01|"/>
    <n v="312"/>
    <n v="5"/>
    <n v="5.32"/>
  </r>
  <r>
    <x v="2"/>
    <s v="Convenience stores"/>
    <x v="4"/>
    <s v="Green Farm"/>
    <s v="|01/03/02|"/>
    <n v="684"/>
    <n v="4.75"/>
    <n v="5.12"/>
  </r>
  <r>
    <x v="2"/>
    <s v="Convenience stores"/>
    <x v="4"/>
    <s v="Green Farm"/>
    <s v="|01/03/04|"/>
    <n v="288"/>
    <n v="4.83"/>
    <n v="5.21"/>
  </r>
  <r>
    <x v="2"/>
    <s v="Convenience stores"/>
    <x v="4"/>
    <s v="Green Farm"/>
    <s v="|01/03/05|"/>
    <n v="252"/>
    <n v="4.84"/>
    <n v="5.35"/>
  </r>
  <r>
    <x v="2"/>
    <s v="Convenience stores"/>
    <x v="4"/>
    <s v="Green Farm"/>
    <s v="|01/03/07|"/>
    <n v="564"/>
    <n v="4.1500000000000004"/>
    <n v="5.19"/>
  </r>
  <r>
    <x v="2"/>
    <s v="Convenience stores"/>
    <x v="4"/>
    <s v="Green Farm"/>
    <s v="|01/03/08|"/>
    <n v="348"/>
    <n v="4.92"/>
    <n v="5.19"/>
  </r>
  <r>
    <x v="2"/>
    <s v="Convenience stores"/>
    <x v="2"/>
    <s v="Green Farm"/>
    <s v="|01/03/09|"/>
    <n v="6588"/>
    <n v="0.8"/>
    <n v="1.02"/>
  </r>
  <r>
    <x v="2"/>
    <s v="Convenience stores"/>
    <x v="2"/>
    <s v="Green Farm"/>
    <s v="|01/03/10|"/>
    <n v="7140"/>
    <n v="0.88"/>
    <n v="0.96"/>
  </r>
  <r>
    <x v="2"/>
    <s v="Convenience stores"/>
    <x v="2"/>
    <s v="Green Farm"/>
    <s v="|01/03/12|"/>
    <n v="6072"/>
    <n v="0.56000000000000005"/>
    <n v="1.1499999999999999"/>
  </r>
  <r>
    <x v="2"/>
    <s v="Convenience stores"/>
    <x v="2"/>
    <s v="Green Farm"/>
    <s v="|01/03/14|"/>
    <n v="8592"/>
    <n v="0.44"/>
    <n v="1.0900000000000001"/>
  </r>
  <r>
    <x v="2"/>
    <s v="Convenience stores"/>
    <x v="2"/>
    <s v="Green Farm"/>
    <s v="|01/03/15|"/>
    <n v="6144"/>
    <n v="0.67"/>
    <n v="1.2"/>
  </r>
  <r>
    <x v="2"/>
    <s v="Convenience stores"/>
    <x v="2"/>
    <s v="Green Farm"/>
    <s v="|01/03/16|"/>
    <n v="8256"/>
    <n v="0.76"/>
    <n v="1.1499999999999999"/>
  </r>
  <r>
    <x v="2"/>
    <s v="Convenience stores"/>
    <x v="2"/>
    <s v="Green Farm"/>
    <s v="|01/03/17|"/>
    <n v="9336"/>
    <n v="1.03"/>
    <n v="1.08"/>
  </r>
  <r>
    <x v="2"/>
    <s v="Convenience stores"/>
    <x v="2"/>
    <s v="Green Farm"/>
    <s v="|01/03/18|"/>
    <n v="8100"/>
    <n v="0.69"/>
    <n v="1.17"/>
  </r>
  <r>
    <x v="2"/>
    <s v="Convenience stores"/>
    <x v="2"/>
    <s v="Green Farm"/>
    <s v="|01/03/19|"/>
    <n v="5148"/>
    <n v="0.72"/>
    <n v="1.1399999999999999"/>
  </r>
  <r>
    <x v="2"/>
    <s v="Convenience stores"/>
    <x v="4"/>
    <s v="Green Farm"/>
    <s v="|01/03/21|"/>
    <n v="540"/>
    <n v="4.54"/>
    <n v="5.18"/>
  </r>
  <r>
    <x v="2"/>
    <s v="Convenience stores"/>
    <x v="4"/>
    <s v="Green Farm"/>
    <s v="|01/03/22|"/>
    <n v="504"/>
    <n v="4.75"/>
    <n v="5.37"/>
  </r>
  <r>
    <x v="2"/>
    <s v="Convenience stores"/>
    <x v="4"/>
    <s v="Green Farm"/>
    <s v="|01/03/23|"/>
    <n v="384"/>
    <n v="4.16"/>
    <n v="5.4"/>
  </r>
  <r>
    <x v="2"/>
    <s v="Convenience stores"/>
    <x v="7"/>
    <s v="C&amp;C vegetables"/>
    <s v="|114/01/01|"/>
    <n v="948"/>
    <n v="2.59"/>
    <n v="3.88"/>
  </r>
  <r>
    <x v="2"/>
    <s v="Convenience stores"/>
    <x v="7"/>
    <s v="C&amp;C vegetables"/>
    <s v="|114/01/02|"/>
    <n v="996"/>
    <n v="2.94"/>
    <n v="3.3"/>
  </r>
  <r>
    <x v="2"/>
    <s v="Convenience stores"/>
    <x v="7"/>
    <s v="C&amp;C vegetables"/>
    <s v="|114/01/03|"/>
    <n v="1056"/>
    <n v="2.88"/>
    <n v="3.65"/>
  </r>
  <r>
    <x v="2"/>
    <s v="Convenience stores"/>
    <x v="7"/>
    <s v="C&amp;C vegetables"/>
    <s v="|114/01/04|"/>
    <n v="936"/>
    <n v="2.31"/>
    <n v="3.66"/>
  </r>
  <r>
    <x v="2"/>
    <s v="Convenience stores"/>
    <x v="7"/>
    <s v="C&amp;C vegetables"/>
    <s v="|114/01/05|"/>
    <n v="1200"/>
    <n v="2.75"/>
    <n v="3.9"/>
  </r>
  <r>
    <x v="2"/>
    <s v="Convenience stores"/>
    <x v="7"/>
    <s v="C&amp;C vegetables"/>
    <s v="|114/01/06|"/>
    <n v="708"/>
    <n v="2.9"/>
    <n v="3.52"/>
  </r>
  <r>
    <x v="2"/>
    <s v="Convenience stores"/>
    <x v="7"/>
    <s v="C&amp;C vegetables"/>
    <s v="|114/01/07|"/>
    <n v="1176"/>
    <n v="2.2599999999999998"/>
    <n v="3.52"/>
  </r>
  <r>
    <x v="2"/>
    <s v="Convenience stores"/>
    <x v="7"/>
    <s v="C&amp;C vegetables"/>
    <s v="|114/01/08|"/>
    <n v="1044"/>
    <n v="2.64"/>
    <n v="3.84"/>
  </r>
  <r>
    <x v="2"/>
    <s v="Convenience stores"/>
    <x v="7"/>
    <s v="C&amp;C vegetables"/>
    <s v="|114/01/09|"/>
    <n v="636"/>
    <n v="2.97"/>
    <n v="3.93"/>
  </r>
  <r>
    <x v="2"/>
    <s v="Convenience stores"/>
    <x v="7"/>
    <s v="C&amp;C vegetables"/>
    <s v="|114/01/10|"/>
    <n v="804"/>
    <n v="2.4500000000000002"/>
    <n v="3.53"/>
  </r>
  <r>
    <x v="2"/>
    <s v="Convenience stores"/>
    <x v="7"/>
    <s v="C&amp;C vegetables"/>
    <s v="|114/01/11|"/>
    <n v="684"/>
    <n v="2.4"/>
    <n v="3.79"/>
  </r>
  <r>
    <x v="2"/>
    <s v="Convenience stores"/>
    <x v="7"/>
    <s v="C&amp;C vegetables"/>
    <s v="|114/01/12|"/>
    <n v="1188"/>
    <n v="2.29"/>
    <n v="3.98"/>
  </r>
  <r>
    <x v="2"/>
    <s v="Convenience stores"/>
    <x v="7"/>
    <s v="C&amp;C vegetables"/>
    <s v="|114/01/13|"/>
    <n v="720"/>
    <n v="2.09"/>
    <n v="3.71"/>
  </r>
  <r>
    <x v="2"/>
    <s v="Convenience stores"/>
    <x v="7"/>
    <s v="C&amp;C vegetables"/>
    <s v="|114/01/14|"/>
    <n v="936"/>
    <n v="2.69"/>
    <n v="3.79"/>
  </r>
  <r>
    <x v="2"/>
    <s v="Convenience stores"/>
    <x v="7"/>
    <s v="C&amp;C vegetables"/>
    <s v="|114/01/15|"/>
    <n v="720"/>
    <n v="2.67"/>
    <n v="3.53"/>
  </r>
  <r>
    <x v="2"/>
    <s v="Convenience stores"/>
    <x v="7"/>
    <s v="C&amp;C vegetables"/>
    <s v="|114/01/16|"/>
    <n v="624"/>
    <n v="2.64"/>
    <n v="3.64"/>
  </r>
  <r>
    <x v="2"/>
    <s v="Convenience stores"/>
    <x v="7"/>
    <s v="C&amp;C vegetables"/>
    <s v="|114/01/17|"/>
    <n v="912"/>
    <n v="2"/>
    <n v="3.31"/>
  </r>
  <r>
    <x v="2"/>
    <s v="Convenience stores"/>
    <x v="7"/>
    <s v="C&amp;C vegetables"/>
    <s v="|114/01/18|"/>
    <n v="1056"/>
    <n v="2.2799999999999998"/>
    <n v="3.59"/>
  </r>
  <r>
    <x v="2"/>
    <s v="Convenience stores"/>
    <x v="7"/>
    <s v="C&amp;C vegetables"/>
    <s v="|114/01/19|"/>
    <n v="1188"/>
    <n v="2.17"/>
    <n v="3.92"/>
  </r>
  <r>
    <x v="2"/>
    <s v="Convenience stores"/>
    <x v="7"/>
    <s v="C&amp;C vegetables"/>
    <s v="|114/01/20|"/>
    <n v="1092"/>
    <n v="2.63"/>
    <n v="3.34"/>
  </r>
  <r>
    <x v="2"/>
    <s v="Convenience stores"/>
    <x v="7"/>
    <s v="C&amp;C vegetables"/>
    <s v="|114/01/21|"/>
    <n v="948"/>
    <n v="2.96"/>
    <n v="3.58"/>
  </r>
  <r>
    <x v="2"/>
    <s v="Convenience stores"/>
    <x v="7"/>
    <s v="C&amp;C vegetables"/>
    <s v="|114/01/23|"/>
    <n v="756"/>
    <n v="2.8"/>
    <n v="3.89"/>
  </r>
  <r>
    <x v="2"/>
    <s v="Convenience stores"/>
    <x v="7"/>
    <s v="C&amp;C vegetables"/>
    <s v="|114/01/24|"/>
    <n v="1056"/>
    <n v="2.1800000000000002"/>
    <n v="3.82"/>
  </r>
  <r>
    <x v="2"/>
    <s v="Convenience stores"/>
    <x v="1"/>
    <s v="Gelati e altro"/>
    <s v="|05/00/01|"/>
    <n v="612"/>
    <n v="6.36"/>
    <n v="7.5933333333333337"/>
  </r>
  <r>
    <x v="2"/>
    <s v="Convenience stores"/>
    <x v="6"/>
    <s v="Gelati e altro"/>
    <s v="|05/04/01|"/>
    <n v="1272"/>
    <n v="2.4900000000000002"/>
    <n v="3.51"/>
  </r>
  <r>
    <x v="2"/>
    <s v="Convenience stores"/>
    <x v="6"/>
    <s v="Gelati e altro"/>
    <s v="|05/04/02|"/>
    <n v="1500"/>
    <n v="2.38"/>
    <n v="3.5"/>
  </r>
  <r>
    <x v="2"/>
    <s v="Convenience stores"/>
    <x v="6"/>
    <s v="Gelati e altro"/>
    <s v="|05/04/03|"/>
    <n v="1224"/>
    <n v="2.93"/>
    <n v="3.67"/>
  </r>
  <r>
    <x v="2"/>
    <s v="Convenience stores"/>
    <x v="6"/>
    <s v="Gelati e altro"/>
    <s v="|05/04/04|"/>
    <n v="2448"/>
    <n v="2.95"/>
    <n v="3.31"/>
  </r>
  <r>
    <x v="2"/>
    <s v="Convenience stores"/>
    <x v="6"/>
    <s v="Gelati e altro"/>
    <s v="|05/04/05|"/>
    <n v="2280"/>
    <n v="2.95"/>
    <n v="3.3"/>
  </r>
  <r>
    <x v="2"/>
    <s v="Convenience stores"/>
    <x v="6"/>
    <s v="Gelati e altro"/>
    <s v="|05/04/06|"/>
    <n v="1344"/>
    <n v="2.34"/>
    <n v="3.66"/>
  </r>
  <r>
    <x v="2"/>
    <s v="Convenience stores"/>
    <x v="6"/>
    <s v="Gelati e altro"/>
    <s v="|05/04/07|"/>
    <n v="1692"/>
    <n v="2.81"/>
    <n v="3.58"/>
  </r>
  <r>
    <x v="2"/>
    <s v="Convenience stores"/>
    <x v="6"/>
    <s v="Gelati e altro"/>
    <s v="|05/04/08|"/>
    <n v="2268"/>
    <n v="2.95"/>
    <n v="3.47"/>
  </r>
  <r>
    <x v="2"/>
    <s v="Convenience stores"/>
    <x v="6"/>
    <s v="Gelati e altro"/>
    <s v="|05/04/09|"/>
    <n v="2196"/>
    <n v="2.4500000000000002"/>
    <n v="3.48"/>
  </r>
  <r>
    <x v="2"/>
    <s v="Convenience stores"/>
    <x v="6"/>
    <s v="Gelati e altro"/>
    <s v="|05/04/10|"/>
    <n v="1368"/>
    <n v="2.41"/>
    <n v="3.76"/>
  </r>
  <r>
    <x v="2"/>
    <s v="Convenience stores"/>
    <x v="6"/>
    <s v="Gelati e altro"/>
    <s v="|05/04/11|"/>
    <n v="1608"/>
    <n v="2.82"/>
    <n v="3.43"/>
  </r>
  <r>
    <x v="2"/>
    <s v="Convenience stores"/>
    <x v="6"/>
    <s v="Gelati e altro"/>
    <s v="|05/04/12|"/>
    <n v="1404"/>
    <n v="2.48"/>
    <n v="3.48"/>
  </r>
  <r>
    <x v="2"/>
    <s v="Convenience stores"/>
    <x v="6"/>
    <s v="Gelati e altro"/>
    <s v="|05/04/13|"/>
    <n v="1680"/>
    <n v="2.68"/>
    <n v="3.66"/>
  </r>
  <r>
    <x v="2"/>
    <s v="Convenience stores"/>
    <x v="4"/>
    <s v="Valtaro"/>
    <s v="|41/01/01|"/>
    <n v="624"/>
    <n v="4.7699999999999996"/>
    <n v="5.05"/>
  </r>
  <r>
    <x v="2"/>
    <s v="Convenience stores"/>
    <x v="5"/>
    <s v="Buonissimi"/>
    <s v="|53/01/00|"/>
    <n v="1272"/>
    <n v="1.45"/>
    <n v="1.73"/>
  </r>
  <r>
    <x v="2"/>
    <s v="Convenience stores"/>
    <x v="5"/>
    <s v="Buonissimi"/>
    <s v="|53/01/01|"/>
    <n v="1008"/>
    <n v="1.21"/>
    <n v="1.88"/>
  </r>
  <r>
    <x v="2"/>
    <s v="Convenience stores"/>
    <x v="5"/>
    <s v="Buonissimi"/>
    <s v="|53/01/02|"/>
    <n v="1140"/>
    <n v="1.29"/>
    <n v="1.63"/>
  </r>
  <r>
    <x v="2"/>
    <s v="Convenience stores"/>
    <x v="5"/>
    <s v="Buonissimi"/>
    <s v="|53/01/03|"/>
    <n v="1032"/>
    <n v="1.42"/>
    <n v="1.74"/>
  </r>
  <r>
    <x v="2"/>
    <s v="Convenience stores"/>
    <x v="5"/>
    <s v="Buonissimi"/>
    <s v="|53/01/04|"/>
    <n v="960"/>
    <n v="1.17"/>
    <n v="1.81"/>
  </r>
  <r>
    <x v="2"/>
    <s v="Convenience stores"/>
    <x v="5"/>
    <s v="Buonissimi"/>
    <s v="|53/01/05|"/>
    <n v="924"/>
    <n v="1.46"/>
    <n v="1.74"/>
  </r>
  <r>
    <x v="2"/>
    <s v="Convenience stores"/>
    <x v="5"/>
    <s v="Buonissimi"/>
    <s v="|53/01/06|"/>
    <n v="1128"/>
    <n v="1.42"/>
    <n v="1.63"/>
  </r>
  <r>
    <x v="2"/>
    <s v="Convenience stores"/>
    <x v="5"/>
    <s v="Buonissimi"/>
    <s v="|53/01/07|"/>
    <n v="1056"/>
    <n v="1.1599999999999999"/>
    <n v="1.87"/>
  </r>
  <r>
    <x v="2"/>
    <s v="Convenience stores"/>
    <x v="5"/>
    <s v="Buonissimi"/>
    <s v="|53/01/08|"/>
    <n v="624"/>
    <n v="1.48"/>
    <n v="1.63"/>
  </r>
  <r>
    <x v="2"/>
    <s v="Convenience stores"/>
    <x v="5"/>
    <s v="Buonissimi"/>
    <s v="|53/01/09|"/>
    <n v="1140"/>
    <n v="1.19"/>
    <n v="1.86"/>
  </r>
  <r>
    <x v="2"/>
    <s v="Convenience stores"/>
    <x v="5"/>
    <s v="Buonissimi"/>
    <s v="|53/01/10|"/>
    <n v="1188"/>
    <n v="1.27"/>
    <n v="1.65"/>
  </r>
  <r>
    <x v="2"/>
    <s v="Convenience stores"/>
    <x v="5"/>
    <s v="Buonissimi"/>
    <s v="|53/01/11|"/>
    <n v="600"/>
    <n v="1.29"/>
    <n v="1.68"/>
  </r>
  <r>
    <x v="2"/>
    <s v="Convenience stores"/>
    <x v="5"/>
    <s v="Buonissimi"/>
    <s v="|53/01/12|"/>
    <n v="888"/>
    <n v="1.37"/>
    <n v="1.75"/>
  </r>
  <r>
    <x v="2"/>
    <s v="Convenience stores"/>
    <x v="5"/>
    <s v="Buonissimi"/>
    <s v="|53/01/13|"/>
    <n v="960"/>
    <n v="1.31"/>
    <n v="1.64"/>
  </r>
  <r>
    <x v="2"/>
    <s v="Convenience stores"/>
    <x v="5"/>
    <s v="Buonissimi"/>
    <s v="|53/01/14|"/>
    <n v="936"/>
    <n v="1.36"/>
    <n v="1.65"/>
  </r>
  <r>
    <x v="2"/>
    <s v="Convenience stores"/>
    <x v="5"/>
    <s v="Buonissimi"/>
    <s v="|53/01/15|"/>
    <n v="804"/>
    <n v="1.39"/>
    <n v="1.9"/>
  </r>
  <r>
    <x v="2"/>
    <s v="Convenience stores"/>
    <x v="5"/>
    <s v="Buonissimi"/>
    <s v="|53/01/16|"/>
    <n v="1020"/>
    <n v="1.36"/>
    <n v="1.86"/>
  </r>
  <r>
    <x v="2"/>
    <s v="Convenience stores"/>
    <x v="5"/>
    <s v="Buonissimi"/>
    <s v="|53/01/17|"/>
    <n v="600"/>
    <n v="1.48"/>
    <n v="1.86"/>
  </r>
  <r>
    <x v="2"/>
    <s v="Convenience stores"/>
    <x v="5"/>
    <s v="Buonissimi"/>
    <s v="|53/01/18|"/>
    <n v="1104"/>
    <n v="1.27"/>
    <n v="1.65"/>
  </r>
  <r>
    <x v="2"/>
    <s v="Convenience stores"/>
    <x v="5"/>
    <s v="Buonissimi"/>
    <s v="|53/01/19|"/>
    <n v="1140"/>
    <n v="1.44"/>
    <n v="1.77"/>
  </r>
  <r>
    <x v="2"/>
    <s v="Convenience stores"/>
    <x v="5"/>
    <s v="Buonissimi"/>
    <s v="|53/01/20|"/>
    <n v="576"/>
    <n v="1.32"/>
    <n v="1.73"/>
  </r>
  <r>
    <x v="2"/>
    <s v="Convenience stores"/>
    <x v="5"/>
    <s v="Buonissimi"/>
    <s v="|53/01/21|"/>
    <n v="612"/>
    <n v="1.1000000000000001"/>
    <n v="1.73"/>
  </r>
  <r>
    <x v="2"/>
    <s v="Convenience stores"/>
    <x v="5"/>
    <s v="Buonissimi"/>
    <s v="|53/01/22|"/>
    <n v="696"/>
    <n v="1.17"/>
    <n v="1.79"/>
  </r>
  <r>
    <x v="2"/>
    <s v="Convenience stores"/>
    <x v="5"/>
    <s v="Buonissimi"/>
    <s v="|53/01/23|"/>
    <n v="1044"/>
    <n v="1.2"/>
    <n v="1.77"/>
  </r>
  <r>
    <x v="2"/>
    <s v="Convenience stores"/>
    <x v="5"/>
    <s v="Buonissimi"/>
    <s v="|53/01/24|"/>
    <n v="888"/>
    <n v="1.18"/>
    <n v="1.85"/>
  </r>
  <r>
    <x v="2"/>
    <s v="Convenience stores"/>
    <x v="5"/>
    <s v="Buonissimi"/>
    <s v="|53/01/25|"/>
    <n v="732"/>
    <n v="1.36"/>
    <n v="1.77"/>
  </r>
  <r>
    <x v="2"/>
    <s v="Convenience stores"/>
    <x v="5"/>
    <s v="Buonissimi"/>
    <s v="|53/01/26|"/>
    <n v="1320"/>
    <n v="1.18"/>
    <n v="1.65"/>
  </r>
  <r>
    <x v="2"/>
    <s v="Convenience stores"/>
    <x v="5"/>
    <s v="Buonissimi"/>
    <s v="|53/01/27|"/>
    <n v="1272"/>
    <n v="1.44"/>
    <n v="1.8"/>
  </r>
  <r>
    <x v="2"/>
    <s v="Convenience stores"/>
    <x v="5"/>
    <s v="Buonissimi"/>
    <s v="|53/01/28|"/>
    <n v="984"/>
    <n v="1.1000000000000001"/>
    <n v="1.9"/>
  </r>
  <r>
    <x v="2"/>
    <s v="Convenience stores"/>
    <x v="5"/>
    <s v="Buonissimi"/>
    <s v="|53/01/29|"/>
    <n v="1248"/>
    <n v="1.41"/>
    <n v="1.63"/>
  </r>
  <r>
    <x v="2"/>
    <s v="Convenience stores"/>
    <x v="5"/>
    <s v="Buonissimi"/>
    <s v="|53/01/30|"/>
    <n v="1236"/>
    <n v="1.34"/>
    <n v="1.72"/>
  </r>
  <r>
    <x v="2"/>
    <s v="Convenience stores"/>
    <x v="5"/>
    <s v="Buonissimi"/>
    <s v="|53/01/31|"/>
    <n v="876"/>
    <n v="1.1100000000000001"/>
    <n v="1.87"/>
  </r>
  <r>
    <x v="2"/>
    <s v="Convenience stores"/>
    <x v="5"/>
    <s v="Buonissimi"/>
    <s v="|53/01/32|"/>
    <n v="1308"/>
    <n v="1.42"/>
    <n v="1.65"/>
  </r>
  <r>
    <x v="2"/>
    <s v="Convenience stores"/>
    <x v="5"/>
    <s v="Buonissimi"/>
    <s v="|53/01/33|"/>
    <n v="876"/>
    <n v="1.1399999999999999"/>
    <n v="1.85"/>
  </r>
  <r>
    <x v="2"/>
    <s v="Convenience stores"/>
    <x v="5"/>
    <s v="Buonissimi"/>
    <s v="|53/01/34|"/>
    <n v="720"/>
    <n v="1.42"/>
    <n v="1.81"/>
  </r>
  <r>
    <x v="2"/>
    <s v="Convenience stores"/>
    <x v="5"/>
    <s v="Buonissimi"/>
    <s v="|53/01/35|"/>
    <n v="864"/>
    <n v="1.1200000000000001"/>
    <n v="1.62"/>
  </r>
  <r>
    <x v="2"/>
    <s v="Convenience stores"/>
    <x v="5"/>
    <s v="Buonissimi"/>
    <s v="|53/01/36|"/>
    <n v="864"/>
    <n v="1.21"/>
    <n v="1.8"/>
  </r>
  <r>
    <x v="2"/>
    <s v="Convenience stores"/>
    <x v="5"/>
    <s v="Buonissimi"/>
    <s v="|53/01/37|"/>
    <n v="1092"/>
    <n v="1.37"/>
    <n v="1.75"/>
  </r>
  <r>
    <x v="2"/>
    <s v="Convenience stores"/>
    <x v="5"/>
    <s v="Buonissimi"/>
    <s v="|53/01/38|"/>
    <n v="720"/>
    <n v="1.24"/>
    <n v="1.66"/>
  </r>
  <r>
    <x v="2"/>
    <s v="Convenience stores"/>
    <x v="5"/>
    <s v="Buonissimi"/>
    <s v="|53/01/41|"/>
    <n v="1044"/>
    <n v="1.37"/>
    <n v="1.67"/>
  </r>
  <r>
    <x v="2"/>
    <s v="Convenience stores"/>
    <x v="5"/>
    <s v="Buonissimi"/>
    <s v="|53/02/01|"/>
    <n v="660"/>
    <n v="1.1299999999999999"/>
    <n v="1.9"/>
  </r>
  <r>
    <x v="2"/>
    <s v="Convenience stores"/>
    <x v="5"/>
    <s v="Buonissimi"/>
    <s v="|53/02/02|"/>
    <n v="936"/>
    <n v="1.4"/>
    <n v="1.85"/>
  </r>
  <r>
    <x v="2"/>
    <s v="Convenience stores"/>
    <x v="5"/>
    <s v="Buonissimi"/>
    <s v="|53/02/03|"/>
    <n v="612"/>
    <n v="1.1000000000000001"/>
    <n v="1.72"/>
  </r>
  <r>
    <x v="2"/>
    <s v="Convenience stores"/>
    <x v="5"/>
    <s v="Buonissimi"/>
    <s v="|53/02/04|"/>
    <n v="576"/>
    <n v="1.21"/>
    <n v="1.63"/>
  </r>
  <r>
    <x v="2"/>
    <s v="Convenience stores"/>
    <x v="5"/>
    <s v="Buonissimi"/>
    <s v="|53/02/05|"/>
    <n v="1176"/>
    <n v="1.47"/>
    <n v="1.78"/>
  </r>
  <r>
    <x v="2"/>
    <s v="Convenience stores"/>
    <x v="5"/>
    <s v="Buonissimi"/>
    <s v="|53/02/06|"/>
    <n v="960"/>
    <n v="1.1000000000000001"/>
    <n v="1.63"/>
  </r>
  <r>
    <x v="2"/>
    <s v="Convenience stores"/>
    <x v="5"/>
    <s v="Buonissimi"/>
    <s v="|53/02/07|"/>
    <n v="1104"/>
    <n v="1.1100000000000001"/>
    <n v="1.8"/>
  </r>
  <r>
    <x v="2"/>
    <s v="Convenience stores"/>
    <x v="5"/>
    <s v="Buonissimi"/>
    <s v="|53/02/08|"/>
    <n v="708"/>
    <n v="1.1000000000000001"/>
    <n v="1.67"/>
  </r>
  <r>
    <x v="2"/>
    <s v="Convenience stores"/>
    <x v="5"/>
    <s v="Buonissimi"/>
    <s v="|53/02/09|"/>
    <n v="888"/>
    <n v="1.39"/>
    <n v="1.72"/>
  </r>
  <r>
    <x v="2"/>
    <s v="Convenience stores"/>
    <x v="5"/>
    <s v="Buonissimi"/>
    <s v="|53/02/10|"/>
    <n v="1296"/>
    <n v="1.44"/>
    <n v="1.65"/>
  </r>
  <r>
    <x v="2"/>
    <s v="Convenience stores"/>
    <x v="5"/>
    <s v="Buonissimi"/>
    <s v="|53/02/11|"/>
    <n v="600"/>
    <n v="1.42"/>
    <n v="1.86"/>
  </r>
  <r>
    <x v="2"/>
    <s v="Convenience stores"/>
    <x v="5"/>
    <s v="Buonissimi"/>
    <s v="|53/02/12|"/>
    <n v="936"/>
    <n v="1.22"/>
    <n v="1.67"/>
  </r>
  <r>
    <x v="2"/>
    <s v="Convenience stores"/>
    <x v="5"/>
    <s v="Buonissimi"/>
    <s v="|53/02/13|"/>
    <n v="948"/>
    <n v="1.2"/>
    <n v="1.8"/>
  </r>
  <r>
    <x v="2"/>
    <s v="Convenience stores"/>
    <x v="5"/>
    <s v="Buonissimi"/>
    <s v="|53/02/14|"/>
    <n v="1284"/>
    <n v="1.39"/>
    <n v="1.9"/>
  </r>
  <r>
    <x v="2"/>
    <s v="Convenience stores"/>
    <x v="5"/>
    <s v="Buonissimi"/>
    <s v="|53/02/15|"/>
    <n v="852"/>
    <n v="1.41"/>
    <n v="1.79"/>
  </r>
  <r>
    <x v="2"/>
    <s v="Convenience stores"/>
    <x v="5"/>
    <s v="Buonissimi"/>
    <s v="|53/02/16|"/>
    <n v="1176"/>
    <n v="1.27"/>
    <n v="1.84"/>
  </r>
  <r>
    <x v="2"/>
    <s v="Convenience stores"/>
    <x v="5"/>
    <s v="Buonissimi"/>
    <s v="|53/02/17|"/>
    <n v="684"/>
    <n v="1.22"/>
    <n v="1.68"/>
  </r>
  <r>
    <x v="2"/>
    <s v="Convenience stores"/>
    <x v="5"/>
    <s v="Buonissimi"/>
    <s v="|53/02/25|"/>
    <n v="624"/>
    <n v="1.48"/>
    <n v="1.87"/>
  </r>
  <r>
    <x v="2"/>
    <s v="Convenience stores"/>
    <x v="5"/>
    <s v="Buonissimi"/>
    <s v="|53/03/01|"/>
    <n v="900"/>
    <n v="1.24"/>
    <n v="1.78"/>
  </r>
  <r>
    <x v="2"/>
    <s v="Convenience stores"/>
    <x v="5"/>
    <s v="Buonissimi"/>
    <s v="|53/03/02|"/>
    <n v="1116"/>
    <n v="1.49"/>
    <n v="1.83"/>
  </r>
  <r>
    <x v="2"/>
    <s v="Convenience stores"/>
    <x v="5"/>
    <s v="Buonissimi"/>
    <s v="|53/03/03|"/>
    <n v="1248"/>
    <n v="1.5"/>
    <n v="1.6"/>
  </r>
  <r>
    <x v="2"/>
    <s v="Hypermarkets"/>
    <x v="12"/>
    <s v="Barilla"/>
    <s v="|56/01/01|"/>
    <n v="156"/>
    <n v="2.66"/>
    <n v="2.9466666666666668"/>
  </r>
  <r>
    <x v="2"/>
    <s v="Hypermarkets"/>
    <x v="12"/>
    <s v="Barilla"/>
    <s v="|56/01/02|"/>
    <n v="132"/>
    <n v="2.5266666666666668"/>
    <n v="2.98"/>
  </r>
  <r>
    <x v="2"/>
    <s v="Hypermarkets"/>
    <x v="12"/>
    <s v="Barilla"/>
    <s v="|56/01/03|"/>
    <n v="156"/>
    <n v="2.7866666666666666"/>
    <n v="2.9333333333333331"/>
  </r>
  <r>
    <x v="2"/>
    <s v="Hypermarkets"/>
    <x v="12"/>
    <s v="Barilla"/>
    <s v="|56/01/04|"/>
    <n v="144"/>
    <n v="2.2999999999999998"/>
    <n v="2.98"/>
  </r>
  <r>
    <x v="2"/>
    <s v="Hypermarkets"/>
    <x v="12"/>
    <s v="Barilla"/>
    <s v="|56/01/05|"/>
    <n v="132"/>
    <n v="2.5466666666666669"/>
    <n v="2.8933333333333335"/>
  </r>
  <r>
    <x v="2"/>
    <s v="Hypermarkets"/>
    <x v="12"/>
    <s v="Barilla"/>
    <s v="|56/01/06|"/>
    <n v="132"/>
    <n v="2.4"/>
    <n v="2.8866666666666667"/>
  </r>
  <r>
    <x v="2"/>
    <s v="Hypermarkets"/>
    <x v="12"/>
    <s v="Barilla"/>
    <s v="|56/01/07|"/>
    <n v="132"/>
    <n v="2.2799999999999998"/>
    <n v="2.9933333333333332"/>
  </r>
  <r>
    <x v="2"/>
    <s v="Hypermarkets"/>
    <x v="12"/>
    <s v="Barilla"/>
    <s v="|56/01/08|"/>
    <n v="120"/>
    <n v="2.8"/>
    <n v="2.8733333333333335"/>
  </r>
  <r>
    <x v="2"/>
    <s v="Hypermarkets"/>
    <x v="12"/>
    <s v="Barilla"/>
    <s v="|56/01/09|"/>
    <n v="180"/>
    <n v="2.3199999999999998"/>
    <n v="2.9466666666666668"/>
  </r>
  <r>
    <x v="2"/>
    <s v="Hypermarkets"/>
    <x v="12"/>
    <s v="Barilla"/>
    <s v="|56/01/10|"/>
    <n v="168"/>
    <n v="2.4866666666666668"/>
    <n v="2.8933333333333335"/>
  </r>
  <r>
    <x v="2"/>
    <s v="Hypermarkets"/>
    <x v="12"/>
    <s v="Barilla"/>
    <s v="|56/01/11|"/>
    <n v="120"/>
    <n v="2.3266666666666667"/>
    <n v="2.8733333333333335"/>
  </r>
  <r>
    <x v="2"/>
    <s v="Hypermarkets"/>
    <x v="12"/>
    <s v="Barilla"/>
    <s v="|56/01/12|"/>
    <n v="120"/>
    <n v="2.8"/>
    <n v="2.8866666666666667"/>
  </r>
  <r>
    <x v="2"/>
    <s v="Hypermarkets"/>
    <x v="12"/>
    <s v="Barilla"/>
    <s v="|56/01/13|"/>
    <n v="144"/>
    <n v="2.2733333333333334"/>
    <n v="2.8666666666666667"/>
  </r>
  <r>
    <x v="2"/>
    <s v="Hypermarkets"/>
    <x v="12"/>
    <s v="Barilla"/>
    <s v="|56/01/14|"/>
    <n v="120"/>
    <n v="2.2866666666666666"/>
    <n v="2.9666666666666668"/>
  </r>
  <r>
    <x v="2"/>
    <s v="Hypermarkets"/>
    <x v="12"/>
    <s v="Barilla"/>
    <s v="|56/01/15|"/>
    <n v="132"/>
    <n v="2.74"/>
    <n v="2.9733333333333332"/>
  </r>
  <r>
    <x v="2"/>
    <s v="Hypermarkets"/>
    <x v="12"/>
    <s v="Barilla"/>
    <s v="|56/01/16|"/>
    <n v="156"/>
    <n v="2.2799999999999998"/>
    <n v="2.9733333333333332"/>
  </r>
  <r>
    <x v="2"/>
    <s v="Hypermarkets"/>
    <x v="12"/>
    <s v="Barilla"/>
    <s v="|56/01/17|"/>
    <n v="120"/>
    <n v="2.5"/>
    <n v="2.9266666666666667"/>
  </r>
  <r>
    <x v="2"/>
    <s v="Hypermarkets"/>
    <x v="12"/>
    <s v="Barilla"/>
    <s v="|56/01/18|"/>
    <n v="156"/>
    <n v="2.6533333333333333"/>
    <n v="2.88"/>
  </r>
  <r>
    <x v="2"/>
    <s v="Hypermarkets"/>
    <x v="12"/>
    <s v="Barilla"/>
    <s v="|56/01/19|"/>
    <n v="144"/>
    <n v="2.7133333333333334"/>
    <n v="2.96"/>
  </r>
  <r>
    <x v="2"/>
    <s v="Hypermarkets"/>
    <x v="12"/>
    <s v="Barilla"/>
    <s v="|56/01/20|"/>
    <n v="120"/>
    <n v="2.4733333333333332"/>
    <n v="2.92"/>
  </r>
  <r>
    <x v="2"/>
    <s v="Hypermarkets"/>
    <x v="12"/>
    <s v="Barilla"/>
    <s v="|56/01/21|"/>
    <n v="144"/>
    <n v="2.5666666666666669"/>
    <n v="2.9066666666666667"/>
  </r>
  <r>
    <x v="2"/>
    <s v="Hypermarkets"/>
    <x v="12"/>
    <s v="Barilla"/>
    <s v="|56/01/22|"/>
    <n v="120"/>
    <n v="2.5133333333333332"/>
    <n v="2.92"/>
  </r>
  <r>
    <x v="2"/>
    <s v="Hypermarkets"/>
    <x v="12"/>
    <s v="Barilla"/>
    <s v="|56/01/23|"/>
    <n v="180"/>
    <n v="2.7266666666666666"/>
    <n v="2.88"/>
  </r>
  <r>
    <x v="2"/>
    <s v="Hypermarkets"/>
    <x v="12"/>
    <s v="Barilla"/>
    <s v="|56/01/24|"/>
    <n v="168"/>
    <n v="2.58"/>
    <n v="2.9533333333333331"/>
  </r>
  <r>
    <x v="2"/>
    <s v="Hypermarkets"/>
    <x v="12"/>
    <s v="Barilla"/>
    <s v="|56/01/25|"/>
    <n v="168"/>
    <n v="2.56"/>
    <n v="2.94"/>
  </r>
  <r>
    <x v="2"/>
    <s v="Hypermarkets"/>
    <x v="12"/>
    <s v="Barilla"/>
    <s v="|56/01/26|"/>
    <n v="156"/>
    <n v="2.2666666666666666"/>
    <n v="2.9866666666666668"/>
  </r>
  <r>
    <x v="2"/>
    <s v="Hypermarkets"/>
    <x v="12"/>
    <s v="Barilla"/>
    <s v="|56/01/27|"/>
    <n v="156"/>
    <n v="2.46"/>
    <n v="2.9066666666666667"/>
  </r>
  <r>
    <x v="2"/>
    <s v="Hypermarkets"/>
    <x v="12"/>
    <s v="Barilla"/>
    <s v="|56/01/28|"/>
    <n v="132"/>
    <n v="2.58"/>
    <n v="2.9533333333333331"/>
  </r>
  <r>
    <x v="2"/>
    <s v="Hypermarkets"/>
    <x v="12"/>
    <s v="Barilla"/>
    <s v="|56/01/29|"/>
    <n v="132"/>
    <n v="2.6"/>
    <n v="2.9333333333333331"/>
  </r>
  <r>
    <x v="2"/>
    <s v="Hypermarkets"/>
    <x v="12"/>
    <s v="Barilla"/>
    <s v="|56/01/30|"/>
    <n v="132"/>
    <n v="2.5533333333333332"/>
    <n v="2.9666666666666668"/>
  </r>
  <r>
    <x v="2"/>
    <s v="Hypermarkets"/>
    <x v="12"/>
    <s v="Barilla"/>
    <s v="|56/01/31|"/>
    <n v="132"/>
    <n v="2.52"/>
    <n v="2.96"/>
  </r>
  <r>
    <x v="2"/>
    <s v="Hypermarkets"/>
    <x v="12"/>
    <s v="Barilla"/>
    <s v="|56/01/32|"/>
    <n v="156"/>
    <n v="2.6533333333333333"/>
    <n v="2.92"/>
  </r>
  <r>
    <x v="2"/>
    <s v="Hypermarkets"/>
    <x v="12"/>
    <s v="Barilla"/>
    <s v="|56/01/33|"/>
    <n v="132"/>
    <n v="2.3266666666666667"/>
    <n v="2.9066666666666667"/>
  </r>
  <r>
    <x v="2"/>
    <s v="Hypermarkets"/>
    <x v="12"/>
    <s v="Barilla"/>
    <s v="|56/01/34|"/>
    <n v="132"/>
    <n v="2.54"/>
    <n v="2.9133333333333336"/>
  </r>
  <r>
    <x v="2"/>
    <s v="Hypermarkets"/>
    <x v="12"/>
    <s v="Barilla"/>
    <s v="|56/01/35|"/>
    <n v="132"/>
    <n v="2.4333333333333331"/>
    <n v="2.9933333333333332"/>
  </r>
  <r>
    <x v="2"/>
    <s v="Hypermarkets"/>
    <x v="12"/>
    <s v="Barilla"/>
    <s v="|56/01/36|"/>
    <n v="132"/>
    <n v="2.5466666666666669"/>
    <n v="2.8866666666666667"/>
  </r>
  <r>
    <x v="2"/>
    <s v="Hypermarkets"/>
    <x v="12"/>
    <s v="Barilla"/>
    <s v="|56/01/37|"/>
    <n v="168"/>
    <n v="2.3266666666666667"/>
    <n v="2.8933333333333335"/>
  </r>
  <r>
    <x v="2"/>
    <s v="Hypermarkets"/>
    <x v="12"/>
    <s v="Barilla"/>
    <s v="|56/01/38|"/>
    <n v="132"/>
    <n v="2.6066666666666665"/>
    <n v="2.8666666666666667"/>
  </r>
  <r>
    <x v="2"/>
    <s v="Hypermarkets"/>
    <x v="12"/>
    <s v="Barilla"/>
    <s v="|56/01/39|"/>
    <n v="156"/>
    <n v="2.6133333333333333"/>
    <n v="2.8733333333333335"/>
  </r>
  <r>
    <x v="2"/>
    <s v="Hypermarkets"/>
    <x v="12"/>
    <s v="Barilla"/>
    <s v="|56/01/40|"/>
    <n v="180"/>
    <n v="2.5666666666666669"/>
    <n v="2.92"/>
  </r>
  <r>
    <x v="2"/>
    <s v="Hypermarkets"/>
    <x v="12"/>
    <s v="Barilla"/>
    <s v="|56/01/41|"/>
    <n v="120"/>
    <n v="2.48"/>
    <n v="2.92"/>
  </r>
  <r>
    <x v="2"/>
    <s v="Hypermarkets"/>
    <x v="12"/>
    <s v="Barilla"/>
    <s v="|56/01/42|"/>
    <n v="120"/>
    <n v="2.5466666666666669"/>
    <n v="2.8933333333333335"/>
  </r>
  <r>
    <x v="2"/>
    <s v="Hypermarkets"/>
    <x v="12"/>
    <s v="Barilla"/>
    <s v="|56/01/43|"/>
    <n v="120"/>
    <n v="2.4066666666666667"/>
    <n v="2.88"/>
  </r>
  <r>
    <x v="2"/>
    <s v="Hypermarkets"/>
    <x v="12"/>
    <s v="Barilla"/>
    <s v="|56/01/44|"/>
    <n v="132"/>
    <n v="2.68"/>
    <n v="2.9333333333333331"/>
  </r>
  <r>
    <x v="2"/>
    <s v="Hypermarkets"/>
    <x v="12"/>
    <s v="Barilla"/>
    <s v="|56/01/45|"/>
    <n v="180"/>
    <n v="2.7533333333333334"/>
    <n v="2.9066666666666667"/>
  </r>
  <r>
    <x v="2"/>
    <s v="Hypermarkets"/>
    <x v="12"/>
    <s v="Barilla"/>
    <s v="|56/01/46|"/>
    <n v="132"/>
    <n v="2.74"/>
    <n v="2.9266666666666667"/>
  </r>
  <r>
    <x v="2"/>
    <s v="Hypermarkets"/>
    <x v="12"/>
    <s v="Barilla"/>
    <s v="|56/01/47|"/>
    <n v="132"/>
    <n v="2.5466666666666669"/>
    <n v="2.8733333333333335"/>
  </r>
  <r>
    <x v="2"/>
    <s v="Hypermarkets"/>
    <x v="12"/>
    <s v="Barilla"/>
    <s v="|56/01/48|"/>
    <n v="168"/>
    <n v="2.7866666666666666"/>
    <n v="2.98"/>
  </r>
  <r>
    <x v="2"/>
    <s v="Hypermarkets"/>
    <x v="12"/>
    <s v="Barilla"/>
    <s v="|56/01/49|"/>
    <n v="144"/>
    <n v="2.6933333333333334"/>
    <n v="2.8933333333333335"/>
  </r>
  <r>
    <x v="2"/>
    <s v="Hypermarkets"/>
    <x v="12"/>
    <s v="Barilla"/>
    <s v="|56/01/50|"/>
    <n v="144"/>
    <n v="2.7133333333333334"/>
    <n v="2.92"/>
  </r>
  <r>
    <x v="2"/>
    <s v="Hypermarkets"/>
    <x v="12"/>
    <s v="Barilla"/>
    <s v="|56/01/51|"/>
    <n v="120"/>
    <n v="2.6266666666666665"/>
    <n v="2.98"/>
  </r>
  <r>
    <x v="2"/>
    <s v="Hypermarkets"/>
    <x v="12"/>
    <s v="Barilla"/>
    <s v="|56/01/52|"/>
    <n v="120"/>
    <n v="2.3066666666666666"/>
    <n v="2.9533333333333331"/>
  </r>
  <r>
    <x v="2"/>
    <s v="Hypermarkets"/>
    <x v="12"/>
    <s v="Barilla"/>
    <s v="|56/01/53|"/>
    <n v="180"/>
    <n v="2.6933333333333334"/>
    <n v="2.92"/>
  </r>
  <r>
    <x v="2"/>
    <s v="Hypermarkets"/>
    <x v="12"/>
    <s v="Barilla"/>
    <s v="|56/01/54|"/>
    <n v="120"/>
    <n v="2.2666666666666666"/>
    <n v="2.96"/>
  </r>
  <r>
    <x v="2"/>
    <s v="Hypermarkets"/>
    <x v="12"/>
    <s v="Barilla"/>
    <s v="|56/01/55|"/>
    <n v="132"/>
    <n v="2.7533333333333334"/>
    <n v="2.9333333333333331"/>
  </r>
  <r>
    <x v="2"/>
    <s v="Hypermarkets"/>
    <x v="12"/>
    <s v="Barilla"/>
    <s v="|56/01/56|"/>
    <n v="180"/>
    <n v="2.7666666666666666"/>
    <n v="2.8866666666666667"/>
  </r>
  <r>
    <x v="2"/>
    <s v="Hypermarkets"/>
    <x v="12"/>
    <s v="Barilla"/>
    <s v="|56/02/01|"/>
    <n v="156"/>
    <n v="2.7933333333333334"/>
    <n v="2.96"/>
  </r>
  <r>
    <x v="2"/>
    <s v="Hypermarkets"/>
    <x v="12"/>
    <s v="Barilla"/>
    <s v="|56/02/02|"/>
    <n v="132"/>
    <n v="2.68"/>
    <n v="2.9066666666666667"/>
  </r>
  <r>
    <x v="2"/>
    <s v="Hypermarkets"/>
    <x v="12"/>
    <s v="Barilla"/>
    <s v="|56/01/57|"/>
    <n v="156"/>
    <n v="2.7533333333333334"/>
    <n v="3"/>
  </r>
  <r>
    <x v="2"/>
    <s v="Hypermarkets"/>
    <x v="13"/>
    <s v="Grana Padano"/>
    <s v="|15/01/01|"/>
    <n v="432"/>
    <n v="2.59"/>
    <n v="3.33"/>
  </r>
  <r>
    <x v="2"/>
    <s v="Hypermarkets"/>
    <x v="13"/>
    <s v="Grana Padano"/>
    <s v="|15/01/02|"/>
    <n v="516"/>
    <n v="2.7"/>
    <n v="3.59"/>
  </r>
  <r>
    <x v="2"/>
    <s v="Hypermarkets"/>
    <x v="13"/>
    <s v="Olympus"/>
    <s v="|133/01/01|"/>
    <n v="600"/>
    <n v="2.79"/>
    <n v="3.22"/>
  </r>
  <r>
    <x v="2"/>
    <s v="Hypermarkets"/>
    <x v="13"/>
    <s v="Olympus"/>
    <s v="|133/01/02|"/>
    <n v="264"/>
    <n v="2.0099999999999998"/>
    <n v="3.12"/>
  </r>
  <r>
    <x v="2"/>
    <s v="Hypermarkets"/>
    <x v="13"/>
    <s v="Olympus"/>
    <s v="|133/01/03|"/>
    <n v="168"/>
    <n v="2.67"/>
    <n v="3.4"/>
  </r>
  <r>
    <x v="2"/>
    <s v="Hypermarkets"/>
    <x v="12"/>
    <s v="Own label"/>
    <s v="|132/01/02|"/>
    <n v="120"/>
    <n v="2.4733333333333332"/>
    <n v="2.9666666666666668"/>
  </r>
  <r>
    <x v="2"/>
    <s v="Hypermarkets"/>
    <x v="13"/>
    <s v="Danone"/>
    <s v="|68/01/01|"/>
    <n v="240"/>
    <n v="2.21"/>
    <n v="3.56"/>
  </r>
  <r>
    <x v="2"/>
    <s v="Hypermarkets"/>
    <x v="13"/>
    <s v="Danone"/>
    <s v="|68/01/02|"/>
    <n v="120"/>
    <n v="2.4500000000000002"/>
    <n v="3.71"/>
  </r>
  <r>
    <x v="2"/>
    <s v="Hypermarkets"/>
    <x v="13"/>
    <s v="Danone"/>
    <s v="|68/01/03|"/>
    <n v="144"/>
    <n v="2.09"/>
    <n v="3.24"/>
  </r>
  <r>
    <x v="2"/>
    <s v="Hypermarkets"/>
    <x v="13"/>
    <s v="Danone"/>
    <s v="|68/01/04|"/>
    <n v="384"/>
    <n v="2.5"/>
    <n v="3.78"/>
  </r>
  <r>
    <x v="2"/>
    <s v="Hypermarkets"/>
    <x v="13"/>
    <s v="Danone"/>
    <s v="|68/01/05|"/>
    <n v="288"/>
    <n v="2.0299999999999998"/>
    <n v="3.54"/>
  </r>
  <r>
    <x v="2"/>
    <s v="Hypermarkets"/>
    <x v="13"/>
    <s v="Danone"/>
    <s v="|68/01/06|"/>
    <n v="600"/>
    <n v="2.61"/>
    <n v="3.43"/>
  </r>
  <r>
    <x v="2"/>
    <s v="Hypermarkets"/>
    <x v="13"/>
    <s v="Danone"/>
    <s v="|68/01/07|"/>
    <n v="312"/>
    <n v="2.17"/>
    <n v="3.31"/>
  </r>
  <r>
    <x v="2"/>
    <s v="Hypermarkets"/>
    <x v="13"/>
    <s v="Danone"/>
    <s v="|68/01/08|"/>
    <n v="204"/>
    <n v="2.34"/>
    <n v="3.24"/>
  </r>
  <r>
    <x v="2"/>
    <s v="Hypermarkets"/>
    <x v="13"/>
    <s v="Danone"/>
    <s v="|68/01/09|"/>
    <n v="504"/>
    <n v="2.64"/>
    <n v="3.73"/>
  </r>
  <r>
    <x v="2"/>
    <s v="Hypermarkets"/>
    <x v="13"/>
    <s v="Danone"/>
    <s v="|68/01/10|"/>
    <n v="132"/>
    <n v="2.29"/>
    <n v="3.18"/>
  </r>
  <r>
    <x v="2"/>
    <s v="Hypermarkets"/>
    <x v="13"/>
    <s v="Danone"/>
    <s v="|68/01/11|"/>
    <n v="564"/>
    <n v="2.41"/>
    <n v="3.53"/>
  </r>
  <r>
    <x v="2"/>
    <s v="Hypermarkets"/>
    <x v="13"/>
    <s v="Danone"/>
    <s v="|68/01/12|"/>
    <n v="576"/>
    <n v="2.5499999999999998"/>
    <n v="3.39"/>
  </r>
  <r>
    <x v="2"/>
    <s v="Hypermarkets"/>
    <x v="13"/>
    <s v="Danone"/>
    <s v="|68/01/13|"/>
    <n v="528"/>
    <n v="2.75"/>
    <n v="3.58"/>
  </r>
  <r>
    <x v="2"/>
    <s v="Hypermarkets"/>
    <x v="13"/>
    <s v="Danone"/>
    <s v="|68/01/14|"/>
    <n v="372"/>
    <n v="2.04"/>
    <n v="3.23"/>
  </r>
  <r>
    <x v="2"/>
    <s v="Hypermarkets"/>
    <x v="13"/>
    <s v="Danone"/>
    <s v="|68/01/15|"/>
    <n v="204"/>
    <n v="2.2799999999999998"/>
    <n v="3.77"/>
  </r>
  <r>
    <x v="2"/>
    <s v="Hypermarkets"/>
    <x v="13"/>
    <s v="Danone"/>
    <s v="|68/01/16|"/>
    <n v="408"/>
    <n v="2.72"/>
    <n v="3.54"/>
  </r>
  <r>
    <x v="2"/>
    <s v="Hypermarkets"/>
    <x v="13"/>
    <s v="Danone"/>
    <s v="|68/01/17|"/>
    <n v="336"/>
    <n v="2.41"/>
    <n v="3.42"/>
  </r>
  <r>
    <x v="2"/>
    <s v="Hypermarkets"/>
    <x v="12"/>
    <s v="Cirio"/>
    <s v="|71/01/01|"/>
    <n v="180"/>
    <n v="2.6"/>
    <n v="2.96"/>
  </r>
  <r>
    <x v="2"/>
    <s v="Hypermarkets"/>
    <x v="12"/>
    <s v="Cirio"/>
    <s v="|71/01/02|"/>
    <n v="144"/>
    <n v="2.3266666666666667"/>
    <n v="2.9066666666666667"/>
  </r>
  <r>
    <x v="2"/>
    <s v="Hypermarkets"/>
    <x v="12"/>
    <s v="Cirio"/>
    <s v="|71/01/03|"/>
    <n v="180"/>
    <n v="2.6733333333333333"/>
    <n v="2.9266666666666667"/>
  </r>
  <r>
    <x v="2"/>
    <s v="Hypermarkets"/>
    <x v="12"/>
    <s v="Cirio"/>
    <s v="|71/01/04|"/>
    <n v="120"/>
    <n v="2.3133333333333335"/>
    <n v="2.9866666666666668"/>
  </r>
  <r>
    <x v="2"/>
    <s v="Hypermarkets"/>
    <x v="12"/>
    <s v="Cirio"/>
    <s v="|71/01/05|"/>
    <n v="168"/>
    <n v="2.66"/>
    <n v="2.9133333333333336"/>
  </r>
  <r>
    <x v="2"/>
    <s v="Hypermarkets"/>
    <x v="12"/>
    <s v="Cirio"/>
    <s v="|71/01/06|"/>
    <n v="168"/>
    <n v="2.4666666666666668"/>
    <n v="2.96"/>
  </r>
  <r>
    <x v="2"/>
    <s v="Hypermarkets"/>
    <x v="12"/>
    <s v="Cirio"/>
    <s v="|71/01/07|"/>
    <n v="156"/>
    <n v="2.2866666666666666"/>
    <n v="2.9866666666666668"/>
  </r>
  <r>
    <x v="2"/>
    <s v="Hypermarkets"/>
    <x v="12"/>
    <s v="Cirio"/>
    <s v="|71/01/08|"/>
    <n v="120"/>
    <n v="2.6066666666666665"/>
    <n v="2.8866666666666667"/>
  </r>
  <r>
    <x v="2"/>
    <s v="Hypermarkets"/>
    <x v="12"/>
    <s v="Cirio"/>
    <s v="|71/01/09|"/>
    <n v="156"/>
    <n v="2.8"/>
    <n v="2.98"/>
  </r>
  <r>
    <x v="2"/>
    <s v="Hypermarkets"/>
    <x v="12"/>
    <s v="Cirio"/>
    <s v="|71/01/10|"/>
    <n v="168"/>
    <n v="2.7666666666666666"/>
    <n v="2.9333333333333331"/>
  </r>
  <r>
    <x v="2"/>
    <s v="Hypermarkets"/>
    <x v="12"/>
    <s v="Cirio"/>
    <s v="|71/01/11|"/>
    <n v="120"/>
    <n v="2.7"/>
    <n v="2.94"/>
  </r>
  <r>
    <x v="2"/>
    <s v="Hypermarkets"/>
    <x v="12"/>
    <s v="Cirio"/>
    <s v="|71/01/12|"/>
    <n v="156"/>
    <n v="2.4466666666666668"/>
    <n v="3"/>
  </r>
  <r>
    <x v="2"/>
    <s v="Hypermarkets"/>
    <x v="12"/>
    <s v="Cirio"/>
    <s v="|71/01/13|"/>
    <n v="144"/>
    <n v="2.4"/>
    <n v="2.92"/>
  </r>
  <r>
    <x v="2"/>
    <s v="Hypermarkets"/>
    <x v="12"/>
    <s v="Cirio"/>
    <s v="|71/01/14|"/>
    <n v="156"/>
    <n v="2.5466666666666669"/>
    <n v="2.92"/>
  </r>
  <r>
    <x v="2"/>
    <s v="Hypermarkets"/>
    <x v="12"/>
    <s v="Cirio"/>
    <s v="|71/01/15|"/>
    <n v="144"/>
    <n v="2.7"/>
    <n v="2.88"/>
  </r>
  <r>
    <x v="2"/>
    <s v="Hypermarkets"/>
    <x v="12"/>
    <s v="Cirio"/>
    <s v="|71/01/16|"/>
    <n v="132"/>
    <n v="2.7066666666666666"/>
    <n v="2.9"/>
  </r>
  <r>
    <x v="2"/>
    <s v="Hypermarkets"/>
    <x v="12"/>
    <s v="Cirio"/>
    <s v="|71/01/17|"/>
    <n v="120"/>
    <n v="2.34"/>
    <n v="2.9866666666666668"/>
  </r>
  <r>
    <x v="2"/>
    <s v="Hypermarkets"/>
    <x v="12"/>
    <s v="Cirio"/>
    <s v="|71/01/18|"/>
    <n v="144"/>
    <n v="2.3666666666666667"/>
    <n v="3"/>
  </r>
  <r>
    <x v="2"/>
    <s v="Hypermarkets"/>
    <x v="12"/>
    <s v="Cirio"/>
    <s v="|71/01/19|"/>
    <n v="120"/>
    <n v="2.54"/>
    <n v="2.9"/>
  </r>
  <r>
    <x v="2"/>
    <s v="Hypermarkets"/>
    <x v="12"/>
    <s v="Cirio"/>
    <s v="|71/02/04|"/>
    <n v="132"/>
    <n v="2.5133333333333332"/>
    <n v="2.9666666666666668"/>
  </r>
  <r>
    <x v="2"/>
    <s v="Hypermarkets"/>
    <x v="12"/>
    <s v="Cirio"/>
    <s v="|71/02/01|"/>
    <n v="180"/>
    <n v="2.36"/>
    <n v="2.92"/>
  </r>
  <r>
    <x v="2"/>
    <s v="Hypermarkets"/>
    <x v="12"/>
    <s v="Cirio"/>
    <s v="|71/02/02|"/>
    <n v="180"/>
    <n v="2.48"/>
    <n v="2.9"/>
  </r>
  <r>
    <x v="2"/>
    <s v="Hypermarkets"/>
    <x v="12"/>
    <s v="Cirio"/>
    <s v="|71/02/03|"/>
    <n v="144"/>
    <n v="2.3933333333333335"/>
    <n v="2.9933333333333332"/>
  </r>
  <r>
    <x v="2"/>
    <s v="Hypermarkets"/>
    <x v="14"/>
    <s v="San Benedetto Bread"/>
    <s v="|27/01/01|"/>
    <n v="2364"/>
    <n v="0.87"/>
    <n v="0.94"/>
  </r>
  <r>
    <x v="2"/>
    <s v="Hypermarkets"/>
    <x v="14"/>
    <s v="San Benedetto Bread"/>
    <s v="|27/01/02|"/>
    <n v="2400"/>
    <n v="0.8"/>
    <n v="0.97"/>
  </r>
  <r>
    <x v="2"/>
    <s v="Hypermarkets"/>
    <x v="14"/>
    <s v="San Benedetto Bread"/>
    <s v="|27/01/03|"/>
    <n v="1488"/>
    <n v="0.78"/>
    <n v="0.94"/>
  </r>
  <r>
    <x v="2"/>
    <s v="Hypermarkets"/>
    <x v="14"/>
    <s v="San Benedetto Bread"/>
    <s v="|27/01/04|"/>
    <n v="1752"/>
    <n v="0.9"/>
    <n v="0.95"/>
  </r>
  <r>
    <x v="2"/>
    <s v="Hypermarkets"/>
    <x v="14"/>
    <s v="San Benedetto Bread"/>
    <s v="|27/01/10|"/>
    <n v="2172"/>
    <n v="0.89"/>
    <n v="0.91"/>
  </r>
  <r>
    <x v="2"/>
    <s v="Hypermarkets"/>
    <x v="14"/>
    <s v="San Benedetto Bread"/>
    <s v="|27/01/11|"/>
    <n v="1920"/>
    <n v="0.74"/>
    <n v="1"/>
  </r>
  <r>
    <x v="2"/>
    <s v="Hypermarkets"/>
    <x v="14"/>
    <s v="San Benedetto Bread"/>
    <s v="|27/01/12|"/>
    <n v="1608"/>
    <n v="0.74"/>
    <n v="0.94"/>
  </r>
  <r>
    <x v="2"/>
    <s v="Hypermarkets"/>
    <x v="14"/>
    <s v="San Benedetto Bread"/>
    <s v="|27/01/13|"/>
    <n v="1200"/>
    <n v="0.78"/>
    <n v="0.91"/>
  </r>
  <r>
    <x v="2"/>
    <s v="Hypermarkets"/>
    <x v="14"/>
    <s v="San Benedetto Bread"/>
    <s v="|27/01/20|"/>
    <n v="1416"/>
    <n v="0.82"/>
    <n v="0.96"/>
  </r>
  <r>
    <x v="2"/>
    <s v="Hypermarkets"/>
    <x v="14"/>
    <s v="San Benedetto Bread"/>
    <s v="|27/01/21|"/>
    <n v="2208"/>
    <n v="0.84"/>
    <n v="0.94"/>
  </r>
  <r>
    <x v="2"/>
    <s v="Hypermarkets"/>
    <x v="14"/>
    <s v="San Benedetto Bread"/>
    <s v="|27/01/22|"/>
    <n v="2148"/>
    <n v="0.81"/>
    <n v="0.9"/>
  </r>
  <r>
    <x v="2"/>
    <s v="Hypermarkets"/>
    <x v="14"/>
    <s v="San Benedetto Bread"/>
    <s v="|27/01/23|"/>
    <n v="1788"/>
    <n v="0.83"/>
    <n v="1"/>
  </r>
  <r>
    <x v="2"/>
    <s v="Hypermarkets"/>
    <x v="14"/>
    <s v="San Benedetto Bread"/>
    <s v="|27/01/26|"/>
    <n v="1356"/>
    <n v="0.76"/>
    <n v="0.92"/>
  </r>
  <r>
    <x v="2"/>
    <s v="Hypermarkets"/>
    <x v="14"/>
    <s v="San Benedetto Bread"/>
    <s v="|27/01/27|"/>
    <n v="1500"/>
    <n v="0.89"/>
    <n v="0.99"/>
  </r>
  <r>
    <x v="2"/>
    <s v="Hypermarkets"/>
    <x v="14"/>
    <s v="San Benedetto Bread"/>
    <s v="|27/01/28|"/>
    <n v="1344"/>
    <n v="0.87"/>
    <n v="0.93"/>
  </r>
  <r>
    <x v="2"/>
    <s v="Hypermarkets"/>
    <x v="14"/>
    <s v="San Benedetto Bread"/>
    <s v="|27/01/29|"/>
    <n v="2076"/>
    <n v="0.72"/>
    <n v="0.97"/>
  </r>
  <r>
    <x v="2"/>
    <s v="Hypermarkets"/>
    <x v="14"/>
    <s v="San Benedetto Bread"/>
    <s v="|27/01/30|"/>
    <n v="1800"/>
    <n v="0.8"/>
    <n v="0.98"/>
  </r>
  <r>
    <x v="2"/>
    <s v="Hypermarkets"/>
    <x v="14"/>
    <s v="San Benedetto Bread"/>
    <s v="|27/01/31|"/>
    <n v="1656"/>
    <n v="0.74"/>
    <n v="0.99"/>
  </r>
  <r>
    <x v="2"/>
    <s v="Hypermarkets"/>
    <x v="14"/>
    <s v="San Benedetto Bread"/>
    <s v="|27/01/32|"/>
    <n v="1680"/>
    <n v="0.74"/>
    <n v="0.96"/>
  </r>
  <r>
    <x v="2"/>
    <s v="Hypermarkets"/>
    <x v="14"/>
    <s v="San Benedetto Bread"/>
    <s v="|27/01/33|"/>
    <n v="1764"/>
    <n v="0.71"/>
    <n v="0.99"/>
  </r>
  <r>
    <x v="2"/>
    <s v="Hypermarkets"/>
    <x v="14"/>
    <s v="San Benedetto Bread"/>
    <s v="|27/01/50|"/>
    <n v="1992"/>
    <n v="0.89"/>
    <n v="0.91"/>
  </r>
  <r>
    <x v="2"/>
    <s v="Hypermarkets"/>
    <x v="14"/>
    <s v="San Benedetto Bread"/>
    <s v="|27/01/51|"/>
    <n v="1860"/>
    <n v="0.85"/>
    <n v="0.99"/>
  </r>
  <r>
    <x v="2"/>
    <s v="Hypermarkets"/>
    <x v="14"/>
    <s v="San Benedetto Bread"/>
    <s v="|27/01/52|"/>
    <n v="2172"/>
    <n v="0.72"/>
    <n v="0.98"/>
  </r>
  <r>
    <x v="2"/>
    <s v="Hypermarkets"/>
    <x v="12"/>
    <s v="Atkins"/>
    <s v="|80/00/05|"/>
    <n v="120"/>
    <n v="2.6"/>
    <n v="2.9333333333333331"/>
  </r>
  <r>
    <x v="2"/>
    <s v="Hypermarkets"/>
    <x v="12"/>
    <s v="Atkins"/>
    <s v="|88/00/00|"/>
    <n v="144"/>
    <n v="2.7733333333333334"/>
    <n v="2.8933333333333335"/>
  </r>
  <r>
    <x v="2"/>
    <s v="Hypermarkets"/>
    <x v="12"/>
    <s v="Atkins"/>
    <s v="|88/00/01|"/>
    <n v="168"/>
    <n v="2.4866666666666668"/>
    <n v="2.8866666666666667"/>
  </r>
  <r>
    <x v="2"/>
    <s v="Hypermarkets"/>
    <x v="12"/>
    <s v="Atkins"/>
    <s v="|88/00/02|"/>
    <n v="180"/>
    <n v="2.44"/>
    <n v="2.9866666666666668"/>
  </r>
  <r>
    <x v="2"/>
    <s v="Hypermarkets"/>
    <x v="12"/>
    <s v="Atkins"/>
    <s v="|88/00/03|"/>
    <n v="132"/>
    <n v="2.5333333333333332"/>
    <n v="2.9066666666666667"/>
  </r>
  <r>
    <x v="2"/>
    <s v="Hypermarkets"/>
    <x v="12"/>
    <s v="Atkins"/>
    <s v="|88/00/04|"/>
    <n v="144"/>
    <n v="2.5466666666666669"/>
    <n v="2.98"/>
  </r>
  <r>
    <x v="2"/>
    <s v="Hypermarkets"/>
    <x v="12"/>
    <s v="Atkins"/>
    <s v="|88/00/05|"/>
    <n v="156"/>
    <n v="2.2666666666666666"/>
    <n v="2.8666666666666667"/>
  </r>
  <r>
    <x v="2"/>
    <s v="Hypermarkets"/>
    <x v="12"/>
    <s v="Atkins"/>
    <s v="|88/00/06|"/>
    <n v="132"/>
    <n v="2.7"/>
    <n v="2.9"/>
  </r>
  <r>
    <x v="2"/>
    <s v="Hypermarkets"/>
    <x v="12"/>
    <s v="Atkins"/>
    <s v="|88/00/07|"/>
    <n v="144"/>
    <n v="2.5866666666666664"/>
    <n v="2.9733333333333332"/>
  </r>
  <r>
    <x v="2"/>
    <s v="Hypermarkets"/>
    <x v="12"/>
    <s v="Atkins"/>
    <s v="|88/00/08|"/>
    <n v="144"/>
    <n v="2.7"/>
    <n v="2.92"/>
  </r>
  <r>
    <x v="2"/>
    <s v="Hypermarkets"/>
    <x v="12"/>
    <s v="Atkins"/>
    <s v="|88/00/09|"/>
    <n v="156"/>
    <n v="2.4066666666666667"/>
    <n v="2.9933333333333332"/>
  </r>
  <r>
    <x v="2"/>
    <s v="Hypermarkets"/>
    <x v="12"/>
    <s v="Atkins"/>
    <s v="|88/00/10|"/>
    <n v="120"/>
    <n v="2.6466666666666665"/>
    <n v="2.9466666666666668"/>
  </r>
  <r>
    <x v="2"/>
    <s v="Hypermarkets"/>
    <x v="12"/>
    <s v="Atkins"/>
    <s v="|88/00/11|"/>
    <n v="120"/>
    <n v="2.6533333333333333"/>
    <n v="2.9933333333333332"/>
  </r>
  <r>
    <x v="2"/>
    <s v="Hypermarkets"/>
    <x v="12"/>
    <s v="Atkins"/>
    <s v="|88/00/12|"/>
    <n v="180"/>
    <n v="2.6933333333333334"/>
    <n v="2.9466666666666668"/>
  </r>
  <r>
    <x v="2"/>
    <s v="Hypermarkets"/>
    <x v="12"/>
    <s v="Atkins"/>
    <s v="|88/00/13|"/>
    <n v="132"/>
    <n v="2.5666666666666669"/>
    <n v="2.9866666666666668"/>
  </r>
  <r>
    <x v="2"/>
    <s v="Hypermarkets"/>
    <x v="12"/>
    <s v="Atkins"/>
    <s v="|88/00/14|"/>
    <n v="156"/>
    <n v="2.3666666666666667"/>
    <n v="2.9066666666666667"/>
  </r>
  <r>
    <x v="2"/>
    <s v="Hypermarkets"/>
    <x v="12"/>
    <s v="Atkins"/>
    <s v="|88/00/15|"/>
    <n v="168"/>
    <n v="2.7533333333333334"/>
    <n v="2.9733333333333332"/>
  </r>
  <r>
    <x v="2"/>
    <s v="Hypermarkets"/>
    <x v="12"/>
    <s v="Atkins"/>
    <s v="|88/00/16|"/>
    <n v="132"/>
    <n v="2.4266666666666667"/>
    <n v="2.9733333333333332"/>
  </r>
  <r>
    <x v="2"/>
    <s v="Hypermarkets"/>
    <x v="12"/>
    <s v="Atkins"/>
    <s v="|88/00/17|"/>
    <n v="156"/>
    <n v="2.7666666666666666"/>
    <n v="2.8666666666666667"/>
  </r>
  <r>
    <x v="2"/>
    <s v="Hypermarkets"/>
    <x v="12"/>
    <s v="Atkins"/>
    <s v="|88/00/18|"/>
    <n v="132"/>
    <n v="2.7666666666666666"/>
    <n v="2.9133333333333336"/>
  </r>
  <r>
    <x v="2"/>
    <s v="Hypermarkets"/>
    <x v="12"/>
    <s v="Atkins"/>
    <s v="|88/00/19|"/>
    <n v="120"/>
    <n v="2.2799999999999998"/>
    <n v="2.9866666666666668"/>
  </r>
  <r>
    <x v="2"/>
    <s v="Hypermarkets"/>
    <x v="12"/>
    <s v="Atkins"/>
    <s v="|88/00/20|"/>
    <n v="156"/>
    <n v="2.6733333333333333"/>
    <n v="2.9266666666666667"/>
  </r>
  <r>
    <x v="2"/>
    <s v="Hypermarkets"/>
    <x v="12"/>
    <s v="Atkins"/>
    <s v="|88/00/21|"/>
    <n v="132"/>
    <n v="2.5"/>
    <n v="2.9533333333333331"/>
  </r>
  <r>
    <x v="2"/>
    <s v="Hypermarkets"/>
    <x v="12"/>
    <s v="Atkins"/>
    <s v="|88/00/22|"/>
    <n v="168"/>
    <n v="2.7"/>
    <n v="2.8933333333333335"/>
  </r>
  <r>
    <x v="2"/>
    <s v="Hypermarkets"/>
    <x v="12"/>
    <s v="Atkins"/>
    <s v="|88/00/23|"/>
    <n v="180"/>
    <n v="2.5333333333333332"/>
    <n v="2.9"/>
  </r>
  <r>
    <x v="2"/>
    <s v="Hypermarkets"/>
    <x v="12"/>
    <s v="Atkins"/>
    <s v="|88/00/24|"/>
    <n v="180"/>
    <n v="2.3199999999999998"/>
    <n v="2.9666666666666668"/>
  </r>
  <r>
    <x v="2"/>
    <s v="Hypermarkets"/>
    <x v="12"/>
    <s v="Atkins"/>
    <s v="|88/00/25|"/>
    <n v="156"/>
    <n v="2.5466666666666669"/>
    <n v="2.9733333333333332"/>
  </r>
  <r>
    <x v="2"/>
    <s v="Hypermarkets"/>
    <x v="12"/>
    <s v="Atkins"/>
    <s v="|88/00/26|"/>
    <n v="120"/>
    <n v="2.5533333333333332"/>
    <n v="2.8866666666666667"/>
  </r>
  <r>
    <x v="2"/>
    <s v="Hypermarkets"/>
    <x v="12"/>
    <s v="Atkins"/>
    <s v="|88/00/27|"/>
    <n v="168"/>
    <n v="2.7266666666666666"/>
    <n v="3"/>
  </r>
  <r>
    <x v="2"/>
    <s v="Hypermarkets"/>
    <x v="12"/>
    <s v="Atkins"/>
    <s v="|88/00/28|"/>
    <n v="156"/>
    <n v="2.62"/>
    <n v="2.9933333333333332"/>
  </r>
  <r>
    <x v="2"/>
    <s v="Hypermarkets"/>
    <x v="12"/>
    <s v="Atkins"/>
    <s v="|88/00/29|"/>
    <n v="168"/>
    <n v="2.62"/>
    <n v="2.9133333333333336"/>
  </r>
  <r>
    <x v="2"/>
    <s v="Hypermarkets"/>
    <x v="12"/>
    <s v="Atkins"/>
    <s v="|88/00/30|"/>
    <n v="144"/>
    <n v="2.4866666666666668"/>
    <n v="3"/>
  </r>
  <r>
    <x v="2"/>
    <s v="Hypermarkets"/>
    <x v="12"/>
    <s v="Atkins"/>
    <s v="|88/00/31|"/>
    <n v="132"/>
    <n v="2.36"/>
    <n v="2.8866666666666667"/>
  </r>
  <r>
    <x v="2"/>
    <s v="Hypermarkets"/>
    <x v="12"/>
    <s v="Atkins"/>
    <s v="|88/00/32|"/>
    <n v="180"/>
    <n v="2.3733333333333335"/>
    <n v="3"/>
  </r>
  <r>
    <x v="2"/>
    <s v="Hypermarkets"/>
    <x v="12"/>
    <s v="Atkins"/>
    <s v="|88/00/33|"/>
    <n v="132"/>
    <n v="2.7266666666666666"/>
    <n v="2.94"/>
  </r>
  <r>
    <x v="2"/>
    <s v="Hypermarkets"/>
    <x v="12"/>
    <s v="Atkins"/>
    <s v="|88/00/34|"/>
    <n v="120"/>
    <n v="2.3866666666666667"/>
    <n v="2.9066666666666667"/>
  </r>
  <r>
    <x v="2"/>
    <s v="Hypermarkets"/>
    <x v="12"/>
    <s v="Atkins"/>
    <s v="|88/00/35|"/>
    <n v="144"/>
    <n v="2.5066666666666668"/>
    <n v="2.9133333333333336"/>
  </r>
  <r>
    <x v="2"/>
    <s v="Hypermarkets"/>
    <x v="12"/>
    <s v="Atkins"/>
    <s v="|88/00/36|"/>
    <n v="156"/>
    <n v="2.7266666666666666"/>
    <n v="2.9266666666666667"/>
  </r>
  <r>
    <x v="2"/>
    <s v="Hypermarkets"/>
    <x v="12"/>
    <s v="Atkins"/>
    <s v="|88/00/37|"/>
    <n v="180"/>
    <n v="2.5866666666666664"/>
    <n v="2.98"/>
  </r>
  <r>
    <x v="2"/>
    <s v="Hypermarkets"/>
    <x v="12"/>
    <s v="Atkins"/>
    <s v="|88/00/38|"/>
    <n v="180"/>
    <n v="2.6266666666666665"/>
    <n v="2.8933333333333335"/>
  </r>
  <r>
    <x v="2"/>
    <s v="Hypermarkets"/>
    <x v="12"/>
    <s v="Atkins"/>
    <s v="|88/00/39|"/>
    <n v="156"/>
    <n v="2.6933333333333334"/>
    <n v="2.9"/>
  </r>
  <r>
    <x v="2"/>
    <s v="Hypermarkets"/>
    <x v="12"/>
    <s v="Atkins"/>
    <s v="|88/00/40|"/>
    <n v="120"/>
    <n v="2.3733333333333335"/>
    <n v="2.9"/>
  </r>
  <r>
    <x v="2"/>
    <s v="Hypermarkets"/>
    <x v="12"/>
    <s v="Atkins"/>
    <s v="|88/00/41|"/>
    <n v="132"/>
    <n v="2.5866666666666664"/>
    <n v="2.8666666666666667"/>
  </r>
  <r>
    <x v="2"/>
    <s v="Hypermarkets"/>
    <x v="12"/>
    <s v="Atkins"/>
    <s v="|88/00/42|"/>
    <n v="156"/>
    <n v="2.8"/>
    <n v="2.9533333333333331"/>
  </r>
  <r>
    <x v="2"/>
    <s v="Hypermarkets"/>
    <x v="12"/>
    <s v="Atkins"/>
    <s v="|88/00/43|"/>
    <n v="156"/>
    <n v="2.4866666666666668"/>
    <n v="2.96"/>
  </r>
  <r>
    <x v="2"/>
    <s v="Hypermarkets"/>
    <x v="12"/>
    <s v="Atkins"/>
    <s v="|88/00/44|"/>
    <n v="168"/>
    <n v="2.68"/>
    <n v="2.9533333333333331"/>
  </r>
  <r>
    <x v="2"/>
    <s v="Hypermarkets"/>
    <x v="12"/>
    <s v="Atkins"/>
    <s v="|88/00/46|"/>
    <n v="156"/>
    <n v="2.7666666666666666"/>
    <n v="2.8733333333333335"/>
  </r>
  <r>
    <x v="2"/>
    <s v="Hypermarkets"/>
    <x v="12"/>
    <s v="Atkins"/>
    <s v="|88/00/47|"/>
    <n v="156"/>
    <n v="2.2866666666666666"/>
    <n v="2.8666666666666667"/>
  </r>
  <r>
    <x v="2"/>
    <s v="Hypermarkets"/>
    <x v="12"/>
    <s v="Atkins"/>
    <s v="|88/00/48|"/>
    <n v="180"/>
    <n v="2.4666666666666668"/>
    <n v="2.92"/>
  </r>
  <r>
    <x v="2"/>
    <s v="Hypermarkets"/>
    <x v="12"/>
    <s v="Atkins"/>
    <s v="|88/00/49|"/>
    <n v="180"/>
    <n v="2.5733333333333333"/>
    <n v="2.9533333333333331"/>
  </r>
  <r>
    <x v="2"/>
    <s v="Hypermarkets"/>
    <x v="12"/>
    <s v="Atkins"/>
    <s v="|88/00/50|"/>
    <n v="168"/>
    <n v="2.3333333333333335"/>
    <n v="2.8666666666666667"/>
  </r>
  <r>
    <x v="2"/>
    <s v="Hypermarkets"/>
    <x v="12"/>
    <s v="Atkins"/>
    <s v="|88/00/51|"/>
    <n v="120"/>
    <n v="2.4133333333333336"/>
    <n v="3"/>
  </r>
  <r>
    <x v="2"/>
    <s v="Hypermarkets"/>
    <x v="12"/>
    <s v="Atkins"/>
    <s v="|88/00/52|"/>
    <n v="144"/>
    <n v="2.62"/>
    <n v="2.9266666666666667"/>
  </r>
  <r>
    <x v="2"/>
    <s v="Hypermarkets"/>
    <x v="12"/>
    <s v="Atkins"/>
    <s v="|88/00/53|"/>
    <n v="120"/>
    <n v="2.7"/>
    <n v="2.88"/>
  </r>
  <r>
    <x v="2"/>
    <s v="Hypermarkets"/>
    <x v="12"/>
    <s v="Atkins"/>
    <s v="|88/00/54|"/>
    <n v="156"/>
    <n v="2.6"/>
    <n v="2.88"/>
  </r>
  <r>
    <x v="2"/>
    <s v="Hypermarkets"/>
    <x v="12"/>
    <s v="Atkins"/>
    <s v="|88/00/55|"/>
    <n v="168"/>
    <n v="2.5866666666666664"/>
    <n v="2.9"/>
  </r>
  <r>
    <x v="2"/>
    <s v="Hypermarkets"/>
    <x v="12"/>
    <s v="Atkins"/>
    <s v="|88/00/56|"/>
    <n v="156"/>
    <n v="2.3466666666666667"/>
    <n v="2.9666666666666668"/>
  </r>
  <r>
    <x v="2"/>
    <s v="Hypermarkets"/>
    <x v="12"/>
    <s v="Atkins"/>
    <s v="|88/00/57|"/>
    <n v="144"/>
    <n v="2.7466666666666666"/>
    <n v="2.88"/>
  </r>
  <r>
    <x v="2"/>
    <s v="Hypermarkets"/>
    <x v="12"/>
    <s v="Atkins"/>
    <s v="|88/00/58|"/>
    <n v="120"/>
    <n v="2.78"/>
    <n v="2.9"/>
  </r>
  <r>
    <x v="2"/>
    <s v="Hypermarkets"/>
    <x v="12"/>
    <s v="Atkins"/>
    <s v="|88/00/59|"/>
    <n v="180"/>
    <n v="2.7466666666666666"/>
    <n v="2.9666666666666668"/>
  </r>
  <r>
    <x v="2"/>
    <s v="Hypermarkets"/>
    <x v="12"/>
    <s v="Atkins"/>
    <s v="|88/00/60|"/>
    <n v="180"/>
    <n v="2.3666666666666667"/>
    <n v="2.9866666666666668"/>
  </r>
  <r>
    <x v="2"/>
    <s v="Hypermarkets"/>
    <x v="12"/>
    <s v="Atkins"/>
    <s v="|88/00/61|"/>
    <n v="132"/>
    <n v="2.5733333333333333"/>
    <n v="2.98"/>
  </r>
  <r>
    <x v="2"/>
    <s v="Hypermarkets"/>
    <x v="12"/>
    <s v="Atkins"/>
    <s v="|88/00/62|"/>
    <n v="156"/>
    <n v="2.5266666666666668"/>
    <n v="2.8933333333333335"/>
  </r>
  <r>
    <x v="2"/>
    <s v="Hypermarkets"/>
    <x v="12"/>
    <s v="Atkins"/>
    <s v="|88/00/64|"/>
    <n v="144"/>
    <n v="2.4"/>
    <n v="2.94"/>
  </r>
  <r>
    <x v="2"/>
    <s v="Hypermarkets"/>
    <x v="12"/>
    <s v="Atkins"/>
    <s v="|88/00/65|"/>
    <n v="144"/>
    <n v="2.4533333333333331"/>
    <n v="2.9133333333333336"/>
  </r>
  <r>
    <x v="2"/>
    <s v="Hypermarkets"/>
    <x v="12"/>
    <s v="Atkins"/>
    <s v="|88/00/67|"/>
    <n v="180"/>
    <n v="2.4666666666666668"/>
    <n v="2.88"/>
  </r>
  <r>
    <x v="2"/>
    <s v="Hypermarkets"/>
    <x v="12"/>
    <s v="Atkins"/>
    <s v="|88/00/68|"/>
    <n v="156"/>
    <n v="2.2733333333333334"/>
    <n v="2.92"/>
  </r>
  <r>
    <x v="2"/>
    <s v="Hypermarkets"/>
    <x v="12"/>
    <s v="Atkins"/>
    <s v="|88/00/69|"/>
    <n v="120"/>
    <n v="2.7266666666666666"/>
    <n v="2.94"/>
  </r>
  <r>
    <x v="2"/>
    <s v="Hypermarkets"/>
    <x v="12"/>
    <s v="Atkins"/>
    <s v="|88/00/70|"/>
    <n v="168"/>
    <n v="2.6466666666666665"/>
    <n v="2.9266666666666667"/>
  </r>
  <r>
    <x v="2"/>
    <s v="Hypermarkets"/>
    <x v="12"/>
    <s v="Atkins"/>
    <s v="|88/00/71|"/>
    <n v="144"/>
    <n v="2.5066666666666668"/>
    <n v="3"/>
  </r>
  <r>
    <x v="2"/>
    <s v="Hypermarkets"/>
    <x v="12"/>
    <s v="Atkins"/>
    <s v="|88/00/72|"/>
    <n v="180"/>
    <n v="2.5"/>
    <n v="2.9333333333333331"/>
  </r>
  <r>
    <x v="2"/>
    <s v="Hypermarkets"/>
    <x v="12"/>
    <s v="Atkins"/>
    <s v="|88/00/73|"/>
    <n v="120"/>
    <n v="2.58"/>
    <n v="2.9"/>
  </r>
  <r>
    <x v="2"/>
    <s v="Hypermarkets"/>
    <x v="12"/>
    <s v="Atkins"/>
    <s v="|88/00/74|"/>
    <n v="120"/>
    <n v="2.74"/>
    <n v="2.8666666666666667"/>
  </r>
  <r>
    <x v="2"/>
    <s v="Hypermarkets"/>
    <x v="12"/>
    <s v="Atkins"/>
    <s v="|88/00/75|"/>
    <n v="144"/>
    <n v="2.8"/>
    <n v="2.9733333333333332"/>
  </r>
  <r>
    <x v="2"/>
    <s v="Hypermarkets"/>
    <x v="12"/>
    <s v="Atkins"/>
    <s v="|88/00/76|"/>
    <n v="180"/>
    <n v="2.5733333333333333"/>
    <n v="2.8933333333333335"/>
  </r>
  <r>
    <x v="2"/>
    <s v="Hypermarkets"/>
    <x v="12"/>
    <s v="Atkins"/>
    <s v="|88/00/77|"/>
    <n v="144"/>
    <n v="2.3133333333333335"/>
    <n v="2.9466666666666668"/>
  </r>
  <r>
    <x v="2"/>
    <s v="Hypermarkets"/>
    <x v="12"/>
    <s v="Atkins"/>
    <s v="|88/00/78|"/>
    <n v="180"/>
    <n v="2.72"/>
    <n v="2.8666666666666667"/>
  </r>
  <r>
    <x v="2"/>
    <s v="Hypermarkets"/>
    <x v="12"/>
    <s v="Atkins"/>
    <s v="|88/00/79|"/>
    <n v="144"/>
    <n v="2.74"/>
    <n v="2.8866666666666667"/>
  </r>
  <r>
    <x v="2"/>
    <s v="Hypermarkets"/>
    <x v="12"/>
    <s v="Spicers"/>
    <s v="|127/01/01|"/>
    <n v="132"/>
    <n v="2.5333333333333332"/>
    <n v="2.9333333333333331"/>
  </r>
  <r>
    <x v="2"/>
    <s v="Hypermarkets"/>
    <x v="12"/>
    <s v="Spicers"/>
    <s v="|127/01/02|"/>
    <n v="156"/>
    <n v="2.38"/>
    <n v="2.9333333333333331"/>
  </r>
  <r>
    <x v="2"/>
    <s v="Hypermarkets"/>
    <x v="12"/>
    <s v="Spicers"/>
    <s v="|127/01/03|"/>
    <n v="168"/>
    <n v="2.76"/>
    <n v="2.94"/>
  </r>
  <r>
    <x v="2"/>
    <s v="Hypermarkets"/>
    <x v="12"/>
    <s v="Spicers"/>
    <s v="|127/01/04|"/>
    <n v="156"/>
    <n v="2.4"/>
    <n v="2.9333333333333331"/>
  </r>
  <r>
    <x v="2"/>
    <s v="Hypermarkets"/>
    <x v="12"/>
    <s v="Parmareggio"/>
    <s v="|101/01/00|"/>
    <n v="180"/>
    <n v="2.64"/>
    <n v="2.9733333333333332"/>
  </r>
  <r>
    <x v="2"/>
    <s v="Hypermarkets"/>
    <x v="12"/>
    <s v="Parmareggio"/>
    <s v="|101/01/01|"/>
    <n v="156"/>
    <n v="2.6466666666666665"/>
    <n v="3"/>
  </r>
  <r>
    <x v="2"/>
    <s v="Hypermarkets"/>
    <x v="12"/>
    <s v="Parmareggio"/>
    <s v="|101/01/02|"/>
    <n v="132"/>
    <n v="2.56"/>
    <n v="2.98"/>
  </r>
  <r>
    <x v="2"/>
    <s v="Hypermarkets"/>
    <x v="12"/>
    <s v="Parmareggio"/>
    <s v="|101/01/03|"/>
    <n v="132"/>
    <n v="2.4466666666666668"/>
    <n v="2.9333333333333331"/>
  </r>
  <r>
    <x v="2"/>
    <s v="Hypermarkets"/>
    <x v="12"/>
    <s v="Parmareggio"/>
    <s v="|101/01/04|"/>
    <n v="132"/>
    <n v="2.62"/>
    <n v="2.9733333333333332"/>
  </r>
  <r>
    <x v="2"/>
    <s v="Hypermarkets"/>
    <x v="12"/>
    <s v="Parmareggio"/>
    <s v="|101/01/05|"/>
    <n v="180"/>
    <n v="2.4466666666666668"/>
    <n v="2.96"/>
  </r>
  <r>
    <x v="2"/>
    <s v="Hypermarkets"/>
    <x v="12"/>
    <s v="Parmareggio"/>
    <s v="|101/01/06|"/>
    <n v="120"/>
    <n v="2.3533333333333335"/>
    <n v="2.9466666666666668"/>
  </r>
  <r>
    <x v="2"/>
    <s v="Hypermarkets"/>
    <x v="12"/>
    <s v="Parmareggio"/>
    <s v="|101/01/07|"/>
    <n v="156"/>
    <n v="2.6666666666666665"/>
    <n v="2.8866666666666667"/>
  </r>
  <r>
    <x v="2"/>
    <s v="Hypermarkets"/>
    <x v="12"/>
    <s v="Parmareggio"/>
    <s v="|101/01/08|"/>
    <n v="180"/>
    <n v="2.8"/>
    <n v="3"/>
  </r>
  <r>
    <x v="2"/>
    <s v="Hypermarkets"/>
    <x v="12"/>
    <s v="Parmareggio"/>
    <s v="|101/01/09|"/>
    <n v="168"/>
    <n v="2.3333333333333335"/>
    <n v="2.9"/>
  </r>
  <r>
    <x v="2"/>
    <s v="Hypermarkets"/>
    <x v="12"/>
    <s v="Parmareggio"/>
    <s v="|101/01/10|"/>
    <n v="144"/>
    <n v="2.62"/>
    <n v="2.9066666666666667"/>
  </r>
  <r>
    <x v="2"/>
    <s v="Hypermarkets"/>
    <x v="12"/>
    <s v="Parmareggio"/>
    <s v="|101/01/11|"/>
    <n v="168"/>
    <n v="2.62"/>
    <n v="2.9"/>
  </r>
  <r>
    <x v="2"/>
    <s v="Hypermarkets"/>
    <x v="14"/>
    <s v="Rana"/>
    <s v="|29/02/01|"/>
    <n v="2364"/>
    <n v="0.89"/>
    <n v="0.97"/>
  </r>
  <r>
    <x v="2"/>
    <s v="Hypermarkets"/>
    <x v="14"/>
    <s v="Rana"/>
    <s v="|29/02/02|"/>
    <n v="2280"/>
    <n v="0.76"/>
    <n v="0.99"/>
  </r>
  <r>
    <x v="2"/>
    <s v="Hypermarkets"/>
    <x v="14"/>
    <s v="Rana"/>
    <s v="|29/02/03|"/>
    <n v="2112"/>
    <n v="0.71"/>
    <n v="0.9"/>
  </r>
  <r>
    <x v="2"/>
    <s v="Hypermarkets"/>
    <x v="14"/>
    <s v="Rana"/>
    <s v="|29/02/04|"/>
    <n v="1620"/>
    <n v="0.89"/>
    <n v="0.92"/>
  </r>
  <r>
    <x v="2"/>
    <s v="Hypermarkets"/>
    <x v="14"/>
    <s v="Rana"/>
    <s v="|29/02/05|"/>
    <n v="1500"/>
    <n v="0.9"/>
    <n v="0.95"/>
  </r>
  <r>
    <x v="2"/>
    <s v="Hypermarkets"/>
    <x v="14"/>
    <s v="Rana"/>
    <s v="|29/02/06|"/>
    <n v="1812"/>
    <n v="0.79"/>
    <n v="0.97"/>
  </r>
  <r>
    <x v="2"/>
    <s v="Hypermarkets"/>
    <x v="14"/>
    <s v="Rana"/>
    <s v="|29/02/07|"/>
    <n v="1224"/>
    <n v="0.85"/>
    <n v="0.91"/>
  </r>
  <r>
    <x v="2"/>
    <s v="Hypermarkets"/>
    <x v="14"/>
    <s v="Rana"/>
    <s v="|29/02/08|"/>
    <n v="2244"/>
    <n v="0.82"/>
    <n v="1"/>
  </r>
  <r>
    <x v="2"/>
    <s v="Hypermarkets"/>
    <x v="14"/>
    <s v="Rana"/>
    <s v="|29/02/09|"/>
    <n v="1524"/>
    <n v="0.72"/>
    <n v="0.98"/>
  </r>
  <r>
    <x v="2"/>
    <s v="Hypermarkets"/>
    <x v="14"/>
    <s v="Rana"/>
    <s v="|29/02/10|"/>
    <n v="1224"/>
    <n v="0.77"/>
    <n v="0.92"/>
  </r>
  <r>
    <x v="2"/>
    <s v="Hypermarkets"/>
    <x v="14"/>
    <s v="Rana"/>
    <s v="|29/02/11|"/>
    <n v="2016"/>
    <n v="0.9"/>
    <n v="0.93"/>
  </r>
  <r>
    <x v="2"/>
    <s v="Hypermarkets"/>
    <x v="14"/>
    <s v="Rana"/>
    <s v="|29/02/12|"/>
    <n v="2196"/>
    <n v="0.7"/>
    <n v="0.94"/>
  </r>
  <r>
    <x v="2"/>
    <s v="Hypermarkets"/>
    <x v="14"/>
    <s v="Rana"/>
    <s v="|29/02/13|"/>
    <n v="2292"/>
    <n v="0.81"/>
    <n v="0.97"/>
  </r>
  <r>
    <x v="2"/>
    <s v="Hypermarkets"/>
    <x v="14"/>
    <s v="Rana"/>
    <s v="|29/02/14|"/>
    <n v="2304"/>
    <n v="0.71"/>
    <n v="0.94"/>
  </r>
  <r>
    <x v="2"/>
    <s v="Hypermarkets"/>
    <x v="14"/>
    <s v="Rana"/>
    <s v="|29/02/15|"/>
    <n v="2280"/>
    <n v="0.86"/>
    <n v="0.98"/>
  </r>
  <r>
    <x v="2"/>
    <s v="Hypermarkets"/>
    <x v="14"/>
    <s v="Rana"/>
    <s v="|29/02/16|"/>
    <n v="1320"/>
    <n v="0.78"/>
    <n v="0.92"/>
  </r>
  <r>
    <x v="2"/>
    <s v="Hypermarkets"/>
    <x v="14"/>
    <s v="Rana"/>
    <s v="|29/02/17|"/>
    <n v="1692"/>
    <n v="0.74"/>
    <n v="1"/>
  </r>
  <r>
    <x v="2"/>
    <s v="Hypermarkets"/>
    <x v="14"/>
    <s v="Rana"/>
    <s v="|29/02/18|"/>
    <n v="1848"/>
    <n v="0.79"/>
    <n v="0.95"/>
  </r>
  <r>
    <x v="2"/>
    <s v="Hypermarkets"/>
    <x v="14"/>
    <s v="Rana"/>
    <s v="|29/02/19|"/>
    <n v="2400"/>
    <n v="0.82"/>
    <n v="0.99"/>
  </r>
  <r>
    <x v="2"/>
    <s v="Hypermarkets"/>
    <x v="14"/>
    <s v="Rana"/>
    <s v="|29/02/20|"/>
    <n v="1632"/>
    <n v="0.7"/>
    <n v="0.95"/>
  </r>
  <r>
    <x v="2"/>
    <s v="Hypermarkets"/>
    <x v="14"/>
    <s v="Rana"/>
    <s v="|29/02/21|"/>
    <n v="1668"/>
    <n v="0.88"/>
    <n v="1"/>
  </r>
  <r>
    <x v="2"/>
    <s v="Hypermarkets"/>
    <x v="14"/>
    <s v="Rana"/>
    <s v="|29/02/22|"/>
    <n v="1692"/>
    <n v="0.85"/>
    <n v="0.97"/>
  </r>
  <r>
    <x v="2"/>
    <s v="Hypermarkets"/>
    <x v="14"/>
    <s v="Rana"/>
    <s v="|29/02/23|"/>
    <n v="1224"/>
    <n v="0.84"/>
    <n v="0.96"/>
  </r>
  <r>
    <x v="2"/>
    <s v="Hypermarkets"/>
    <x v="14"/>
    <s v="Rana"/>
    <s v="|29/02/24|"/>
    <n v="1212"/>
    <n v="0.88"/>
    <n v="0.94"/>
  </r>
  <r>
    <x v="2"/>
    <s v="Hypermarkets"/>
    <x v="14"/>
    <s v="Rana"/>
    <s v="|29/02/25|"/>
    <n v="2328"/>
    <n v="0.87"/>
    <n v="0.9"/>
  </r>
  <r>
    <x v="2"/>
    <s v="Hypermarkets"/>
    <x v="14"/>
    <s v="Rana"/>
    <s v="|29/02/26|"/>
    <n v="2364"/>
    <n v="0.82"/>
    <n v="0.94"/>
  </r>
  <r>
    <x v="2"/>
    <s v="Hypermarkets"/>
    <x v="14"/>
    <s v="Rana"/>
    <s v="|29/02/27|"/>
    <n v="2244"/>
    <n v="0.83"/>
    <n v="0.98"/>
  </r>
  <r>
    <x v="2"/>
    <s v="Hypermarkets"/>
    <x v="14"/>
    <s v="Rana"/>
    <s v="|29/02/30|"/>
    <n v="1428"/>
    <n v="0.9"/>
    <n v="0.9"/>
  </r>
  <r>
    <x v="2"/>
    <s v="Hypermarkets"/>
    <x v="14"/>
    <s v="Rana"/>
    <s v="|29/02/31|"/>
    <n v="2004"/>
    <n v="0.75"/>
    <n v="0.96"/>
  </r>
  <r>
    <x v="2"/>
    <s v="Hypermarkets"/>
    <x v="14"/>
    <s v="Rana"/>
    <s v="|29/02/32|"/>
    <n v="1704"/>
    <n v="0.76"/>
    <n v="0.93"/>
  </r>
  <r>
    <x v="2"/>
    <s v="Hypermarkets"/>
    <x v="14"/>
    <s v="Rana"/>
    <s v="|29/02/33|"/>
    <n v="2400"/>
    <n v="0.86"/>
    <n v="1"/>
  </r>
  <r>
    <x v="2"/>
    <s v="Hypermarkets"/>
    <x v="14"/>
    <s v="Rana"/>
    <s v="|29/02/34|"/>
    <n v="2004"/>
    <n v="0.9"/>
    <n v="0.96"/>
  </r>
  <r>
    <x v="2"/>
    <s v="Hypermarkets"/>
    <x v="14"/>
    <s v="Rana"/>
    <s v="|29/02/35|"/>
    <n v="1728"/>
    <n v="0.81"/>
    <n v="0.96"/>
  </r>
  <r>
    <x v="2"/>
    <s v="Hypermarkets"/>
    <x v="14"/>
    <s v="Rana"/>
    <s v="|29/02/36|"/>
    <n v="2244"/>
    <n v="0.76"/>
    <n v="0.96"/>
  </r>
  <r>
    <x v="2"/>
    <s v="Hypermarkets"/>
    <x v="14"/>
    <s v="Rana"/>
    <s v="|29/02/38|"/>
    <n v="1320"/>
    <n v="0.8"/>
    <n v="0.92"/>
  </r>
  <r>
    <x v="2"/>
    <s v="Hypermarkets"/>
    <x v="14"/>
    <s v="Rana"/>
    <s v="|29/02/39|"/>
    <n v="2328"/>
    <n v="0.72"/>
    <n v="0.99"/>
  </r>
  <r>
    <x v="2"/>
    <s v="Hypermarkets"/>
    <x v="14"/>
    <s v="Rana"/>
    <s v="|29/02/40|"/>
    <n v="1908"/>
    <n v="0.89"/>
    <n v="0.94"/>
  </r>
  <r>
    <x v="2"/>
    <s v="Hypermarkets"/>
    <x v="14"/>
    <s v="Rana"/>
    <s v="|29/02/41|"/>
    <n v="1344"/>
    <n v="0.75"/>
    <n v="0.92"/>
  </r>
  <r>
    <x v="2"/>
    <s v="Hypermarkets"/>
    <x v="14"/>
    <s v="Rana"/>
    <s v="|29/02/42|"/>
    <n v="1728"/>
    <n v="0.88"/>
    <n v="0.91"/>
  </r>
  <r>
    <x v="2"/>
    <s v="Hypermarkets"/>
    <x v="14"/>
    <s v="Rana"/>
    <s v="|29/02/43|"/>
    <n v="1584"/>
    <n v="0.83"/>
    <n v="0.9"/>
  </r>
  <r>
    <x v="2"/>
    <s v="Hypermarkets"/>
    <x v="14"/>
    <s v="Rana"/>
    <s v="|29/02/50|"/>
    <n v="2028"/>
    <n v="0.86"/>
    <n v="0.91"/>
  </r>
  <r>
    <x v="2"/>
    <s v="Hypermarkets"/>
    <x v="14"/>
    <s v="Rana"/>
    <s v="|29/02/51|"/>
    <n v="1572"/>
    <n v="0.75"/>
    <n v="0.91"/>
  </r>
  <r>
    <x v="2"/>
    <s v="Hypermarkets"/>
    <x v="14"/>
    <s v="Rana"/>
    <s v="|29/02/52|"/>
    <n v="1380"/>
    <n v="0.85"/>
    <n v="0.97"/>
  </r>
  <r>
    <x v="2"/>
    <s v="Hypermarkets"/>
    <x v="14"/>
    <s v="Rana"/>
    <s v="|29/02/53|"/>
    <n v="1644"/>
    <n v="0.71"/>
    <n v="0.91"/>
  </r>
  <r>
    <x v="2"/>
    <s v="Hypermarkets"/>
    <x v="14"/>
    <s v="Rana"/>
    <s v="|29/02/54|"/>
    <n v="2364"/>
    <n v="0.86"/>
    <n v="0.91"/>
  </r>
  <r>
    <x v="2"/>
    <s v="Hypermarkets"/>
    <x v="14"/>
    <s v="Rana"/>
    <s v="|29/02/55|"/>
    <n v="1536"/>
    <n v="0.79"/>
    <n v="1"/>
  </r>
  <r>
    <x v="2"/>
    <s v="Hypermarkets"/>
    <x v="14"/>
    <s v="Rana"/>
    <s v="|29/02/56|"/>
    <n v="1212"/>
    <n v="0.82"/>
    <n v="0.93"/>
  </r>
  <r>
    <x v="2"/>
    <s v="Hypermarkets"/>
    <x v="14"/>
    <s v="Rana"/>
    <s v="|29/02/57|"/>
    <n v="1392"/>
    <n v="0.86"/>
    <n v="0.93"/>
  </r>
  <r>
    <x v="2"/>
    <s v="Hypermarkets"/>
    <x v="14"/>
    <s v="Rana"/>
    <s v="|29/02/58|"/>
    <n v="2388"/>
    <n v="0.71"/>
    <n v="1"/>
  </r>
  <r>
    <x v="2"/>
    <s v="Hypermarkets"/>
    <x v="14"/>
    <s v="Rana"/>
    <s v="|29/02/59|"/>
    <n v="2364"/>
    <n v="0.72"/>
    <n v="0.97"/>
  </r>
  <r>
    <x v="2"/>
    <s v="Hypermarkets"/>
    <x v="14"/>
    <s v="Rana"/>
    <s v="|29/02/60|"/>
    <n v="1380"/>
    <n v="0.81"/>
    <n v="0.9"/>
  </r>
  <r>
    <x v="2"/>
    <s v="Hypermarkets"/>
    <x v="14"/>
    <s v="Rana"/>
    <s v="|29/02/61|"/>
    <n v="2028"/>
    <n v="0.76"/>
    <n v="0.9"/>
  </r>
  <r>
    <x v="2"/>
    <s v="Hypermarkets"/>
    <x v="14"/>
    <s v="Rana"/>
    <s v="|29/02/62|"/>
    <n v="1788"/>
    <n v="0.75"/>
    <n v="1"/>
  </r>
  <r>
    <x v="2"/>
    <s v="Hypermarkets"/>
    <x v="14"/>
    <s v="Rana"/>
    <s v="|29/02/63|"/>
    <n v="2100"/>
    <n v="0.82"/>
    <n v="0.96"/>
  </r>
  <r>
    <x v="2"/>
    <s v="Hypermarkets"/>
    <x v="12"/>
    <s v="Real quality"/>
    <s v="|132/01/01|"/>
    <n v="132"/>
    <n v="2.42"/>
    <n v="2.8866666666666667"/>
  </r>
  <r>
    <x v="2"/>
    <s v="Hypermarkets"/>
    <x v="13"/>
    <s v="Lactalis"/>
    <s v="|54/01/01|"/>
    <n v="396"/>
    <n v="2.77"/>
    <n v="3.25"/>
  </r>
  <r>
    <x v="2"/>
    <s v="Hypermarkets"/>
    <x v="13"/>
    <s v="Lactalis"/>
    <s v="|54/01/02|"/>
    <n v="576"/>
    <n v="2.61"/>
    <n v="3.05"/>
  </r>
  <r>
    <x v="2"/>
    <s v="Hypermarkets"/>
    <x v="13"/>
    <s v="Lactalis"/>
    <s v="|54/01/03|"/>
    <n v="516"/>
    <n v="2.58"/>
    <n v="3.14"/>
  </r>
  <r>
    <x v="2"/>
    <s v="Hypermarkets"/>
    <x v="13"/>
    <s v="Lactalis"/>
    <s v="|54/01/04|"/>
    <n v="480"/>
    <n v="2.58"/>
    <n v="3.37"/>
  </r>
  <r>
    <x v="2"/>
    <s v="Hypermarkets"/>
    <x v="13"/>
    <s v="Lactalis"/>
    <s v="|54/01/05|"/>
    <n v="492"/>
    <n v="2.2599999999999998"/>
    <n v="3.32"/>
  </r>
  <r>
    <x v="2"/>
    <s v="Hypermarkets"/>
    <x v="13"/>
    <s v="Lactalis"/>
    <s v="|54/01/06|"/>
    <n v="132"/>
    <n v="2.29"/>
    <n v="3.53"/>
  </r>
  <r>
    <x v="2"/>
    <s v="Hypermarkets"/>
    <x v="13"/>
    <s v="Lactalis"/>
    <s v="|54/01/07|"/>
    <n v="168"/>
    <n v="2"/>
    <n v="3.7"/>
  </r>
  <r>
    <x v="2"/>
    <s v="Hypermarkets"/>
    <x v="13"/>
    <s v="Lactalis"/>
    <s v="|54/01/08|"/>
    <n v="528"/>
    <n v="2.4700000000000002"/>
    <n v="3.32"/>
  </r>
  <r>
    <x v="2"/>
    <s v="Hypermarkets"/>
    <x v="13"/>
    <s v="Lactalis"/>
    <s v="|54/01/09|"/>
    <n v="324"/>
    <n v="2.67"/>
    <n v="3.22"/>
  </r>
  <r>
    <x v="2"/>
    <s v="Hypermarkets"/>
    <x v="13"/>
    <s v="Lactalis"/>
    <s v="|54/01/10|"/>
    <n v="216"/>
    <n v="2.1"/>
    <n v="3.06"/>
  </r>
  <r>
    <x v="2"/>
    <s v="Hypermarkets"/>
    <x v="13"/>
    <s v="Lactalis"/>
    <s v="|54/01/11|"/>
    <n v="504"/>
    <n v="2.09"/>
    <n v="3.51"/>
  </r>
  <r>
    <x v="2"/>
    <s v="Hypermarkets"/>
    <x v="13"/>
    <s v="Lactalis"/>
    <s v="|54/01/12|"/>
    <n v="564"/>
    <n v="2.36"/>
    <n v="3.15"/>
  </r>
  <r>
    <x v="2"/>
    <s v="Hypermarkets"/>
    <x v="13"/>
    <s v="Lactalis"/>
    <s v="|54/01/13|"/>
    <n v="480"/>
    <n v="2.44"/>
    <n v="3.77"/>
  </r>
  <r>
    <x v="2"/>
    <s v="Hypermarkets"/>
    <x v="13"/>
    <s v="Lactalis"/>
    <s v="|54/01/14|"/>
    <n v="600"/>
    <n v="2.33"/>
    <n v="3.47"/>
  </r>
  <r>
    <x v="2"/>
    <s v="Hypermarkets"/>
    <x v="13"/>
    <s v="Lactalis"/>
    <s v="|54/01/15|"/>
    <n v="192"/>
    <n v="2.08"/>
    <n v="3.78"/>
  </r>
  <r>
    <x v="2"/>
    <s v="Hypermarkets"/>
    <x v="13"/>
    <s v="Lactalis"/>
    <s v="|54/01/16|"/>
    <n v="588"/>
    <n v="2.6"/>
    <n v="3.73"/>
  </r>
  <r>
    <x v="2"/>
    <s v="Hypermarkets"/>
    <x v="13"/>
    <s v="Lactalis"/>
    <s v="|54/01/17|"/>
    <n v="444"/>
    <n v="2.4500000000000002"/>
    <n v="3.62"/>
  </r>
  <r>
    <x v="2"/>
    <s v="Hypermarkets"/>
    <x v="13"/>
    <s v="Lactalis"/>
    <s v="|54/01/18|"/>
    <n v="408"/>
    <n v="2.7"/>
    <n v="3.02"/>
  </r>
  <r>
    <x v="2"/>
    <s v="Hypermarkets"/>
    <x v="13"/>
    <s v="Lactalis"/>
    <s v="|54/01/19|"/>
    <n v="264"/>
    <n v="2.48"/>
    <n v="3.27"/>
  </r>
  <r>
    <x v="2"/>
    <s v="Hypermarkets"/>
    <x v="13"/>
    <s v="Lactalis"/>
    <s v="|54/01/20|"/>
    <n v="264"/>
    <n v="2.78"/>
    <n v="3.61"/>
  </r>
  <r>
    <x v="2"/>
    <s v="Hypermarkets"/>
    <x v="13"/>
    <s v="Lactalis"/>
    <s v="|54/01/21|"/>
    <n v="132"/>
    <n v="2.16"/>
    <n v="3.65"/>
  </r>
  <r>
    <x v="2"/>
    <s v="Hypermarkets"/>
    <x v="13"/>
    <s v="Lactalis"/>
    <s v="|54/01/22|"/>
    <n v="240"/>
    <n v="2.66"/>
    <n v="3.37"/>
  </r>
  <r>
    <x v="2"/>
    <s v="Hypermarkets"/>
    <x v="13"/>
    <s v="Lactalis"/>
    <s v="|54/01/23|"/>
    <n v="348"/>
    <n v="2.41"/>
    <n v="3.71"/>
  </r>
  <r>
    <x v="2"/>
    <s v="Hypermarkets"/>
    <x v="13"/>
    <s v="Lactalis"/>
    <s v="|54/01/24|"/>
    <n v="396"/>
    <n v="2.44"/>
    <n v="3.44"/>
  </r>
  <r>
    <x v="2"/>
    <s v="Hypermarkets"/>
    <x v="13"/>
    <s v="Lactalis"/>
    <s v="|54/01/25|"/>
    <n v="492"/>
    <n v="2.0099999999999998"/>
    <n v="3.52"/>
  </r>
  <r>
    <x v="2"/>
    <s v="Hypermarkets"/>
    <x v="13"/>
    <s v="Lactalis"/>
    <s v="|54/01/26|"/>
    <n v="168"/>
    <n v="2.67"/>
    <n v="3.1"/>
  </r>
  <r>
    <x v="2"/>
    <s v="Hypermarkets"/>
    <x v="13"/>
    <s v="Lactalis"/>
    <s v="|54/01/27|"/>
    <n v="288"/>
    <n v="2.6"/>
    <n v="3.52"/>
  </r>
  <r>
    <x v="2"/>
    <s v="Hypermarkets"/>
    <x v="13"/>
    <s v="Lactalis"/>
    <s v="|54/01/28|"/>
    <n v="360"/>
    <n v="2.11"/>
    <n v="3.09"/>
  </r>
  <r>
    <x v="2"/>
    <s v="Hypermarkets"/>
    <x v="13"/>
    <s v="Lactalis"/>
    <s v="|54/01/29|"/>
    <n v="192"/>
    <n v="2.0299999999999998"/>
    <n v="3.08"/>
  </r>
  <r>
    <x v="2"/>
    <s v="Hypermarkets"/>
    <x v="13"/>
    <s v="Lactalis"/>
    <s v="|54/01/30|"/>
    <n v="300"/>
    <n v="2.8"/>
    <n v="3.75"/>
  </r>
  <r>
    <x v="2"/>
    <s v="Hypermarkets"/>
    <x v="13"/>
    <s v="Lactalis"/>
    <s v="|54/01/31|"/>
    <n v="168"/>
    <n v="2.2400000000000002"/>
    <n v="3"/>
  </r>
  <r>
    <x v="2"/>
    <s v="Hypermarkets"/>
    <x v="13"/>
    <s v="Lactalis"/>
    <s v="|54/01/32|"/>
    <n v="432"/>
    <n v="2.35"/>
    <n v="3.21"/>
  </r>
  <r>
    <x v="2"/>
    <s v="Hypermarkets"/>
    <x v="13"/>
    <s v="Lactalis"/>
    <s v="|54/01/33|"/>
    <n v="324"/>
    <n v="2.54"/>
    <n v="3.02"/>
  </r>
  <r>
    <x v="2"/>
    <s v="Hypermarkets"/>
    <x v="13"/>
    <s v="Lactalis"/>
    <s v="|54/01/34|"/>
    <n v="132"/>
    <n v="2.0099999999999998"/>
    <n v="3.03"/>
  </r>
  <r>
    <x v="2"/>
    <s v="Hypermarkets"/>
    <x v="13"/>
    <s v="Lactalis"/>
    <s v="|54/01/35|"/>
    <n v="420"/>
    <n v="2.38"/>
    <n v="3.36"/>
  </r>
  <r>
    <x v="2"/>
    <s v="Hypermarkets"/>
    <x v="13"/>
    <s v="Lactalis"/>
    <s v="|54/01/36|"/>
    <n v="180"/>
    <n v="2.62"/>
    <n v="3.38"/>
  </r>
  <r>
    <x v="2"/>
    <s v="Hypermarkets"/>
    <x v="13"/>
    <s v="Lactalis"/>
    <s v="|54/01/37|"/>
    <n v="312"/>
    <n v="2.5299999999999998"/>
    <n v="3.78"/>
  </r>
  <r>
    <x v="2"/>
    <s v="Hypermarkets"/>
    <x v="12"/>
    <s v="Lactalis"/>
    <s v="|54/01/38|"/>
    <n v="180"/>
    <n v="2.3066666666666666"/>
    <n v="2.92"/>
  </r>
  <r>
    <x v="2"/>
    <s v="Hypermarkets"/>
    <x v="13"/>
    <s v="Lactalis"/>
    <s v="|54/01/41|"/>
    <n v="372"/>
    <n v="2.2999999999999998"/>
    <n v="3.49"/>
  </r>
  <r>
    <x v="2"/>
    <s v="Hypermarkets"/>
    <x v="13"/>
    <s v="Lactalis"/>
    <s v="|54/01/42|"/>
    <n v="324"/>
    <n v="2.5099999999999998"/>
    <n v="3.51"/>
  </r>
  <r>
    <x v="2"/>
    <s v="Hypermarkets"/>
    <x v="13"/>
    <s v="Lactalis"/>
    <s v="|54/01/43|"/>
    <n v="264"/>
    <n v="2.5099999999999998"/>
    <n v="3.42"/>
  </r>
  <r>
    <x v="2"/>
    <s v="Hypermarkets"/>
    <x v="13"/>
    <s v="Lactalis"/>
    <s v="|54/01/44|"/>
    <n v="324"/>
    <n v="2.75"/>
    <n v="3.78"/>
  </r>
  <r>
    <x v="2"/>
    <s v="Hypermarkets"/>
    <x v="13"/>
    <s v="Lactalis"/>
    <s v="|54/01/45|"/>
    <n v="168"/>
    <n v="2.5499999999999998"/>
    <n v="3.61"/>
  </r>
  <r>
    <x v="2"/>
    <s v="Hypermarkets"/>
    <x v="13"/>
    <s v="Lactalis"/>
    <s v="|54/01/46|"/>
    <n v="240"/>
    <n v="2.59"/>
    <n v="3.42"/>
  </r>
  <r>
    <x v="2"/>
    <s v="Hypermarkets"/>
    <x v="12"/>
    <s v="Lactalis"/>
    <s v="|54/01/47|"/>
    <n v="132"/>
    <n v="2.52"/>
    <n v="2.9933333333333332"/>
  </r>
  <r>
    <x v="2"/>
    <s v="Hypermarkets"/>
    <x v="13"/>
    <s v="Lactalis"/>
    <s v="|54/01/48|"/>
    <n v="396"/>
    <n v="2.4900000000000002"/>
    <n v="3.75"/>
  </r>
  <r>
    <x v="2"/>
    <s v="Hypermarkets"/>
    <x v="13"/>
    <s v="Lactalis"/>
    <s v="|54/01/49|"/>
    <n v="204"/>
    <n v="2.66"/>
    <n v="3.01"/>
  </r>
  <r>
    <x v="2"/>
    <s v="Hypermarkets"/>
    <x v="13"/>
    <s v="Lactalis"/>
    <s v="|54/01/50|"/>
    <n v="432"/>
    <n v="2.4300000000000002"/>
    <n v="3.37"/>
  </r>
  <r>
    <x v="2"/>
    <s v="Hypermarkets"/>
    <x v="13"/>
    <s v="Lactalis"/>
    <s v="|54/01/52|"/>
    <n v="600"/>
    <n v="2.4"/>
    <n v="3.11"/>
  </r>
  <r>
    <x v="2"/>
    <s v="Hypermarkets"/>
    <x v="13"/>
    <s v="Lactalis"/>
    <s v="|54/01/90|"/>
    <n v="324"/>
    <n v="2.39"/>
    <n v="3.01"/>
  </r>
  <r>
    <x v="2"/>
    <s v="Hypermarkets"/>
    <x v="12"/>
    <s v="Bella's"/>
    <s v="|35/01/01|"/>
    <n v="180"/>
    <n v="2.3866666666666667"/>
    <n v="2.9266666666666667"/>
  </r>
  <r>
    <x v="2"/>
    <s v="Hypermarkets"/>
    <x v="12"/>
    <s v="Bella's"/>
    <s v="|35/01/02|"/>
    <n v="156"/>
    <n v="2.4666666666666668"/>
    <n v="2.8733333333333335"/>
  </r>
  <r>
    <x v="2"/>
    <s v="Hypermarkets"/>
    <x v="12"/>
    <s v="Bella's"/>
    <s v="|35/01/03|"/>
    <n v="180"/>
    <n v="2.7066666666666666"/>
    <n v="2.94"/>
  </r>
  <r>
    <x v="2"/>
    <s v="Hypermarkets"/>
    <x v="12"/>
    <s v="Bella's"/>
    <s v="|35/01/04|"/>
    <n v="144"/>
    <n v="2.36"/>
    <n v="2.8666666666666667"/>
  </r>
  <r>
    <x v="2"/>
    <s v="Hypermarkets"/>
    <x v="12"/>
    <s v="Bella's"/>
    <s v="|35/01/05|"/>
    <n v="120"/>
    <n v="2.58"/>
    <n v="2.8666666666666667"/>
  </r>
  <r>
    <x v="2"/>
    <s v="Hypermarkets"/>
    <x v="12"/>
    <s v="Bella's"/>
    <s v="|35/01/06|"/>
    <n v="168"/>
    <n v="2.5733333333333333"/>
    <n v="2.8866666666666667"/>
  </r>
  <r>
    <x v="2"/>
    <s v="Hypermarkets"/>
    <x v="12"/>
    <s v="Bella's"/>
    <s v="|35/01/07|"/>
    <n v="180"/>
    <n v="2.74"/>
    <n v="2.9933333333333332"/>
  </r>
  <r>
    <x v="2"/>
    <s v="Hypermarkets"/>
    <x v="12"/>
    <s v="Bella's"/>
    <s v="|35/01/08|"/>
    <n v="168"/>
    <n v="2.4266666666666667"/>
    <n v="2.94"/>
  </r>
  <r>
    <x v="2"/>
    <s v="Hypermarkets"/>
    <x v="12"/>
    <s v="Bella's"/>
    <s v="|35/01/09|"/>
    <n v="132"/>
    <n v="2.6933333333333334"/>
    <n v="2.9666666666666668"/>
  </r>
  <r>
    <x v="2"/>
    <s v="Hypermarkets"/>
    <x v="12"/>
    <s v="Bella's"/>
    <s v="|35/01/10|"/>
    <n v="144"/>
    <n v="2.2933333333333334"/>
    <n v="2.9533333333333331"/>
  </r>
  <r>
    <x v="2"/>
    <s v="Hypermarkets"/>
    <x v="12"/>
    <s v="Bella's"/>
    <s v="|35/01/11|"/>
    <n v="156"/>
    <n v="2.4533333333333331"/>
    <n v="2.8733333333333335"/>
  </r>
  <r>
    <x v="2"/>
    <s v="Hypermarkets"/>
    <x v="12"/>
    <s v="Bella's"/>
    <s v="|35/01/12|"/>
    <n v="180"/>
    <n v="2.5333333333333332"/>
    <n v="2.96"/>
  </r>
  <r>
    <x v="2"/>
    <s v="Hypermarkets"/>
    <x v="12"/>
    <s v="Bella's"/>
    <s v="|35/01/13|"/>
    <n v="120"/>
    <n v="2.8"/>
    <n v="2.9733333333333332"/>
  </r>
  <r>
    <x v="2"/>
    <s v="Hypermarkets"/>
    <x v="12"/>
    <s v="Bella's"/>
    <s v="|35/01/14|"/>
    <n v="168"/>
    <n v="2.3133333333333335"/>
    <n v="2.8933333333333335"/>
  </r>
  <r>
    <x v="2"/>
    <s v="Hypermarkets"/>
    <x v="12"/>
    <s v="Bella's"/>
    <s v="|35/01/20|"/>
    <n v="144"/>
    <n v="2.6866666666666665"/>
    <n v="3"/>
  </r>
  <r>
    <x v="2"/>
    <s v="Hypermarkets"/>
    <x v="12"/>
    <s v="Bella's"/>
    <s v="|35/01/21|"/>
    <n v="120"/>
    <n v="2.38"/>
    <n v="2.8733333333333335"/>
  </r>
  <r>
    <x v="2"/>
    <s v="Hypermarkets"/>
    <x v="12"/>
    <s v="Bella's"/>
    <s v="|35/01/22|"/>
    <n v="180"/>
    <n v="2.6266666666666665"/>
    <n v="3"/>
  </r>
  <r>
    <x v="2"/>
    <s v="Hypermarkets"/>
    <x v="12"/>
    <s v="Bella's"/>
    <s v="|35/01/23|"/>
    <n v="132"/>
    <n v="2.6533333333333333"/>
    <n v="2.9466666666666668"/>
  </r>
  <r>
    <x v="2"/>
    <s v="Hypermarkets"/>
    <x v="12"/>
    <s v="Bella's"/>
    <s v="|35/01/24|"/>
    <n v="180"/>
    <n v="2.2999999999999998"/>
    <n v="2.9133333333333336"/>
  </r>
  <r>
    <x v="2"/>
    <s v="Hypermarkets"/>
    <x v="12"/>
    <s v="Bella's"/>
    <s v="|35/01/31|"/>
    <n v="180"/>
    <n v="2.6933333333333334"/>
    <n v="2.9133333333333336"/>
  </r>
  <r>
    <x v="2"/>
    <s v="Hypermarkets"/>
    <x v="12"/>
    <s v="Bella's"/>
    <s v="|35/01/32|"/>
    <n v="132"/>
    <n v="2.7666666666666666"/>
    <n v="2.94"/>
  </r>
  <r>
    <x v="2"/>
    <s v="Hypermarkets"/>
    <x v="12"/>
    <s v="Bella's"/>
    <s v="|35/01/33|"/>
    <n v="132"/>
    <n v="2.6066666666666665"/>
    <n v="2.94"/>
  </r>
  <r>
    <x v="2"/>
    <s v="Hypermarkets"/>
    <x v="12"/>
    <s v="Bella's"/>
    <s v="|35/01/34|"/>
    <n v="144"/>
    <n v="2.7533333333333334"/>
    <n v="2.9533333333333331"/>
  </r>
  <r>
    <x v="2"/>
    <s v="Hypermarkets"/>
    <x v="12"/>
    <s v="Bella's"/>
    <s v="|35/01/35|"/>
    <n v="180"/>
    <n v="2.3333333333333335"/>
    <n v="2.98"/>
  </r>
  <r>
    <x v="2"/>
    <s v="Hypermarkets"/>
    <x v="12"/>
    <s v="Heinz"/>
    <s v="|35/01/40|"/>
    <n v="120"/>
    <n v="2.5333333333333332"/>
    <n v="2.9266666666666667"/>
  </r>
  <r>
    <x v="2"/>
    <s v="Hypermarkets"/>
    <x v="12"/>
    <s v="Heinz"/>
    <s v="|35/01/41|"/>
    <n v="180"/>
    <n v="2.42"/>
    <n v="2.8866666666666667"/>
  </r>
  <r>
    <x v="2"/>
    <s v="Hypermarkets"/>
    <x v="12"/>
    <s v="Heinz"/>
    <s v="|35/01/42|"/>
    <n v="156"/>
    <n v="2.3333333333333335"/>
    <n v="2.8733333333333335"/>
  </r>
  <r>
    <x v="2"/>
    <s v="Hypermarkets"/>
    <x v="12"/>
    <s v="Bella's"/>
    <s v="|35/01/50|"/>
    <n v="132"/>
    <n v="2.4466666666666668"/>
    <n v="2.9466666666666668"/>
  </r>
  <r>
    <x v="2"/>
    <s v="Hypermarkets"/>
    <x v="12"/>
    <s v="Bella's"/>
    <s v="|35/01/51|"/>
    <n v="144"/>
    <n v="2.5533333333333332"/>
    <n v="2.9"/>
  </r>
  <r>
    <x v="2"/>
    <s v="Hypermarkets"/>
    <x v="12"/>
    <s v="Bella's"/>
    <s v="|35/01/52|"/>
    <n v="168"/>
    <n v="2.4"/>
    <n v="2.96"/>
  </r>
  <r>
    <x v="2"/>
    <s v="Hypermarkets"/>
    <x v="12"/>
    <s v="Bella's"/>
    <s v="|35/01/53|"/>
    <n v="156"/>
    <n v="2.3933333333333335"/>
    <n v="2.9"/>
  </r>
  <r>
    <x v="2"/>
    <s v="Hypermarkets"/>
    <x v="12"/>
    <s v="Bella's"/>
    <s v="|35/01/54|"/>
    <n v="132"/>
    <n v="2.78"/>
    <n v="2.9466666666666668"/>
  </r>
  <r>
    <x v="2"/>
    <s v="Hypermarkets"/>
    <x v="12"/>
    <s v="Bella's"/>
    <s v="|35/01/60|"/>
    <n v="156"/>
    <n v="2.36"/>
    <n v="2.8666666666666667"/>
  </r>
  <r>
    <x v="2"/>
    <s v="Hypermarkets"/>
    <x v="12"/>
    <s v="Bella's"/>
    <s v="|35/01/61|"/>
    <n v="132"/>
    <n v="2.2799999999999998"/>
    <n v="2.8733333333333335"/>
  </r>
  <r>
    <x v="2"/>
    <s v="Hypermarkets"/>
    <x v="12"/>
    <s v="Bella's"/>
    <s v="|35/01/62|"/>
    <n v="132"/>
    <n v="2.5"/>
    <n v="2.9666666666666668"/>
  </r>
  <r>
    <x v="2"/>
    <s v="Hypermarkets"/>
    <x v="12"/>
    <s v="Bella's"/>
    <s v="|35/01/63|"/>
    <n v="180"/>
    <n v="2.4133333333333336"/>
    <n v="2.9933333333333332"/>
  </r>
  <r>
    <x v="2"/>
    <s v="Hypermarkets"/>
    <x v="12"/>
    <s v="Bella's"/>
    <s v="|35/01/70|"/>
    <n v="132"/>
    <n v="2.78"/>
    <n v="2.8666666666666667"/>
  </r>
  <r>
    <x v="2"/>
    <s v="Hypermarkets"/>
    <x v="12"/>
    <s v="Bella's"/>
    <s v="|35/01/71|"/>
    <n v="168"/>
    <n v="2.5333333333333332"/>
    <n v="2.9"/>
  </r>
  <r>
    <x v="2"/>
    <s v="Hypermarkets"/>
    <x v="12"/>
    <s v="Bella's"/>
    <s v="|35/01/72|"/>
    <n v="180"/>
    <n v="2.5466666666666669"/>
    <n v="2.98"/>
  </r>
  <r>
    <x v="2"/>
    <s v="Hypermarkets"/>
    <x v="12"/>
    <s v="Bella's"/>
    <s v="|35/01/73|"/>
    <n v="144"/>
    <n v="2.3333333333333335"/>
    <n v="3"/>
  </r>
  <r>
    <x v="2"/>
    <s v="Hypermarkets"/>
    <x v="12"/>
    <s v="Bella's"/>
    <s v="|35/01/74|"/>
    <n v="132"/>
    <n v="2.38"/>
    <n v="2.9133333333333336"/>
  </r>
  <r>
    <x v="2"/>
    <s v="Hypermarkets"/>
    <x v="12"/>
    <s v="Bella's"/>
    <s v="|35/01/75|"/>
    <n v="120"/>
    <n v="2.5533333333333332"/>
    <n v="2.9466666666666668"/>
  </r>
  <r>
    <x v="2"/>
    <s v="Hypermarkets"/>
    <x v="12"/>
    <s v="Bella's"/>
    <s v="|35/01/76|"/>
    <n v="132"/>
    <n v="2.44"/>
    <n v="2.92"/>
  </r>
  <r>
    <x v="2"/>
    <s v="Hypermarkets"/>
    <x v="12"/>
    <s v="Bella's"/>
    <s v="|35/01/80|"/>
    <n v="120"/>
    <n v="2.5066666666666668"/>
    <n v="2.9466666666666668"/>
  </r>
  <r>
    <x v="2"/>
    <s v="Hypermarkets"/>
    <x v="12"/>
    <s v="Bella's"/>
    <s v="|35/01/81|"/>
    <n v="156"/>
    <n v="2.2666666666666666"/>
    <n v="2.9"/>
  </r>
  <r>
    <x v="2"/>
    <s v="Hypermarkets"/>
    <x v="12"/>
    <s v="Bella's"/>
    <s v="|35/01/82|"/>
    <n v="156"/>
    <n v="2.36"/>
    <n v="2.9666666666666668"/>
  </r>
  <r>
    <x v="2"/>
    <s v="Hypermarkets"/>
    <x v="12"/>
    <s v="Bella's"/>
    <s v="|35/01/83|"/>
    <n v="144"/>
    <n v="2.6666666666666665"/>
    <n v="2.8666666666666667"/>
  </r>
  <r>
    <x v="2"/>
    <s v="Hypermarkets"/>
    <x v="12"/>
    <s v="Bella's"/>
    <s v="|35/01/84|"/>
    <n v="120"/>
    <n v="2.56"/>
    <n v="2.92"/>
  </r>
  <r>
    <x v="2"/>
    <s v="Hypermarkets"/>
    <x v="12"/>
    <s v="Bella's"/>
    <s v="|35/01/85|"/>
    <n v="180"/>
    <n v="2.2933333333333334"/>
    <n v="2.9933333333333332"/>
  </r>
  <r>
    <x v="2"/>
    <s v="Hypermarkets"/>
    <x v="12"/>
    <s v="Bella's"/>
    <s v="|35/01/86|"/>
    <n v="132"/>
    <n v="2.4866666666666668"/>
    <n v="2.8933333333333335"/>
  </r>
  <r>
    <x v="2"/>
    <s v="Hypermarkets"/>
    <x v="12"/>
    <s v="Bella's"/>
    <s v="|35/01/87|"/>
    <n v="132"/>
    <n v="2.6266666666666665"/>
    <n v="2.9666666666666668"/>
  </r>
  <r>
    <x v="2"/>
    <s v="Hypermarkets"/>
    <x v="12"/>
    <s v="Heinz"/>
    <s v="|35/01/88|"/>
    <n v="156"/>
    <n v="2.7466666666666666"/>
    <n v="3"/>
  </r>
  <r>
    <x v="2"/>
    <s v="Hypermarkets"/>
    <x v="12"/>
    <s v="Heinz"/>
    <s v="|35/01/89|"/>
    <n v="180"/>
    <n v="2.66"/>
    <n v="2.8933333333333335"/>
  </r>
  <r>
    <x v="2"/>
    <s v="Hypermarkets"/>
    <x v="12"/>
    <s v="Bella's"/>
    <s v="|35/01/90|"/>
    <n v="120"/>
    <n v="2.62"/>
    <n v="2.92"/>
  </r>
  <r>
    <x v="2"/>
    <s v="Hypermarkets"/>
    <x v="12"/>
    <s v="Bella's"/>
    <s v="|35/01/90a|"/>
    <n v="180"/>
    <n v="2.2733333333333334"/>
    <n v="2.92"/>
  </r>
  <r>
    <x v="2"/>
    <s v="Hypermarkets"/>
    <x v="12"/>
    <s v="Bella's"/>
    <s v="|35/01/91|"/>
    <n v="180"/>
    <n v="2.3333333333333335"/>
    <n v="2.9466666666666668"/>
  </r>
  <r>
    <x v="2"/>
    <s v="Hypermarkets"/>
    <x v="12"/>
    <s v="Bella's"/>
    <s v="|35/01/91a|"/>
    <n v="168"/>
    <n v="2.5"/>
    <n v="2.9933333333333332"/>
  </r>
  <r>
    <x v="2"/>
    <s v="Hypermarkets"/>
    <x v="12"/>
    <s v="Bella's"/>
    <s v="|35/01/92|"/>
    <n v="132"/>
    <n v="2.6733333333333333"/>
    <n v="2.9733333333333332"/>
  </r>
  <r>
    <x v="2"/>
    <s v="Hypermarkets"/>
    <x v="12"/>
    <s v="Bella's"/>
    <s v="|35/01/92a|"/>
    <n v="120"/>
    <n v="2.3066666666666666"/>
    <n v="2.8866666666666667"/>
  </r>
  <r>
    <x v="2"/>
    <s v="Hypermarkets"/>
    <x v="12"/>
    <s v="Bella's"/>
    <s v="|35/01/93|"/>
    <n v="168"/>
    <n v="2.6866666666666665"/>
    <n v="2.8866666666666667"/>
  </r>
  <r>
    <x v="2"/>
    <s v="Hypermarkets"/>
    <x v="12"/>
    <s v="Bella's"/>
    <s v="|35/01/93a|"/>
    <n v="168"/>
    <n v="2.48"/>
    <n v="2.98"/>
  </r>
  <r>
    <x v="2"/>
    <s v="Hypermarkets"/>
    <x v="12"/>
    <s v="Bella's"/>
    <s v="|35/01/94|"/>
    <n v="120"/>
    <n v="2.8"/>
    <n v="2.98"/>
  </r>
  <r>
    <x v="2"/>
    <s v="Supermarkets"/>
    <x v="1"/>
    <s v="Mindi"/>
    <s v="|106/02/07|"/>
    <n v="516"/>
    <n v="5.6533333333333333"/>
    <n v="7.7333333333333334"/>
  </r>
  <r>
    <x v="2"/>
    <s v="Supermarkets"/>
    <x v="15"/>
    <s v="Mindi"/>
    <s v="|79/01/01|"/>
    <n v="1620"/>
    <n v="0.61"/>
    <n v="1.17"/>
  </r>
  <r>
    <x v="2"/>
    <s v="Supermarkets"/>
    <x v="15"/>
    <s v="Mindi"/>
    <s v="|79/01/02|"/>
    <n v="1464"/>
    <n v="0.68"/>
    <n v="1.1599999999999999"/>
  </r>
  <r>
    <x v="2"/>
    <s v="Supermarkets"/>
    <x v="15"/>
    <s v="Mindi"/>
    <s v="|79/01/03|"/>
    <n v="1344"/>
    <n v="0.83"/>
    <n v="0.97"/>
  </r>
  <r>
    <x v="2"/>
    <s v="Supermarkets"/>
    <x v="15"/>
    <s v="Mindi"/>
    <s v="|79/01/04|"/>
    <n v="1212"/>
    <n v="0.61"/>
    <n v="1.1399999999999999"/>
  </r>
  <r>
    <x v="2"/>
    <s v="Supermarkets"/>
    <x v="15"/>
    <s v="Mindi"/>
    <s v="|79/01/05|"/>
    <n v="1356"/>
    <n v="0.74"/>
    <n v="0.91"/>
  </r>
  <r>
    <x v="2"/>
    <s v="Supermarkets"/>
    <x v="15"/>
    <s v="Mindi"/>
    <s v="|79/01/06|"/>
    <n v="1644"/>
    <n v="0.88"/>
    <n v="1.1399999999999999"/>
  </r>
  <r>
    <x v="2"/>
    <s v="Supermarkets"/>
    <x v="15"/>
    <s v="Mindi"/>
    <s v="|79/01/07|"/>
    <n v="1452"/>
    <n v="0.87"/>
    <n v="0.98"/>
  </r>
  <r>
    <x v="2"/>
    <s v="Supermarkets"/>
    <x v="15"/>
    <s v="Mindi"/>
    <s v="|79/01/08|"/>
    <n v="1272"/>
    <n v="0.85"/>
    <n v="1.18"/>
  </r>
  <r>
    <x v="2"/>
    <s v="Supermarkets"/>
    <x v="15"/>
    <s v="Mindi"/>
    <s v="|79/01/09|"/>
    <n v="1680"/>
    <n v="0.63"/>
    <n v="0.94"/>
  </r>
  <r>
    <x v="2"/>
    <s v="Supermarkets"/>
    <x v="15"/>
    <s v="Mindi"/>
    <s v="|79/01/10|"/>
    <n v="1524"/>
    <n v="0.83"/>
    <n v="1.1100000000000001"/>
  </r>
  <r>
    <x v="2"/>
    <s v="Supermarkets"/>
    <x v="15"/>
    <s v="Mindi"/>
    <s v="|79/01/100|"/>
    <n v="1668"/>
    <n v="0.7"/>
    <n v="1.17"/>
  </r>
  <r>
    <x v="2"/>
    <s v="Supermarkets"/>
    <x v="15"/>
    <s v="Mindi"/>
    <s v="|79/01/102|"/>
    <n v="1368"/>
    <n v="0.65"/>
    <n v="0.97"/>
  </r>
  <r>
    <x v="2"/>
    <s v="Supermarkets"/>
    <x v="15"/>
    <s v="Mindi"/>
    <s v="|79/01/103|"/>
    <n v="1332"/>
    <n v="0.8"/>
    <n v="1.04"/>
  </r>
  <r>
    <x v="2"/>
    <s v="Supermarkets"/>
    <x v="15"/>
    <s v="Mindi"/>
    <s v="|79/01/104|"/>
    <n v="1560"/>
    <n v="0.71"/>
    <n v="1.01"/>
  </r>
  <r>
    <x v="2"/>
    <s v="Supermarkets"/>
    <x v="15"/>
    <s v="Mindi"/>
    <s v="|79/01/105|"/>
    <n v="1260"/>
    <n v="0.83"/>
    <n v="1.05"/>
  </r>
  <r>
    <x v="2"/>
    <s v="Supermarkets"/>
    <x v="15"/>
    <s v="Mindi"/>
    <s v="|79/01/106|"/>
    <n v="1668"/>
    <n v="0.63"/>
    <n v="1.1499999999999999"/>
  </r>
  <r>
    <x v="2"/>
    <s v="Supermarkets"/>
    <x v="15"/>
    <s v="Mindi"/>
    <s v="|79/01/107|"/>
    <n v="1260"/>
    <n v="0.87"/>
    <n v="1"/>
  </r>
  <r>
    <x v="2"/>
    <s v="Supermarkets"/>
    <x v="15"/>
    <s v="Mindi"/>
    <s v="|79/01/108|"/>
    <n v="1668"/>
    <n v="0.68"/>
    <n v="1.18"/>
  </r>
  <r>
    <x v="2"/>
    <s v="Supermarkets"/>
    <x v="15"/>
    <s v="Mindi"/>
    <s v="|79/01/109|"/>
    <n v="1260"/>
    <n v="0.8"/>
    <n v="1.07"/>
  </r>
  <r>
    <x v="2"/>
    <s v="Supermarkets"/>
    <x v="15"/>
    <s v="Mindi"/>
    <s v="|79/01/11|"/>
    <n v="1548"/>
    <n v="0.74"/>
    <n v="1.17"/>
  </r>
  <r>
    <x v="2"/>
    <s v="Supermarkets"/>
    <x v="15"/>
    <s v="Mindi"/>
    <s v="|79/01/110|"/>
    <n v="1476"/>
    <n v="0.66"/>
    <n v="0.99"/>
  </r>
  <r>
    <x v="2"/>
    <s v="Supermarkets"/>
    <x v="15"/>
    <s v="Mindi"/>
    <s v="|79/01/111|"/>
    <n v="1548"/>
    <n v="0.78"/>
    <n v="1.1599999999999999"/>
  </r>
  <r>
    <x v="2"/>
    <s v="Supermarkets"/>
    <x v="15"/>
    <s v="Mindi"/>
    <s v="|79/01/112|"/>
    <n v="1464"/>
    <n v="0.74"/>
    <n v="1.03"/>
  </r>
  <r>
    <x v="2"/>
    <s v="Supermarkets"/>
    <x v="15"/>
    <s v="Mindi"/>
    <s v="|79/01/113|"/>
    <n v="1512"/>
    <n v="0.88"/>
    <n v="1.06"/>
  </r>
  <r>
    <x v="2"/>
    <s v="Supermarkets"/>
    <x v="15"/>
    <s v="Mindi"/>
    <s v="|79/01/114|"/>
    <n v="1476"/>
    <n v="0.82"/>
    <n v="1.1499999999999999"/>
  </r>
  <r>
    <x v="2"/>
    <s v="Supermarkets"/>
    <x v="15"/>
    <s v="Mindi"/>
    <s v="|79/01/115|"/>
    <n v="1200"/>
    <n v="0.89"/>
    <n v="1.1000000000000001"/>
  </r>
  <r>
    <x v="2"/>
    <s v="Supermarkets"/>
    <x v="15"/>
    <s v="Mindi"/>
    <s v="|79/01/116|"/>
    <n v="1584"/>
    <n v="0.75"/>
    <n v="1.1599999999999999"/>
  </r>
  <r>
    <x v="2"/>
    <s v="Supermarkets"/>
    <x v="15"/>
    <s v="Mindi"/>
    <s v="|79/01/117|"/>
    <n v="1296"/>
    <n v="0.65"/>
    <n v="1.04"/>
  </r>
  <r>
    <x v="2"/>
    <s v="Supermarkets"/>
    <x v="15"/>
    <s v="Mindi"/>
    <s v="|79/01/118|"/>
    <n v="1536"/>
    <n v="0.89"/>
    <n v="1.01"/>
  </r>
  <r>
    <x v="2"/>
    <s v="Supermarkets"/>
    <x v="15"/>
    <s v="Mindi"/>
    <s v="|79/01/119|"/>
    <n v="1620"/>
    <n v="0.77"/>
    <n v="0.95"/>
  </r>
  <r>
    <x v="2"/>
    <s v="Supermarkets"/>
    <x v="15"/>
    <s v="Mindi"/>
    <s v="|79/01/12|"/>
    <n v="1656"/>
    <n v="0.62"/>
    <n v="0.93"/>
  </r>
  <r>
    <x v="2"/>
    <s v="Supermarkets"/>
    <x v="15"/>
    <s v="Mindi"/>
    <s v="|79/01/120|"/>
    <n v="1668"/>
    <n v="0.67"/>
    <n v="1.01"/>
  </r>
  <r>
    <x v="2"/>
    <s v="Supermarkets"/>
    <x v="15"/>
    <s v="Mindi"/>
    <s v="|79/01/13|"/>
    <n v="1620"/>
    <n v="0.65"/>
    <n v="0.98"/>
  </r>
  <r>
    <x v="2"/>
    <s v="Supermarkets"/>
    <x v="15"/>
    <s v="Mindi"/>
    <s v="|79/01/14|"/>
    <n v="1320"/>
    <n v="0.68"/>
    <n v="0.96"/>
  </r>
  <r>
    <x v="2"/>
    <s v="Supermarkets"/>
    <x v="15"/>
    <s v="Mindi"/>
    <s v="|79/01/15|"/>
    <n v="1428"/>
    <n v="0.63"/>
    <n v="1.06"/>
  </r>
  <r>
    <x v="2"/>
    <s v="Supermarkets"/>
    <x v="15"/>
    <s v="Mindi"/>
    <s v="|79/01/16|"/>
    <n v="1344"/>
    <n v="0.63"/>
    <n v="1.2"/>
  </r>
  <r>
    <x v="2"/>
    <s v="Supermarkets"/>
    <x v="15"/>
    <s v="Mindi"/>
    <s v="|79/01/17|"/>
    <n v="1620"/>
    <n v="0.73"/>
    <n v="1.17"/>
  </r>
  <r>
    <x v="2"/>
    <s v="Supermarkets"/>
    <x v="15"/>
    <s v="Mindi"/>
    <s v="|79/01/18|"/>
    <n v="1428"/>
    <n v="0.81"/>
    <n v="1.19"/>
  </r>
  <r>
    <x v="2"/>
    <s v="Supermarkets"/>
    <x v="15"/>
    <s v="Mindi"/>
    <s v="|79/01/19|"/>
    <n v="1596"/>
    <n v="0.75"/>
    <n v="0.97"/>
  </r>
  <r>
    <x v="2"/>
    <s v="Supermarkets"/>
    <x v="15"/>
    <s v="Mindi"/>
    <s v="|79/01/20|"/>
    <n v="1224"/>
    <n v="0.82"/>
    <n v="1.02"/>
  </r>
  <r>
    <x v="2"/>
    <s v="Supermarkets"/>
    <x v="15"/>
    <s v="Mindi"/>
    <s v="|79/01/21|"/>
    <n v="1668"/>
    <n v="0.74"/>
    <n v="1.1299999999999999"/>
  </r>
  <r>
    <x v="2"/>
    <s v="Supermarkets"/>
    <x v="15"/>
    <s v="Mindi"/>
    <s v="|79/01/22|"/>
    <n v="1380"/>
    <n v="0.65"/>
    <n v="0.96"/>
  </r>
  <r>
    <x v="2"/>
    <s v="Supermarkets"/>
    <x v="15"/>
    <s v="Mindi"/>
    <s v="|79/01/23|"/>
    <n v="1212"/>
    <n v="0.75"/>
    <n v="1.1000000000000001"/>
  </r>
  <r>
    <x v="2"/>
    <s v="Supermarkets"/>
    <x v="15"/>
    <s v="Mindi"/>
    <s v="|79/01/24|"/>
    <n v="1608"/>
    <n v="0.89"/>
    <n v="1.1399999999999999"/>
  </r>
  <r>
    <x v="2"/>
    <s v="Supermarkets"/>
    <x v="15"/>
    <s v="Mindi"/>
    <s v="|79/01/25|"/>
    <n v="1500"/>
    <n v="0.65"/>
    <n v="1.1200000000000001"/>
  </r>
  <r>
    <x v="2"/>
    <s v="Supermarkets"/>
    <x v="15"/>
    <s v="Mindi"/>
    <s v="|79/01/26|"/>
    <n v="1260"/>
    <n v="0.82"/>
    <n v="1.03"/>
  </r>
  <r>
    <x v="2"/>
    <s v="Supermarkets"/>
    <x v="15"/>
    <s v="Mindi"/>
    <s v="|79/01/27|"/>
    <n v="1500"/>
    <n v="0.88"/>
    <n v="1.1499999999999999"/>
  </r>
  <r>
    <x v="2"/>
    <s v="Supermarkets"/>
    <x v="15"/>
    <s v="Mindi"/>
    <s v="|79/01/28|"/>
    <n v="1620"/>
    <n v="0.69"/>
    <n v="1.1200000000000001"/>
  </r>
  <r>
    <x v="2"/>
    <s v="Supermarkets"/>
    <x v="15"/>
    <s v="Mindi"/>
    <s v="|79/01/29|"/>
    <n v="1572"/>
    <n v="0.61"/>
    <n v="1.1299999999999999"/>
  </r>
  <r>
    <x v="2"/>
    <s v="Supermarkets"/>
    <x v="15"/>
    <s v="Mindi"/>
    <s v="|79/01/30|"/>
    <n v="1272"/>
    <n v="0.84"/>
    <n v="0.94"/>
  </r>
  <r>
    <x v="2"/>
    <s v="Supermarkets"/>
    <x v="15"/>
    <s v="Mindi"/>
    <s v="|79/01/31|"/>
    <n v="1608"/>
    <n v="0.73"/>
    <n v="0.99"/>
  </r>
  <r>
    <x v="2"/>
    <s v="Supermarkets"/>
    <x v="15"/>
    <s v="Mindi"/>
    <s v="|79/01/32|"/>
    <n v="1596"/>
    <n v="0.67"/>
    <n v="0.99"/>
  </r>
  <r>
    <x v="2"/>
    <s v="Supermarkets"/>
    <x v="15"/>
    <s v="Mindi"/>
    <s v="|79/01/33|"/>
    <n v="1560"/>
    <n v="0.82"/>
    <n v="1.2"/>
  </r>
  <r>
    <x v="2"/>
    <s v="Supermarkets"/>
    <x v="15"/>
    <s v="Mindi"/>
    <s v="|79/01/34|"/>
    <n v="1572"/>
    <n v="0.73"/>
    <n v="1.04"/>
  </r>
  <r>
    <x v="2"/>
    <s v="Supermarkets"/>
    <x v="15"/>
    <s v="Mindi"/>
    <s v="|79/01/35|"/>
    <n v="1536"/>
    <n v="0.67"/>
    <n v="1.0900000000000001"/>
  </r>
  <r>
    <x v="2"/>
    <s v="Supermarkets"/>
    <x v="15"/>
    <s v="Mindi"/>
    <s v="|79/01/36|"/>
    <n v="1344"/>
    <n v="0.66"/>
    <n v="1"/>
  </r>
  <r>
    <x v="2"/>
    <s v="Supermarkets"/>
    <x v="15"/>
    <s v="Mindi"/>
    <s v="|79/01/37|"/>
    <n v="1596"/>
    <n v="0.69"/>
    <n v="1.17"/>
  </r>
  <r>
    <x v="2"/>
    <s v="Supermarkets"/>
    <x v="15"/>
    <s v="Mindi"/>
    <s v="|79/01/38|"/>
    <n v="1320"/>
    <n v="0.67"/>
    <n v="1.1399999999999999"/>
  </r>
  <r>
    <x v="2"/>
    <s v="Supermarkets"/>
    <x v="15"/>
    <s v="Mindi"/>
    <s v="|79/01/39|"/>
    <n v="1260"/>
    <n v="0.82"/>
    <n v="0.91"/>
  </r>
  <r>
    <x v="2"/>
    <s v="Supermarkets"/>
    <x v="15"/>
    <s v="Mindi"/>
    <s v="|79/01/40|"/>
    <n v="1440"/>
    <n v="0.74"/>
    <n v="1.1499999999999999"/>
  </r>
  <r>
    <x v="2"/>
    <s v="Supermarkets"/>
    <x v="15"/>
    <s v="Mindi"/>
    <s v="|79/01/41|"/>
    <n v="1452"/>
    <n v="0.87"/>
    <n v="1"/>
  </r>
  <r>
    <x v="2"/>
    <s v="Supermarkets"/>
    <x v="15"/>
    <s v="Mindi"/>
    <s v="|79/01/42|"/>
    <n v="1200"/>
    <n v="0.79"/>
    <n v="1.08"/>
  </r>
  <r>
    <x v="2"/>
    <s v="Supermarkets"/>
    <x v="15"/>
    <s v="Mindi"/>
    <s v="|79/01/43|"/>
    <n v="1476"/>
    <n v="0.9"/>
    <n v="1.06"/>
  </r>
  <r>
    <x v="2"/>
    <s v="Supermarkets"/>
    <x v="15"/>
    <s v="Mindi"/>
    <s v="|79/01/44|"/>
    <n v="1200"/>
    <n v="0.78"/>
    <n v="1.05"/>
  </r>
  <r>
    <x v="2"/>
    <s v="Supermarkets"/>
    <x v="15"/>
    <s v="Mindi"/>
    <s v="|79/01/45|"/>
    <n v="1380"/>
    <n v="0.7"/>
    <n v="1.01"/>
  </r>
  <r>
    <x v="2"/>
    <s v="Supermarkets"/>
    <x v="15"/>
    <s v="Mindi"/>
    <s v="|79/01/46|"/>
    <n v="1368"/>
    <n v="0.67"/>
    <n v="1.02"/>
  </r>
  <r>
    <x v="2"/>
    <s v="Supermarkets"/>
    <x v="15"/>
    <s v="Mindi"/>
    <s v="|79/01/47|"/>
    <n v="1236"/>
    <n v="0.79"/>
    <n v="0.94"/>
  </r>
  <r>
    <x v="2"/>
    <s v="Supermarkets"/>
    <x v="15"/>
    <s v="Mindi"/>
    <s v="|79/01/50|"/>
    <n v="1392"/>
    <n v="0.63"/>
    <n v="1.05"/>
  </r>
  <r>
    <x v="2"/>
    <s v="Supermarkets"/>
    <x v="15"/>
    <s v="Mindi"/>
    <s v="|79/01/51|"/>
    <n v="1392"/>
    <n v="0.67"/>
    <n v="1.2"/>
  </r>
  <r>
    <x v="2"/>
    <s v="Supermarkets"/>
    <x v="15"/>
    <s v="Mindi"/>
    <s v="|79/01/52|"/>
    <n v="1248"/>
    <n v="0.83"/>
    <n v="1.1499999999999999"/>
  </r>
  <r>
    <x v="2"/>
    <s v="Supermarkets"/>
    <x v="15"/>
    <s v="Mindi"/>
    <s v="|79/01/53|"/>
    <n v="1536"/>
    <n v="0.74"/>
    <n v="1.18"/>
  </r>
  <r>
    <x v="2"/>
    <s v="Supermarkets"/>
    <x v="15"/>
    <s v="Mindi"/>
    <s v="|79/01/54|"/>
    <n v="1596"/>
    <n v="0.64"/>
    <n v="0.94"/>
  </r>
  <r>
    <x v="2"/>
    <s v="Supermarkets"/>
    <x v="15"/>
    <s v="Mindi"/>
    <s v="|79/01/55|"/>
    <n v="1560"/>
    <n v="0.78"/>
    <n v="1.03"/>
  </r>
  <r>
    <x v="2"/>
    <s v="Supermarkets"/>
    <x v="15"/>
    <s v="Mindi"/>
    <s v="|79/01/56|"/>
    <n v="1428"/>
    <n v="0.9"/>
    <n v="0.98"/>
  </r>
  <r>
    <x v="2"/>
    <s v="Supermarkets"/>
    <x v="15"/>
    <s v="Mindi"/>
    <s v="|79/01/57|"/>
    <n v="1584"/>
    <n v="0.6"/>
    <n v="1.1499999999999999"/>
  </r>
  <r>
    <x v="2"/>
    <s v="Supermarkets"/>
    <x v="15"/>
    <s v="Mindi"/>
    <s v="|79/01/58|"/>
    <n v="1392"/>
    <n v="0.68"/>
    <n v="1"/>
  </r>
  <r>
    <x v="2"/>
    <s v="Supermarkets"/>
    <x v="15"/>
    <s v="Mindi"/>
    <s v="|79/01/59|"/>
    <n v="1488"/>
    <n v="0.63"/>
    <n v="1.03"/>
  </r>
  <r>
    <x v="2"/>
    <s v="Supermarkets"/>
    <x v="15"/>
    <s v="Mindi"/>
    <s v="|79/01/60|"/>
    <n v="1200"/>
    <n v="0.77"/>
    <n v="1.17"/>
  </r>
  <r>
    <x v="2"/>
    <s v="Supermarkets"/>
    <x v="15"/>
    <s v="Mindi"/>
    <s v="|79/01/61|"/>
    <n v="1224"/>
    <n v="0.68"/>
    <n v="1.17"/>
  </r>
  <r>
    <x v="2"/>
    <s v="Supermarkets"/>
    <x v="15"/>
    <s v="Mindi"/>
    <s v="|79/01/62|"/>
    <n v="1596"/>
    <n v="0.78"/>
    <n v="1.06"/>
  </r>
  <r>
    <x v="2"/>
    <s v="Supermarkets"/>
    <x v="15"/>
    <s v="Mindi"/>
    <s v="|79/01/63|"/>
    <n v="1548"/>
    <n v="0.88"/>
    <n v="0.92"/>
  </r>
  <r>
    <x v="2"/>
    <s v="Supermarkets"/>
    <x v="15"/>
    <s v="Mindi"/>
    <s v="|79/01/64|"/>
    <n v="1380"/>
    <n v="0.88"/>
    <n v="0.99"/>
  </r>
  <r>
    <x v="2"/>
    <s v="Supermarkets"/>
    <x v="15"/>
    <s v="Mindi"/>
    <s v="|79/01/65|"/>
    <n v="1308"/>
    <n v="0.74"/>
    <n v="1.07"/>
  </r>
  <r>
    <x v="2"/>
    <s v="Supermarkets"/>
    <x v="15"/>
    <s v="Mindi"/>
    <s v="|79/01/66|"/>
    <n v="1632"/>
    <n v="0.85"/>
    <n v="1.0900000000000001"/>
  </r>
  <r>
    <x v="2"/>
    <s v="Supermarkets"/>
    <x v="15"/>
    <s v="Mindi"/>
    <s v="|79/01/67|"/>
    <n v="1584"/>
    <n v="0.86"/>
    <n v="1.1599999999999999"/>
  </r>
  <r>
    <x v="2"/>
    <s v="Supermarkets"/>
    <x v="15"/>
    <s v="Mindi"/>
    <s v="|79/01/68|"/>
    <n v="1572"/>
    <n v="0.85"/>
    <n v="1.2"/>
  </r>
  <r>
    <x v="2"/>
    <s v="Supermarkets"/>
    <x v="15"/>
    <s v="Mindi"/>
    <s v="|79/01/69|"/>
    <n v="1332"/>
    <n v="0.65"/>
    <n v="1.17"/>
  </r>
  <r>
    <x v="2"/>
    <s v="Supermarkets"/>
    <x v="15"/>
    <s v="Mindi"/>
    <s v="|79/01/70|"/>
    <n v="1236"/>
    <n v="0.73"/>
    <n v="1.1200000000000001"/>
  </r>
  <r>
    <x v="2"/>
    <s v="Supermarkets"/>
    <x v="15"/>
    <s v="Mindi"/>
    <s v="|79/01/71|"/>
    <n v="1440"/>
    <n v="0.78"/>
    <n v="1.1599999999999999"/>
  </r>
  <r>
    <x v="2"/>
    <s v="Supermarkets"/>
    <x v="15"/>
    <s v="Mindi"/>
    <s v="|79/01/72|"/>
    <n v="1428"/>
    <n v="0.82"/>
    <n v="1.1200000000000001"/>
  </r>
  <r>
    <x v="2"/>
    <s v="Supermarkets"/>
    <x v="15"/>
    <s v="Mindi"/>
    <s v="|79/01/73|"/>
    <n v="1272"/>
    <n v="0.9"/>
    <n v="1.04"/>
  </r>
  <r>
    <x v="2"/>
    <s v="Supermarkets"/>
    <x v="15"/>
    <s v="Mindi"/>
    <s v="|79/01/74|"/>
    <n v="1452"/>
    <n v="0.86"/>
    <n v="0.95"/>
  </r>
  <r>
    <x v="2"/>
    <s v="Supermarkets"/>
    <x v="15"/>
    <s v="Mindi"/>
    <s v="|79/01/75|"/>
    <n v="1260"/>
    <n v="0.81"/>
    <n v="1.17"/>
  </r>
  <r>
    <x v="2"/>
    <s v="Supermarkets"/>
    <x v="15"/>
    <s v="Mindi"/>
    <s v="|79/01/76|"/>
    <n v="1248"/>
    <n v="0.81"/>
    <n v="1.1599999999999999"/>
  </r>
  <r>
    <x v="2"/>
    <s v="Supermarkets"/>
    <x v="15"/>
    <s v="Mindi"/>
    <s v="|79/01/77|"/>
    <n v="1248"/>
    <n v="0.75"/>
    <n v="1"/>
  </r>
  <r>
    <x v="2"/>
    <s v="Supermarkets"/>
    <x v="15"/>
    <s v="Mindi"/>
    <s v="|79/01/78|"/>
    <n v="1368"/>
    <n v="0.62"/>
    <n v="1.1599999999999999"/>
  </r>
  <r>
    <x v="2"/>
    <s v="Supermarkets"/>
    <x v="15"/>
    <s v="Mindi"/>
    <s v="|79/01/80|"/>
    <n v="1416"/>
    <n v="0.83"/>
    <n v="1.04"/>
  </r>
  <r>
    <x v="2"/>
    <s v="Supermarkets"/>
    <x v="15"/>
    <s v="Mindi"/>
    <s v="|79/01/81|"/>
    <n v="1452"/>
    <n v="0.76"/>
    <n v="1.1499999999999999"/>
  </r>
  <r>
    <x v="2"/>
    <s v="Supermarkets"/>
    <x v="15"/>
    <s v="Mindi"/>
    <s v="|79/01/82|"/>
    <n v="1308"/>
    <n v="0.65"/>
    <n v="0.94"/>
  </r>
  <r>
    <x v="2"/>
    <s v="Supermarkets"/>
    <x v="15"/>
    <s v="Mindi"/>
    <s v="|79/01/83|"/>
    <n v="1428"/>
    <n v="0.7"/>
    <n v="1.2"/>
  </r>
  <r>
    <x v="2"/>
    <s v="Supermarkets"/>
    <x v="15"/>
    <s v="Mindi"/>
    <s v="|79/01/84|"/>
    <n v="1296"/>
    <n v="0.8"/>
    <n v="1.1299999999999999"/>
  </r>
  <r>
    <x v="2"/>
    <s v="Supermarkets"/>
    <x v="15"/>
    <s v="Mindi"/>
    <s v="|79/01/85|"/>
    <n v="1668"/>
    <n v="0.86"/>
    <n v="1.1499999999999999"/>
  </r>
  <r>
    <x v="2"/>
    <s v="Supermarkets"/>
    <x v="15"/>
    <s v="Mindi"/>
    <s v="|79/01/86|"/>
    <n v="1356"/>
    <n v="0.89"/>
    <n v="1.1100000000000001"/>
  </r>
  <r>
    <x v="2"/>
    <s v="Supermarkets"/>
    <x v="15"/>
    <s v="Mindi"/>
    <s v="|79/01/87|"/>
    <n v="1212"/>
    <n v="0.88"/>
    <n v="0.93"/>
  </r>
  <r>
    <x v="2"/>
    <s v="Supermarkets"/>
    <x v="15"/>
    <s v="Mindi"/>
    <s v="|79/01/88|"/>
    <n v="1296"/>
    <n v="0.6"/>
    <n v="0.91"/>
  </r>
  <r>
    <x v="2"/>
    <s v="Supermarkets"/>
    <x v="15"/>
    <s v="Mindi"/>
    <s v="|79/01/89|"/>
    <n v="1236"/>
    <n v="0.85"/>
    <n v="0.97"/>
  </r>
  <r>
    <x v="2"/>
    <s v="Supermarkets"/>
    <x v="15"/>
    <s v="Mindi"/>
    <s v="|79/01/90|"/>
    <n v="1392"/>
    <n v="0.7"/>
    <n v="1.2"/>
  </r>
  <r>
    <x v="2"/>
    <s v="Supermarkets"/>
    <x v="15"/>
    <s v="Mindi"/>
    <s v="|79/01/91|"/>
    <n v="1404"/>
    <n v="0.88"/>
    <n v="1.08"/>
  </r>
  <r>
    <x v="2"/>
    <s v="Supermarkets"/>
    <x v="15"/>
    <s v="Mindi"/>
    <s v="|79/01/92|"/>
    <n v="1548"/>
    <n v="0.78"/>
    <n v="1.18"/>
  </r>
  <r>
    <x v="2"/>
    <s v="Supermarkets"/>
    <x v="15"/>
    <s v="Mindi"/>
    <s v="|79/01/93|"/>
    <n v="1620"/>
    <n v="0.87"/>
    <n v="1.1399999999999999"/>
  </r>
  <r>
    <x v="2"/>
    <s v="Supermarkets"/>
    <x v="15"/>
    <s v="Mindi"/>
    <s v="|79/01/94|"/>
    <n v="1236"/>
    <n v="0.72"/>
    <n v="1.07"/>
  </r>
  <r>
    <x v="2"/>
    <s v="Supermarkets"/>
    <x v="15"/>
    <s v="Mindi"/>
    <s v="|79/01/95|"/>
    <n v="1248"/>
    <n v="0.77"/>
    <n v="1.18"/>
  </r>
  <r>
    <x v="2"/>
    <s v="Supermarkets"/>
    <x v="15"/>
    <s v="Mindi"/>
    <s v="|79/01/96|"/>
    <n v="1380"/>
    <n v="0.79"/>
    <n v="1.1299999999999999"/>
  </r>
  <r>
    <x v="2"/>
    <s v="Supermarkets"/>
    <x v="15"/>
    <s v="Mindi"/>
    <s v="|79/01/97|"/>
    <n v="1368"/>
    <n v="0.78"/>
    <n v="1.07"/>
  </r>
  <r>
    <x v="2"/>
    <s v="Supermarkets"/>
    <x v="15"/>
    <s v="Mindi"/>
    <s v="|79/01/98|"/>
    <n v="1512"/>
    <n v="0.66"/>
    <n v="1.18"/>
  </r>
  <r>
    <x v="2"/>
    <s v="Supermarkets"/>
    <x v="15"/>
    <s v="Mindi"/>
    <s v="|79/01/122|"/>
    <n v="1200"/>
    <n v="0.83"/>
    <n v="1.1100000000000001"/>
  </r>
  <r>
    <x v="2"/>
    <s v="Supermarkets"/>
    <x v="15"/>
    <s v="Mindi"/>
    <s v="|79/01/123|"/>
    <n v="1560"/>
    <n v="0.9"/>
    <n v="1.1499999999999999"/>
  </r>
  <r>
    <x v="2"/>
    <s v="Supermarkets"/>
    <x v="15"/>
    <s v="Mindi"/>
    <s v="|79/01/124|"/>
    <n v="1668"/>
    <n v="0.77"/>
    <n v="0.98"/>
  </r>
  <r>
    <x v="2"/>
    <s v="Supermarkets"/>
    <x v="15"/>
    <s v="Mindi"/>
    <s v="|79/01/125|"/>
    <n v="1620"/>
    <n v="0.86"/>
    <n v="0.97"/>
  </r>
  <r>
    <x v="2"/>
    <s v="Supermarkets"/>
    <x v="15"/>
    <s v="Mindi"/>
    <s v="|79/01/126|"/>
    <n v="1524"/>
    <n v="0.63"/>
    <n v="0.96"/>
  </r>
  <r>
    <x v="2"/>
    <s v="Supermarkets"/>
    <x v="15"/>
    <s v="Mindi"/>
    <s v="|79/01/127|"/>
    <n v="1248"/>
    <n v="0.85"/>
    <n v="1.17"/>
  </r>
  <r>
    <x v="2"/>
    <s v="Supermarkets"/>
    <x v="15"/>
    <s v="Mindi"/>
    <s v="|79/01/128|"/>
    <n v="1260"/>
    <n v="0.71"/>
    <n v="1.1499999999999999"/>
  </r>
  <r>
    <x v="2"/>
    <s v="Supermarkets"/>
    <x v="15"/>
    <s v="Mindi"/>
    <s v="|79/01/129|"/>
    <n v="1260"/>
    <n v="0.89"/>
    <n v="0.96"/>
  </r>
  <r>
    <x v="2"/>
    <s v="Supermarkets"/>
    <x v="15"/>
    <s v="Mindi"/>
    <s v="|79/01/130|"/>
    <n v="1392"/>
    <n v="0.62"/>
    <n v="0.99"/>
  </r>
  <r>
    <x v="2"/>
    <s v="Supermarkets"/>
    <x v="15"/>
    <s v="Mindi"/>
    <s v="|79/01/186|"/>
    <n v="1428"/>
    <n v="0.78"/>
    <n v="1.18"/>
  </r>
  <r>
    <x v="2"/>
    <s v="Supermarkets"/>
    <x v="15"/>
    <s v="Mindi"/>
    <s v="|79/01/187|"/>
    <n v="1512"/>
    <n v="0.64"/>
    <n v="0.91"/>
  </r>
  <r>
    <x v="2"/>
    <s v="Supermarkets"/>
    <x v="15"/>
    <s v="Mindi"/>
    <s v="|79/01/188|"/>
    <n v="1308"/>
    <n v="0.87"/>
    <n v="1.03"/>
  </r>
  <r>
    <x v="2"/>
    <s v="Supermarkets"/>
    <x v="15"/>
    <s v="Mindi"/>
    <s v="|79/01/189|"/>
    <n v="1500"/>
    <n v="0.83"/>
    <n v="1.18"/>
  </r>
  <r>
    <x v="2"/>
    <s v="Supermarkets"/>
    <x v="15"/>
    <s v="Mindi"/>
    <s v="|79/01/199|"/>
    <n v="1416"/>
    <n v="0.84"/>
    <n v="1.03"/>
  </r>
  <r>
    <x v="2"/>
    <s v="Supermarkets"/>
    <x v="15"/>
    <s v="Mindi"/>
    <s v="|79/02/01|"/>
    <n v="1212"/>
    <n v="0.69"/>
    <n v="1.18"/>
  </r>
  <r>
    <x v="2"/>
    <s v="Supermarkets"/>
    <x v="15"/>
    <s v="Mindi"/>
    <s v="|79/02/02|"/>
    <n v="1248"/>
    <n v="0.75"/>
    <n v="1.1399999999999999"/>
  </r>
  <r>
    <x v="2"/>
    <s v="Supermarkets"/>
    <x v="15"/>
    <s v="Mindi"/>
    <s v="|79/02/03|"/>
    <n v="1332"/>
    <n v="0.83"/>
    <n v="1"/>
  </r>
  <r>
    <x v="2"/>
    <s v="Supermarkets"/>
    <x v="15"/>
    <s v="Mindi"/>
    <s v="|79/02/04|"/>
    <n v="1272"/>
    <n v="0.7"/>
    <n v="1.1299999999999999"/>
  </r>
  <r>
    <x v="2"/>
    <s v="Supermarkets"/>
    <x v="15"/>
    <s v="Mindi"/>
    <s v="|79/02/05|"/>
    <n v="1308"/>
    <n v="0.68"/>
    <n v="1.18"/>
  </r>
  <r>
    <x v="2"/>
    <s v="Supermarkets"/>
    <x v="15"/>
    <s v="Mindi"/>
    <s v="|79/02/06|"/>
    <n v="1680"/>
    <n v="0.88"/>
    <n v="0.94"/>
  </r>
  <r>
    <x v="2"/>
    <s v="Supermarkets"/>
    <x v="15"/>
    <s v="Mindi"/>
    <s v="|79/02/07|"/>
    <n v="1644"/>
    <n v="0.84"/>
    <n v="1.06"/>
  </r>
  <r>
    <x v="2"/>
    <s v="Supermarkets"/>
    <x v="15"/>
    <s v="Mindi"/>
    <s v="|79/02/08|"/>
    <n v="1308"/>
    <n v="0.72"/>
    <n v="1.1200000000000001"/>
  </r>
  <r>
    <x v="2"/>
    <s v="Supermarkets"/>
    <x v="15"/>
    <s v="Mindi"/>
    <s v="|79/02/09|"/>
    <n v="1596"/>
    <n v="0.9"/>
    <n v="0.91"/>
  </r>
  <r>
    <x v="2"/>
    <s v="Supermarkets"/>
    <x v="15"/>
    <s v="Mindi"/>
    <s v="|79/02/10|"/>
    <n v="1668"/>
    <n v="0.74"/>
    <n v="1.1599999999999999"/>
  </r>
  <r>
    <x v="2"/>
    <s v="Supermarkets"/>
    <x v="15"/>
    <s v="Mindi"/>
    <s v="|79/02/11|"/>
    <n v="1680"/>
    <n v="0.69"/>
    <n v="1.03"/>
  </r>
  <r>
    <x v="2"/>
    <s v="Supermarkets"/>
    <x v="15"/>
    <s v="Mindi"/>
    <s v="|79/02/12|"/>
    <n v="1344"/>
    <n v="0.81"/>
    <n v="0.95"/>
  </r>
  <r>
    <x v="2"/>
    <s v="Supermarkets"/>
    <x v="15"/>
    <s v="Mindi"/>
    <s v="|79/02/13|"/>
    <n v="1512"/>
    <n v="0.89"/>
    <n v="0.97"/>
  </r>
  <r>
    <x v="2"/>
    <s v="Supermarkets"/>
    <x v="15"/>
    <s v="Mindi"/>
    <s v="|79/02/15|"/>
    <n v="1212"/>
    <n v="0.71"/>
    <n v="0.98"/>
  </r>
  <r>
    <x v="2"/>
    <s v="Supermarkets"/>
    <x v="15"/>
    <s v="Mindi"/>
    <s v="|79/02/20|"/>
    <n v="1212"/>
    <n v="0.88"/>
    <n v="1.05"/>
  </r>
  <r>
    <x v="2"/>
    <s v="Supermarkets"/>
    <x v="15"/>
    <s v="Mindi"/>
    <s v="|79/02/50|"/>
    <n v="1476"/>
    <n v="0.77"/>
    <n v="1.04"/>
  </r>
  <r>
    <x v="2"/>
    <s v="Supermarkets"/>
    <x v="15"/>
    <s v="Mindi"/>
    <s v="|79/02/51|"/>
    <n v="1344"/>
    <n v="0.68"/>
    <n v="0.99"/>
  </r>
  <r>
    <x v="2"/>
    <s v="Supermarkets"/>
    <x v="15"/>
    <s v="Mindi"/>
    <s v="|79/02/52|"/>
    <n v="1488"/>
    <n v="0.74"/>
    <n v="1.17"/>
  </r>
  <r>
    <x v="2"/>
    <s v="Supermarkets"/>
    <x v="15"/>
    <s v="Mindi"/>
    <s v="|79/02/54|"/>
    <n v="1512"/>
    <n v="0.9"/>
    <n v="1.03"/>
  </r>
  <r>
    <x v="2"/>
    <s v="Supermarkets"/>
    <x v="15"/>
    <s v="Star foods"/>
    <s v="|108/01/01|"/>
    <n v="1320"/>
    <n v="0.64"/>
    <n v="0.97"/>
  </r>
  <r>
    <x v="2"/>
    <s v="Supermarkets"/>
    <x v="15"/>
    <s v="Star foods"/>
    <s v="|108/01/02|"/>
    <n v="1608"/>
    <n v="0.64"/>
    <n v="1.17"/>
  </r>
  <r>
    <x v="2"/>
    <s v="Supermarkets"/>
    <x v="15"/>
    <s v="Star foods"/>
    <s v="|108/01/03|"/>
    <n v="1344"/>
    <n v="0.64"/>
    <n v="1.08"/>
  </r>
  <r>
    <x v="2"/>
    <s v="Supermarkets"/>
    <x v="15"/>
    <s v="Star foods"/>
    <s v="|108/01/04|"/>
    <n v="1284"/>
    <n v="0.83"/>
    <n v="1.08"/>
  </r>
  <r>
    <x v="2"/>
    <s v="Supermarkets"/>
    <x v="15"/>
    <s v="Star foods"/>
    <s v="|108/01/05|"/>
    <n v="1632"/>
    <n v="0.87"/>
    <n v="1.19"/>
  </r>
  <r>
    <x v="2"/>
    <s v="Supermarkets"/>
    <x v="15"/>
    <s v="Star foods"/>
    <s v="|108/01/06|"/>
    <n v="1440"/>
    <n v="0.89"/>
    <n v="1.1599999999999999"/>
  </r>
  <r>
    <x v="2"/>
    <s v="Supermarkets"/>
    <x v="15"/>
    <s v="Star foods"/>
    <s v="|108/01/07|"/>
    <n v="1488"/>
    <n v="0.69"/>
    <n v="1.06"/>
  </r>
  <r>
    <x v="2"/>
    <s v="Supermarkets"/>
    <x v="15"/>
    <s v="Star foods"/>
    <s v="|108/01/08|"/>
    <n v="1560"/>
    <n v="0.69"/>
    <n v="1.0900000000000001"/>
  </r>
  <r>
    <x v="2"/>
    <s v="Supermarkets"/>
    <x v="15"/>
    <s v="Star foods"/>
    <s v="|108/01/09|"/>
    <n v="1464"/>
    <n v="0.62"/>
    <n v="1"/>
  </r>
  <r>
    <x v="2"/>
    <s v="Supermarkets"/>
    <x v="15"/>
    <s v="Star foods"/>
    <s v="|108/01/10|"/>
    <n v="1260"/>
    <n v="0.6"/>
    <n v="1.07"/>
  </r>
  <r>
    <x v="2"/>
    <s v="Supermarkets"/>
    <x v="15"/>
    <s v="Kronos"/>
    <s v="|87/00/01|"/>
    <n v="1668"/>
    <n v="0.64"/>
    <n v="1.01"/>
  </r>
  <r>
    <x v="2"/>
    <s v="Supermarkets"/>
    <x v="15"/>
    <s v="Kronos"/>
    <s v="|87/00/02|"/>
    <n v="1416"/>
    <n v="0.87"/>
    <n v="1.18"/>
  </r>
  <r>
    <x v="2"/>
    <s v="Supermarkets"/>
    <x v="15"/>
    <s v="Kronos"/>
    <s v="|87/00/03|"/>
    <n v="1332"/>
    <n v="0.84"/>
    <n v="1.1200000000000001"/>
  </r>
  <r>
    <x v="2"/>
    <s v="Supermarkets"/>
    <x v="15"/>
    <s v="Kronos"/>
    <s v="|87/00/04|"/>
    <n v="1284"/>
    <n v="0.77"/>
    <n v="1.05"/>
  </r>
  <r>
    <x v="2"/>
    <s v="Supermarkets"/>
    <x v="15"/>
    <s v="Kronos"/>
    <s v="|87/00/05|"/>
    <n v="1668"/>
    <n v="0.78"/>
    <n v="1.2"/>
  </r>
  <r>
    <x v="2"/>
    <s v="Supermarkets"/>
    <x v="15"/>
    <s v="Kronos"/>
    <s v="|87/00/06|"/>
    <n v="1476"/>
    <n v="0.8"/>
    <n v="1.1200000000000001"/>
  </r>
  <r>
    <x v="2"/>
    <s v="Supermarkets"/>
    <x v="15"/>
    <s v="Kronos"/>
    <s v="|87/00/07|"/>
    <n v="1656"/>
    <n v="0.69"/>
    <n v="1.08"/>
  </r>
  <r>
    <x v="2"/>
    <s v="Supermarkets"/>
    <x v="15"/>
    <s v="Kronos"/>
    <s v="|87/00/08|"/>
    <n v="1452"/>
    <n v="0.65"/>
    <n v="0.94"/>
  </r>
  <r>
    <x v="2"/>
    <s v="Supermarkets"/>
    <x v="15"/>
    <s v="Kronos"/>
    <s v="|87/00/09|"/>
    <n v="1332"/>
    <n v="0.74"/>
    <n v="1.05"/>
  </r>
  <r>
    <x v="2"/>
    <s v="Supermarkets"/>
    <x v="15"/>
    <s v="Kronos"/>
    <s v="|87/00/10|"/>
    <n v="1308"/>
    <n v="0.8"/>
    <n v="1.05"/>
  </r>
  <r>
    <x v="2"/>
    <s v="Supermarkets"/>
    <x v="15"/>
    <s v="Kronos"/>
    <s v="|87/00/11|"/>
    <n v="1464"/>
    <n v="0.79"/>
    <n v="1.0900000000000001"/>
  </r>
  <r>
    <x v="2"/>
    <s v="Supermarkets"/>
    <x v="15"/>
    <s v="Kronos"/>
    <s v="|87/00/20|"/>
    <n v="1392"/>
    <n v="0.8"/>
    <n v="1.1100000000000001"/>
  </r>
  <r>
    <x v="2"/>
    <s v="Supermarkets"/>
    <x v="15"/>
    <s v="Kronos"/>
    <s v="|87/00/21|"/>
    <n v="1644"/>
    <n v="0.9"/>
    <n v="1.1100000000000001"/>
  </r>
  <r>
    <x v="2"/>
    <s v="Supermarkets"/>
    <x v="15"/>
    <s v="Kronos"/>
    <s v="|87/00/22|"/>
    <n v="1560"/>
    <n v="0.65"/>
    <n v="1.1499999999999999"/>
  </r>
  <r>
    <x v="2"/>
    <s v="Supermarkets"/>
    <x v="15"/>
    <s v="Kronos"/>
    <s v="|87/00/23|"/>
    <n v="1452"/>
    <n v="0.71"/>
    <n v="1.07"/>
  </r>
  <r>
    <x v="2"/>
    <s v="Supermarkets"/>
    <x v="15"/>
    <s v="Kronos"/>
    <s v="|87/00/24|"/>
    <n v="1248"/>
    <n v="0.65"/>
    <n v="1.03"/>
  </r>
  <r>
    <x v="2"/>
    <s v="Supermarkets"/>
    <x v="15"/>
    <s v="Corosina"/>
    <s v="|115/01/01|"/>
    <n v="1452"/>
    <n v="0.62"/>
    <n v="0.98"/>
  </r>
  <r>
    <x v="2"/>
    <s v="Supermarkets"/>
    <x v="15"/>
    <s v="Corosina"/>
    <s v="|115/01/03|"/>
    <n v="1512"/>
    <n v="0.67"/>
    <n v="1.1499999999999999"/>
  </r>
  <r>
    <x v="2"/>
    <s v="Supermarkets"/>
    <x v="15"/>
    <s v="Corosina"/>
    <s v="|115/01/04|"/>
    <n v="1536"/>
    <n v="0.88"/>
    <n v="1.1200000000000001"/>
  </r>
  <r>
    <x v="2"/>
    <s v="Supermarkets"/>
    <x v="15"/>
    <s v="Corosina"/>
    <s v="|115/01/05|"/>
    <n v="1260"/>
    <n v="0.74"/>
    <n v="0.97"/>
  </r>
  <r>
    <x v="2"/>
    <s v="Supermarkets"/>
    <x v="15"/>
    <s v="Corosina"/>
    <s v="|115/01/06|"/>
    <n v="1296"/>
    <n v="0.62"/>
    <n v="0.99"/>
  </r>
  <r>
    <x v="2"/>
    <s v="Supermarkets"/>
    <x v="15"/>
    <s v="Corosina"/>
    <s v="|115/01/07|"/>
    <n v="1356"/>
    <n v="0.78"/>
    <n v="1"/>
  </r>
  <r>
    <x v="2"/>
    <s v="Supermarkets"/>
    <x v="15"/>
    <s v="Corosina"/>
    <s v="|115/01/08|"/>
    <n v="1656"/>
    <n v="0.63"/>
    <n v="1.06"/>
  </r>
  <r>
    <x v="2"/>
    <s v="Supermarkets"/>
    <x v="15"/>
    <s v="Corosina"/>
    <s v="|115/01/09|"/>
    <n v="1644"/>
    <n v="0.6"/>
    <n v="0.95"/>
  </r>
  <r>
    <x v="2"/>
    <s v="Supermarkets"/>
    <x v="15"/>
    <s v="Corosina"/>
    <s v="|115/01/10|"/>
    <n v="1440"/>
    <n v="0.74"/>
    <n v="1.1499999999999999"/>
  </r>
  <r>
    <x v="2"/>
    <s v="Supermarkets"/>
    <x v="15"/>
    <s v="Corosina"/>
    <s v="|115/01/11|"/>
    <n v="1596"/>
    <n v="0.7"/>
    <n v="0.99"/>
  </r>
  <r>
    <x v="2"/>
    <s v="Supermarkets"/>
    <x v="15"/>
    <s v="Corosina"/>
    <s v="|115/01/12|"/>
    <n v="1272"/>
    <n v="0.74"/>
    <n v="1.1299999999999999"/>
  </r>
  <r>
    <x v="2"/>
    <s v="Supermarkets"/>
    <x v="15"/>
    <s v="Corosina"/>
    <s v="|115/01/13|"/>
    <n v="1284"/>
    <n v="0.72"/>
    <n v="0.91"/>
  </r>
  <r>
    <x v="2"/>
    <s v="Supermarkets"/>
    <x v="15"/>
    <s v="Corosina"/>
    <s v="|115/01/14|"/>
    <n v="1260"/>
    <n v="0.64"/>
    <n v="0.92"/>
  </r>
  <r>
    <x v="2"/>
    <s v="Supermarkets"/>
    <x v="15"/>
    <s v="Corosina"/>
    <s v="|115/01/15|"/>
    <n v="1656"/>
    <n v="0.88"/>
    <n v="1.08"/>
  </r>
  <r>
    <x v="2"/>
    <s v="Supermarkets"/>
    <x v="15"/>
    <s v="Corosina"/>
    <s v="|115/01/30|"/>
    <n v="1380"/>
    <n v="0.63"/>
    <n v="0.94"/>
  </r>
  <r>
    <x v="2"/>
    <s v="Supermarkets"/>
    <x v="15"/>
    <s v="Corosina"/>
    <s v="|115/01/31|"/>
    <n v="1284"/>
    <n v="0.71"/>
    <n v="1.1000000000000001"/>
  </r>
  <r>
    <x v="2"/>
    <s v="Supermarkets"/>
    <x v="15"/>
    <s v="Surgital"/>
    <s v="|03/01/03|"/>
    <n v="1620"/>
    <n v="0.89"/>
    <n v="1.04"/>
  </r>
  <r>
    <x v="2"/>
    <s v="Supermarkets"/>
    <x v="15"/>
    <s v="Surgital"/>
    <s v="|03/01/04|"/>
    <n v="1392"/>
    <n v="0.65"/>
    <n v="0.97"/>
  </r>
  <r>
    <x v="2"/>
    <s v="Supermarkets"/>
    <x v="15"/>
    <s v="Surgital"/>
    <s v="|03/01/05|"/>
    <n v="1512"/>
    <n v="0.85"/>
    <n v="1.04"/>
  </r>
  <r>
    <x v="2"/>
    <s v="Supermarkets"/>
    <x v="15"/>
    <s v="Surgital"/>
    <s v="|03/01/06|"/>
    <n v="1344"/>
    <n v="0.79"/>
    <n v="1.04"/>
  </r>
  <r>
    <x v="2"/>
    <s v="Supermarkets"/>
    <x v="15"/>
    <s v="Surgital"/>
    <s v="|03/01/07|"/>
    <n v="1236"/>
    <n v="0.9"/>
    <n v="0.98"/>
  </r>
  <r>
    <x v="2"/>
    <s v="Supermarkets"/>
    <x v="15"/>
    <s v="Surgital"/>
    <s v="|03/01/08|"/>
    <n v="1632"/>
    <n v="0.62"/>
    <n v="1.1200000000000001"/>
  </r>
  <r>
    <x v="2"/>
    <s v="Supermarkets"/>
    <x v="15"/>
    <s v="Surgital"/>
    <s v="|03/01/09|"/>
    <n v="1332"/>
    <n v="0.76"/>
    <n v="0.96"/>
  </r>
  <r>
    <x v="2"/>
    <s v="Supermarkets"/>
    <x v="15"/>
    <s v="Surgital"/>
    <s v="|03/01/10|"/>
    <n v="1608"/>
    <n v="0.84"/>
    <n v="1.1100000000000001"/>
  </r>
  <r>
    <x v="2"/>
    <s v="Supermarkets"/>
    <x v="15"/>
    <s v="Surgital"/>
    <s v="|03/01/11|"/>
    <n v="1392"/>
    <n v="0.72"/>
    <n v="1.1200000000000001"/>
  </r>
  <r>
    <x v="2"/>
    <s v="Supermarkets"/>
    <x v="15"/>
    <s v="Surgital"/>
    <s v="|03/01/12|"/>
    <n v="1680"/>
    <n v="0.82"/>
    <n v="1.1200000000000001"/>
  </r>
  <r>
    <x v="2"/>
    <s v="Supermarkets"/>
    <x v="15"/>
    <s v="Surgital"/>
    <s v="|03/01/13|"/>
    <n v="1620"/>
    <n v="0.78"/>
    <n v="1.1499999999999999"/>
  </r>
  <r>
    <x v="2"/>
    <s v="Supermarkets"/>
    <x v="15"/>
    <s v="Surgital"/>
    <s v="|03/01/14|"/>
    <n v="1308"/>
    <n v="0.86"/>
    <n v="1.1200000000000001"/>
  </r>
  <r>
    <x v="2"/>
    <s v="Supermarkets"/>
    <x v="15"/>
    <s v="Surgital"/>
    <s v="|03/01/15|"/>
    <n v="1596"/>
    <n v="0.62"/>
    <n v="1.17"/>
  </r>
  <r>
    <x v="2"/>
    <s v="Supermarkets"/>
    <x v="15"/>
    <s v="Surgital"/>
    <s v="|03/01/16|"/>
    <n v="1320"/>
    <n v="0.72"/>
    <n v="1.19"/>
  </r>
  <r>
    <x v="2"/>
    <s v="Supermarkets"/>
    <x v="15"/>
    <s v="Surgital"/>
    <s v="|03/01/17|"/>
    <n v="1272"/>
    <n v="0.72"/>
    <n v="0.96"/>
  </r>
  <r>
    <x v="2"/>
    <s v="Supermarkets"/>
    <x v="15"/>
    <s v="Surgital"/>
    <s v="|03/01/18|"/>
    <n v="1296"/>
    <n v="0.78"/>
    <n v="0.92"/>
  </r>
  <r>
    <x v="2"/>
    <s v="Supermarkets"/>
    <x v="15"/>
    <s v="Surgital"/>
    <s v="|03/01/19|"/>
    <n v="1512"/>
    <n v="0.9"/>
    <n v="1.01"/>
  </r>
  <r>
    <x v="2"/>
    <s v="Supermarkets"/>
    <x v="15"/>
    <s v="Surgital"/>
    <s v="|03/01/20|"/>
    <n v="1596"/>
    <n v="0.69"/>
    <n v="1.1000000000000001"/>
  </r>
  <r>
    <x v="2"/>
    <s v="Supermarkets"/>
    <x v="15"/>
    <s v="Surgital"/>
    <s v="|03/01/21|"/>
    <n v="1296"/>
    <n v="0.75"/>
    <n v="0.91"/>
  </r>
  <r>
    <x v="2"/>
    <s v="Supermarkets"/>
    <x v="15"/>
    <s v="Surgital"/>
    <s v="|03/01/22|"/>
    <n v="1452"/>
    <n v="0.9"/>
    <n v="1.07"/>
  </r>
  <r>
    <x v="2"/>
    <s v="Supermarkets"/>
    <x v="15"/>
    <s v="Surgital"/>
    <s v="|03/01/23|"/>
    <n v="1404"/>
    <n v="0.64"/>
    <n v="1.0900000000000001"/>
  </r>
  <r>
    <x v="2"/>
    <s v="Supermarkets"/>
    <x v="15"/>
    <s v="Surgital"/>
    <s v="|03/01/24|"/>
    <n v="1596"/>
    <n v="0.66"/>
    <n v="0.98"/>
  </r>
  <r>
    <x v="2"/>
    <s v="Supermarkets"/>
    <x v="15"/>
    <s v="Surgital"/>
    <s v="|03/01/25|"/>
    <n v="1620"/>
    <n v="0.73"/>
    <n v="1.1200000000000001"/>
  </r>
  <r>
    <x v="2"/>
    <s v="Supermarkets"/>
    <x v="15"/>
    <s v="Surgital"/>
    <s v="|03/01/26|"/>
    <n v="1236"/>
    <n v="0.61"/>
    <n v="1.1200000000000001"/>
  </r>
  <r>
    <x v="2"/>
    <s v="Supermarkets"/>
    <x v="15"/>
    <s v="Surgital"/>
    <s v="|03/01/27|"/>
    <n v="1236"/>
    <n v="0.65"/>
    <n v="0.92"/>
  </r>
  <r>
    <x v="2"/>
    <s v="Supermarkets"/>
    <x v="15"/>
    <s v="Surgital"/>
    <s v="|03/01/28|"/>
    <n v="1332"/>
    <n v="0.78"/>
    <n v="1.03"/>
  </r>
  <r>
    <x v="2"/>
    <s v="Supermarkets"/>
    <x v="15"/>
    <s v="Surgital"/>
    <s v="|03/01/29|"/>
    <n v="1644"/>
    <n v="0.65"/>
    <n v="0.92"/>
  </r>
  <r>
    <x v="2"/>
    <s v="Supermarkets"/>
    <x v="15"/>
    <s v="Surgital"/>
    <s v="|03/01/30|"/>
    <n v="1260"/>
    <n v="0.72"/>
    <n v="1.1599999999999999"/>
  </r>
  <r>
    <x v="2"/>
    <s v="Supermarkets"/>
    <x v="15"/>
    <s v="Surgital"/>
    <s v="|03/01/31|"/>
    <n v="1392"/>
    <n v="0.65"/>
    <n v="1.07"/>
  </r>
  <r>
    <x v="2"/>
    <s v="Supermarkets"/>
    <x v="15"/>
    <s v="Surgital"/>
    <s v="|03/01/32|"/>
    <n v="1452"/>
    <n v="0.68"/>
    <n v="1.1100000000000001"/>
  </r>
  <r>
    <x v="2"/>
    <s v="Supermarkets"/>
    <x v="15"/>
    <s v="Surgital"/>
    <s v="|03/01/33|"/>
    <n v="1248"/>
    <n v="0.72"/>
    <n v="1.02"/>
  </r>
  <r>
    <x v="2"/>
    <s v="Supermarkets"/>
    <x v="15"/>
    <s v="Surgital"/>
    <s v="|03/01/34|"/>
    <n v="1236"/>
    <n v="0.8"/>
    <n v="1.2"/>
  </r>
  <r>
    <x v="2"/>
    <s v="Supermarkets"/>
    <x v="15"/>
    <s v="Surgital"/>
    <s v="|03/01/35|"/>
    <n v="1428"/>
    <n v="0.85"/>
    <n v="1.1100000000000001"/>
  </r>
  <r>
    <x v="2"/>
    <s v="Supermarkets"/>
    <x v="15"/>
    <s v="Surgital"/>
    <s v="|03/01/36|"/>
    <n v="1416"/>
    <n v="0.9"/>
    <n v="1.02"/>
  </r>
  <r>
    <x v="2"/>
    <s v="Supermarkets"/>
    <x v="15"/>
    <s v="Surgital"/>
    <s v="|03/01/37|"/>
    <n v="1548"/>
    <n v="0.64"/>
    <n v="1.1100000000000001"/>
  </r>
  <r>
    <x v="2"/>
    <s v="Supermarkets"/>
    <x v="15"/>
    <s v="Surgital"/>
    <s v="|03/01/38|"/>
    <n v="1656"/>
    <n v="0.75"/>
    <n v="1.19"/>
  </r>
  <r>
    <x v="2"/>
    <s v="Supermarkets"/>
    <x v="15"/>
    <s v="Surgital"/>
    <s v="|03/01/39|"/>
    <n v="1248"/>
    <n v="0.74"/>
    <n v="1.1399999999999999"/>
  </r>
  <r>
    <x v="2"/>
    <s v="Supermarkets"/>
    <x v="15"/>
    <s v="Surgital"/>
    <s v="|03/01/40|"/>
    <n v="1596"/>
    <n v="0.77"/>
    <n v="1.1100000000000001"/>
  </r>
  <r>
    <x v="2"/>
    <s v="Supermarkets"/>
    <x v="15"/>
    <s v="Surgital"/>
    <s v="|03/01/41|"/>
    <n v="1380"/>
    <n v="0.77"/>
    <n v="1.1599999999999999"/>
  </r>
  <r>
    <x v="2"/>
    <s v="Supermarkets"/>
    <x v="15"/>
    <s v="Surgital"/>
    <s v="|03/01/43|"/>
    <n v="1380"/>
    <n v="0.62"/>
    <n v="1.17"/>
  </r>
  <r>
    <x v="2"/>
    <s v="Supermarkets"/>
    <x v="15"/>
    <s v="Surgital"/>
    <s v="|03/01/44|"/>
    <n v="1476"/>
    <n v="0.71"/>
    <n v="0.93"/>
  </r>
  <r>
    <x v="2"/>
    <s v="Supermarkets"/>
    <x v="15"/>
    <s v="Surgital"/>
    <s v="|03/01/45|"/>
    <n v="1356"/>
    <n v="0.88"/>
    <n v="0.96"/>
  </r>
  <r>
    <x v="2"/>
    <s v="Supermarkets"/>
    <x v="15"/>
    <s v="Surgital"/>
    <s v="|03/01/46|"/>
    <n v="1608"/>
    <n v="0.77"/>
    <n v="1.18"/>
  </r>
  <r>
    <x v="2"/>
    <s v="Supermarkets"/>
    <x v="15"/>
    <s v="Surgital"/>
    <s v="|03/01/47|"/>
    <n v="1656"/>
    <n v="0.78"/>
    <n v="0.99"/>
  </r>
  <r>
    <x v="2"/>
    <s v="Supermarkets"/>
    <x v="15"/>
    <s v="Surgital"/>
    <s v="|03/01/48|"/>
    <n v="1440"/>
    <n v="0.85"/>
    <n v="0.92"/>
  </r>
  <r>
    <x v="2"/>
    <s v="Supermarkets"/>
    <x v="15"/>
    <s v="Surgital"/>
    <s v="|03/01/49|"/>
    <n v="1368"/>
    <n v="0.72"/>
    <n v="1.05"/>
  </r>
  <r>
    <x v="2"/>
    <s v="Supermarkets"/>
    <x v="15"/>
    <s v="Surgital"/>
    <s v="|03/01/50|"/>
    <n v="1440"/>
    <n v="0.78"/>
    <n v="1.07"/>
  </r>
  <r>
    <x v="2"/>
    <s v="Supermarkets"/>
    <x v="15"/>
    <s v="Surgital"/>
    <s v="|03/01/51|"/>
    <n v="1320"/>
    <n v="0.84"/>
    <n v="1.1399999999999999"/>
  </r>
  <r>
    <x v="2"/>
    <s v="Supermarkets"/>
    <x v="15"/>
    <s v="Surgital"/>
    <s v="|03/01/52|"/>
    <n v="1224"/>
    <n v="0.66"/>
    <n v="1.1000000000000001"/>
  </r>
  <r>
    <x v="2"/>
    <s v="Supermarkets"/>
    <x v="15"/>
    <s v="Surgital"/>
    <s v="|03/01/53|"/>
    <n v="1440"/>
    <n v="0.89"/>
    <n v="1.17"/>
  </r>
  <r>
    <x v="2"/>
    <s v="Supermarkets"/>
    <x v="15"/>
    <s v="Surgital"/>
    <s v="|03/01/54|"/>
    <n v="1536"/>
    <n v="0.73"/>
    <n v="1.05"/>
  </r>
  <r>
    <x v="2"/>
    <s v="Supermarkets"/>
    <x v="15"/>
    <s v="Surgital"/>
    <s v="|03/01/55|"/>
    <n v="1416"/>
    <n v="0.72"/>
    <n v="1.1399999999999999"/>
  </r>
  <r>
    <x v="2"/>
    <s v="Supermarkets"/>
    <x v="15"/>
    <s v="Surgital"/>
    <s v="|03/01/56|"/>
    <n v="1272"/>
    <n v="0.77"/>
    <n v="0.92"/>
  </r>
  <r>
    <x v="2"/>
    <s v="Supermarkets"/>
    <x v="15"/>
    <s v="Surgital"/>
    <s v="|03/01/57|"/>
    <n v="1608"/>
    <n v="0.82"/>
    <n v="0.96"/>
  </r>
  <r>
    <x v="2"/>
    <s v="Supermarkets"/>
    <x v="15"/>
    <s v="Surgital"/>
    <s v="|03/01/58|"/>
    <n v="1404"/>
    <n v="0.61"/>
    <n v="1.03"/>
  </r>
  <r>
    <x v="2"/>
    <s v="Supermarkets"/>
    <x v="15"/>
    <s v="Surgital"/>
    <s v="|03/01/59|"/>
    <n v="1512"/>
    <n v="0.71"/>
    <n v="0.94"/>
  </r>
  <r>
    <x v="2"/>
    <s v="Supermarkets"/>
    <x v="15"/>
    <s v="Surgital"/>
    <s v="|03/01/60|"/>
    <n v="1632"/>
    <n v="0.8"/>
    <n v="1.0900000000000001"/>
  </r>
  <r>
    <x v="2"/>
    <s v="Supermarkets"/>
    <x v="15"/>
    <s v="Surgital"/>
    <s v="|03/01/62|"/>
    <n v="1356"/>
    <n v="0.75"/>
    <n v="0.96"/>
  </r>
  <r>
    <x v="2"/>
    <s v="Supermarkets"/>
    <x v="15"/>
    <s v="Surgital"/>
    <s v="|03/01/63|"/>
    <n v="1524"/>
    <n v="0.7"/>
    <n v="0.95"/>
  </r>
  <r>
    <x v="2"/>
    <s v="Supermarkets"/>
    <x v="15"/>
    <s v="Surgital"/>
    <s v="|03/01/64|"/>
    <n v="1260"/>
    <n v="0.79"/>
    <n v="0.95"/>
  </r>
  <r>
    <x v="2"/>
    <s v="Supermarkets"/>
    <x v="15"/>
    <s v="Surgital"/>
    <s v="|03/01/65|"/>
    <n v="1596"/>
    <n v="0.86"/>
    <n v="1.1000000000000001"/>
  </r>
  <r>
    <x v="2"/>
    <s v="Supermarkets"/>
    <x v="15"/>
    <s v="Surgital"/>
    <s v="|03/01/66|"/>
    <n v="1596"/>
    <n v="0.65"/>
    <n v="1.01"/>
  </r>
  <r>
    <x v="2"/>
    <s v="Supermarkets"/>
    <x v="15"/>
    <s v="Surgital"/>
    <s v="|03/01/67|"/>
    <n v="1596"/>
    <n v="0.76"/>
    <n v="1.1200000000000001"/>
  </r>
  <r>
    <x v="2"/>
    <s v="Supermarkets"/>
    <x v="15"/>
    <s v="Surgital"/>
    <s v="|03/01/68|"/>
    <n v="1668"/>
    <n v="0.63"/>
    <n v="0.93"/>
  </r>
  <r>
    <x v="2"/>
    <s v="Supermarkets"/>
    <x v="15"/>
    <s v="Surgital"/>
    <s v="|03/01/69|"/>
    <n v="1332"/>
    <n v="0.77"/>
    <n v="1.05"/>
  </r>
  <r>
    <x v="2"/>
    <s v="Supermarkets"/>
    <x v="15"/>
    <s v="Surgital"/>
    <s v="|03/01/70|"/>
    <n v="1320"/>
    <n v="0.64"/>
    <n v="1.19"/>
  </r>
  <r>
    <x v="2"/>
    <s v="Supermarkets"/>
    <x v="15"/>
    <s v="Surgital"/>
    <s v="|03/01/71|"/>
    <n v="1656"/>
    <n v="0.71"/>
    <n v="0.94"/>
  </r>
  <r>
    <x v="2"/>
    <s v="Supermarkets"/>
    <x v="15"/>
    <s v="Surgital"/>
    <s v="|03/01/72|"/>
    <n v="1308"/>
    <n v="0.89"/>
    <n v="1.1399999999999999"/>
  </r>
  <r>
    <x v="2"/>
    <s v="Supermarkets"/>
    <x v="15"/>
    <s v="Surgital"/>
    <s v="|03/01/73|"/>
    <n v="1632"/>
    <n v="0.62"/>
    <n v="1.02"/>
  </r>
  <r>
    <x v="2"/>
    <s v="Supermarkets"/>
    <x v="15"/>
    <s v="Surgital"/>
    <s v="|03/01/75|"/>
    <n v="1308"/>
    <n v="0.76"/>
    <n v="0.92"/>
  </r>
  <r>
    <x v="2"/>
    <s v="Supermarkets"/>
    <x v="15"/>
    <s v="Surgital"/>
    <s v="|03/01/76|"/>
    <n v="1344"/>
    <n v="0.88"/>
    <n v="1.2"/>
  </r>
  <r>
    <x v="2"/>
    <s v="Supermarkets"/>
    <x v="15"/>
    <s v="Surgital"/>
    <s v="|03/02/01|"/>
    <n v="1464"/>
    <n v="0.81"/>
    <n v="1.1599999999999999"/>
  </r>
  <r>
    <x v="2"/>
    <s v="Supermarkets"/>
    <x v="15"/>
    <s v="Surgital"/>
    <s v="|03/02/02|"/>
    <n v="1596"/>
    <n v="0.89"/>
    <n v="0.93"/>
  </r>
  <r>
    <x v="2"/>
    <s v="Supermarkets"/>
    <x v="15"/>
    <s v="Surgital"/>
    <s v="|03/02/03|"/>
    <n v="1284"/>
    <n v="0.8"/>
    <n v="1.06"/>
  </r>
  <r>
    <x v="2"/>
    <s v="Supermarkets"/>
    <x v="15"/>
    <s v="Surgital"/>
    <s v="|03/02/04|"/>
    <n v="1680"/>
    <n v="0.6"/>
    <n v="1.0900000000000001"/>
  </r>
  <r>
    <x v="2"/>
    <s v="Supermarkets"/>
    <x v="15"/>
    <s v="Surgital"/>
    <s v="|03/02/05|"/>
    <n v="1440"/>
    <n v="0.77"/>
    <n v="1.02"/>
  </r>
  <r>
    <x v="2"/>
    <s v="Supermarkets"/>
    <x v="15"/>
    <s v="Surgital"/>
    <s v="|03/02/06|"/>
    <n v="1536"/>
    <n v="0.76"/>
    <n v="1.02"/>
  </r>
  <r>
    <x v="2"/>
    <s v="Supermarkets"/>
    <x v="15"/>
    <s v="Surgital"/>
    <s v="|03/02/07|"/>
    <n v="1296"/>
    <n v="0.71"/>
    <n v="0.93"/>
  </r>
  <r>
    <x v="2"/>
    <s v="Supermarkets"/>
    <x v="15"/>
    <s v="Surgital"/>
    <s v="|03/02/08|"/>
    <n v="1320"/>
    <n v="0.84"/>
    <n v="1.04"/>
  </r>
  <r>
    <x v="2"/>
    <s v="Supermarkets"/>
    <x v="15"/>
    <s v="Surgital"/>
    <s v="|03/02/09|"/>
    <n v="1644"/>
    <n v="0.7"/>
    <n v="1.06"/>
  </r>
  <r>
    <x v="2"/>
    <s v="Supermarkets"/>
    <x v="15"/>
    <s v="Surgital"/>
    <s v="|03/02/10|"/>
    <n v="1344"/>
    <n v="0.74"/>
    <n v="1.07"/>
  </r>
  <r>
    <x v="2"/>
    <s v="Supermarkets"/>
    <x v="15"/>
    <s v="Surgital"/>
    <s v="|03/02/11|"/>
    <n v="1464"/>
    <n v="0.78"/>
    <n v="1.1100000000000001"/>
  </r>
  <r>
    <x v="2"/>
    <s v="Supermarkets"/>
    <x v="15"/>
    <s v="Surgital"/>
    <s v="|03/02/12|"/>
    <n v="1488"/>
    <n v="0.61"/>
    <n v="1.18"/>
  </r>
  <r>
    <x v="2"/>
    <s v="Supermarkets"/>
    <x v="15"/>
    <s v="Surgital"/>
    <s v="|03/02/13|"/>
    <n v="1656"/>
    <n v="0.9"/>
    <n v="1.05"/>
  </r>
  <r>
    <x v="2"/>
    <s v="Supermarkets"/>
    <x v="15"/>
    <s v="Surgital"/>
    <s v="|03/02/14|"/>
    <n v="1584"/>
    <n v="0.75"/>
    <n v="0.98"/>
  </r>
  <r>
    <x v="2"/>
    <s v="Supermarkets"/>
    <x v="15"/>
    <s v="Surgital"/>
    <s v="|03/02/15|"/>
    <n v="1476"/>
    <n v="0.8"/>
    <n v="1.1499999999999999"/>
  </r>
  <r>
    <x v="2"/>
    <s v="Supermarkets"/>
    <x v="15"/>
    <s v="Surgital"/>
    <s v="|03/02/16|"/>
    <n v="1620"/>
    <n v="0.78"/>
    <n v="1.1499999999999999"/>
  </r>
  <r>
    <x v="2"/>
    <s v="Supermarkets"/>
    <x v="15"/>
    <s v="Surgital"/>
    <s v="|03/02/17|"/>
    <n v="1656"/>
    <n v="0.83"/>
    <n v="1.1200000000000001"/>
  </r>
  <r>
    <x v="2"/>
    <s v="Supermarkets"/>
    <x v="15"/>
    <s v="Surgital"/>
    <s v="|03/02/77|"/>
    <n v="1596"/>
    <n v="0.9"/>
    <n v="1.19"/>
  </r>
  <r>
    <x v="2"/>
    <s v="Supermarkets"/>
    <x v="15"/>
    <s v="Surgital"/>
    <s v="|03/02/78|"/>
    <n v="1368"/>
    <n v="0.72"/>
    <n v="1.03"/>
  </r>
  <r>
    <x v="2"/>
    <s v="Supermarkets"/>
    <x v="15"/>
    <s v="Surgital"/>
    <s v="|03/02/79|"/>
    <n v="1296"/>
    <n v="0.9"/>
    <n v="1.1299999999999999"/>
  </r>
  <r>
    <x v="2"/>
    <s v="Supermarkets"/>
    <x v="15"/>
    <s v="Surgital"/>
    <s v="|03/02/80|"/>
    <n v="1284"/>
    <n v="0.87"/>
    <n v="1.05"/>
  </r>
  <r>
    <x v="2"/>
    <s v="Supermarkets"/>
    <x v="15"/>
    <s v="Surgital"/>
    <s v="|03/02/81|"/>
    <n v="1464"/>
    <n v="0.79"/>
    <n v="1"/>
  </r>
  <r>
    <x v="2"/>
    <s v="Supermarkets"/>
    <x v="15"/>
    <s v="Surgital"/>
    <s v="|03/02/82|"/>
    <n v="1308"/>
    <n v="0.87"/>
    <n v="0.93"/>
  </r>
  <r>
    <x v="2"/>
    <s v="Convenience stores"/>
    <x v="10"/>
    <s v="Aqua"/>
    <s v="|38/01/01|"/>
    <n v="492"/>
    <n v="3.03"/>
    <n v="6.54"/>
  </r>
  <r>
    <x v="2"/>
    <s v="Convenience stores"/>
    <x v="10"/>
    <s v="Aqua"/>
    <s v="|38/01/02|"/>
    <n v="468"/>
    <n v="3.26"/>
    <n v="5.94"/>
  </r>
  <r>
    <x v="2"/>
    <s v="Convenience stores"/>
    <x v="10"/>
    <s v="Aqua"/>
    <s v="|38/01/03|"/>
    <n v="516"/>
    <n v="3.03"/>
    <n v="6.49"/>
  </r>
  <r>
    <x v="2"/>
    <s v="Convenience stores"/>
    <x v="10"/>
    <s v="Aqua"/>
    <s v="|38/01/04|"/>
    <n v="516"/>
    <n v="3.3"/>
    <n v="6.81"/>
  </r>
  <r>
    <x v="2"/>
    <s v="Convenience stores"/>
    <x v="10"/>
    <s v="Aqua"/>
    <s v="|38/01/05|"/>
    <n v="384"/>
    <n v="3.84"/>
    <n v="5.12"/>
  </r>
  <r>
    <x v="2"/>
    <s v="Convenience stores"/>
    <x v="10"/>
    <s v="Aqua"/>
    <s v="|38/01/06|"/>
    <n v="384"/>
    <n v="4.13"/>
    <n v="6.62"/>
  </r>
  <r>
    <x v="2"/>
    <s v="Convenience stores"/>
    <x v="10"/>
    <s v="Aqua"/>
    <s v="|38/01/07|"/>
    <n v="492"/>
    <n v="3.52"/>
    <n v="5.46"/>
  </r>
  <r>
    <x v="2"/>
    <s v="Convenience stores"/>
    <x v="10"/>
    <s v="Aqua"/>
    <s v="|38/01/08|"/>
    <n v="468"/>
    <n v="3.8"/>
    <n v="5.66"/>
  </r>
  <r>
    <x v="2"/>
    <s v="Convenience stores"/>
    <x v="10"/>
    <s v="Aqua"/>
    <s v="|38/01/09|"/>
    <n v="384"/>
    <n v="4.0599999999999996"/>
    <n v="6.28"/>
  </r>
  <r>
    <x v="2"/>
    <s v="Convenience stores"/>
    <x v="7"/>
    <s v="Cibo italiano"/>
    <s v="|59/01/01|"/>
    <n v="936"/>
    <n v="2.16"/>
    <n v="3.57"/>
  </r>
  <r>
    <x v="2"/>
    <s v="Convenience stores"/>
    <x v="7"/>
    <s v="Cibo italiano"/>
    <s v="|59/01/02|"/>
    <n v="1020"/>
    <n v="2.88"/>
    <n v="3.26"/>
  </r>
  <r>
    <x v="2"/>
    <s v="Convenience stores"/>
    <x v="7"/>
    <s v="Cibo italiano"/>
    <s v="|59/01/03|"/>
    <n v="780"/>
    <n v="2.41"/>
    <n v="3.56"/>
  </r>
  <r>
    <x v="2"/>
    <s v="Convenience stores"/>
    <x v="7"/>
    <s v="Cibo italiano"/>
    <s v="|59/01/04|"/>
    <n v="756"/>
    <n v="2.91"/>
    <n v="3.99"/>
  </r>
  <r>
    <x v="2"/>
    <s v="Convenience stores"/>
    <x v="7"/>
    <s v="Cibo italiano"/>
    <s v="|59/01/05|"/>
    <n v="660"/>
    <n v="2.78"/>
    <n v="3.79"/>
  </r>
  <r>
    <x v="2"/>
    <s v="Convenience stores"/>
    <x v="7"/>
    <s v="Cibo italiano"/>
    <s v="|59/01/06|"/>
    <n v="948"/>
    <n v="2.48"/>
    <n v="3.63"/>
  </r>
  <r>
    <x v="2"/>
    <s v="Convenience stores"/>
    <x v="7"/>
    <s v="Cibo italiano"/>
    <s v="|59/01/07|"/>
    <n v="744"/>
    <n v="2.2999999999999998"/>
    <n v="3.76"/>
  </r>
  <r>
    <x v="2"/>
    <s v="Convenience stores"/>
    <x v="7"/>
    <s v="Cibo italiano"/>
    <s v="|59/01/08|"/>
    <n v="1200"/>
    <n v="2.87"/>
    <n v="3.5"/>
  </r>
  <r>
    <x v="2"/>
    <s v="Convenience stores"/>
    <x v="7"/>
    <s v="Cibo italiano"/>
    <s v="|59/01/09|"/>
    <n v="1200"/>
    <n v="2.06"/>
    <n v="3.76"/>
  </r>
  <r>
    <x v="2"/>
    <s v="Convenience stores"/>
    <x v="7"/>
    <s v="Cibo italiano"/>
    <s v="|59/01/10|"/>
    <n v="900"/>
    <n v="2.81"/>
    <n v="3.33"/>
  </r>
  <r>
    <x v="2"/>
    <s v="Convenience stores"/>
    <x v="7"/>
    <s v="Cibo italiano"/>
    <s v="|59/01/11|"/>
    <n v="876"/>
    <n v="2.11"/>
    <n v="3.89"/>
  </r>
  <r>
    <x v="2"/>
    <s v="Convenience stores"/>
    <x v="7"/>
    <s v="Cibo italiano"/>
    <s v="|59/01/12|"/>
    <n v="612"/>
    <n v="2.63"/>
    <n v="3.79"/>
  </r>
  <r>
    <x v="2"/>
    <s v="Convenience stores"/>
    <x v="7"/>
    <s v="Cibo italiano"/>
    <s v="|59/01/13|"/>
    <n v="852"/>
    <n v="2.66"/>
    <n v="3.68"/>
  </r>
  <r>
    <x v="2"/>
    <s v="Convenience stores"/>
    <x v="7"/>
    <s v="Cibo italiano"/>
    <s v="|59/01/14|"/>
    <n v="1092"/>
    <n v="2.5099999999999998"/>
    <n v="3.55"/>
  </r>
  <r>
    <x v="2"/>
    <s v="Convenience stores"/>
    <x v="7"/>
    <s v="Cibo italiano"/>
    <s v="|59/01/15|"/>
    <n v="1200"/>
    <n v="2.56"/>
    <n v="3.93"/>
  </r>
  <r>
    <x v="2"/>
    <s v="Convenience stores"/>
    <x v="7"/>
    <s v="Cibo italiano"/>
    <s v="|59/01/16|"/>
    <n v="792"/>
    <n v="2.85"/>
    <n v="3.54"/>
  </r>
  <r>
    <x v="2"/>
    <s v="Convenience stores"/>
    <x v="7"/>
    <s v="Cibo italiano"/>
    <s v="|59/01/17|"/>
    <n v="672"/>
    <n v="2.76"/>
    <n v="3.83"/>
  </r>
  <r>
    <x v="2"/>
    <s v="Convenience stores"/>
    <x v="7"/>
    <s v="Cibo italiano"/>
    <s v="|59/01/18|"/>
    <n v="744"/>
    <n v="2.69"/>
    <n v="3.86"/>
  </r>
  <r>
    <x v="2"/>
    <s v="Convenience stores"/>
    <x v="7"/>
    <s v="Cibo italiano"/>
    <s v="|59/01/19|"/>
    <n v="1104"/>
    <n v="3"/>
    <n v="3.21"/>
  </r>
  <r>
    <x v="2"/>
    <s v="Convenience stores"/>
    <x v="7"/>
    <s v="Cibo italiano"/>
    <s v="|59/01/20|"/>
    <n v="828"/>
    <n v="2"/>
    <n v="3.73"/>
  </r>
  <r>
    <x v="2"/>
    <s v="Convenience stores"/>
    <x v="7"/>
    <s v="Cibo italiano"/>
    <s v="|59/01/21|"/>
    <n v="768"/>
    <n v="2.25"/>
    <n v="3.24"/>
  </r>
  <r>
    <x v="2"/>
    <s v="Convenience stores"/>
    <x v="7"/>
    <s v="Cibo italiano"/>
    <s v="|59/01/22|"/>
    <n v="1020"/>
    <n v="2.12"/>
    <n v="3.94"/>
  </r>
  <r>
    <x v="2"/>
    <s v="Convenience stores"/>
    <x v="7"/>
    <s v="Cibo italiano"/>
    <s v="|59/01/23|"/>
    <n v="1080"/>
    <n v="2.5"/>
    <n v="3.85"/>
  </r>
  <r>
    <x v="2"/>
    <s v="Convenience stores"/>
    <x v="7"/>
    <s v="Cibo italiano"/>
    <s v="|59/01/24|"/>
    <n v="1020"/>
    <n v="2.4700000000000002"/>
    <n v="3.73"/>
  </r>
  <r>
    <x v="2"/>
    <s v="Convenience stores"/>
    <x v="7"/>
    <s v="Cibo italiano"/>
    <s v="|59/01/25|"/>
    <n v="996"/>
    <n v="2.02"/>
    <n v="3.56"/>
  </r>
  <r>
    <x v="2"/>
    <s v="Convenience stores"/>
    <x v="7"/>
    <s v="Cibo italiano"/>
    <s v="|59/01/26|"/>
    <n v="684"/>
    <n v="2.98"/>
    <n v="3.99"/>
  </r>
  <r>
    <x v="2"/>
    <s v="Convenience stores"/>
    <x v="7"/>
    <s v="Cibo italiano"/>
    <s v="|59/01/27|"/>
    <n v="1200"/>
    <n v="2.77"/>
    <n v="3.86"/>
  </r>
  <r>
    <x v="2"/>
    <s v="Convenience stores"/>
    <x v="7"/>
    <s v="Cibo italiano"/>
    <s v="|59/01/28|"/>
    <n v="780"/>
    <n v="2.67"/>
    <n v="3.43"/>
  </r>
  <r>
    <x v="2"/>
    <s v="Convenience stores"/>
    <x v="7"/>
    <s v="Cibo italiano"/>
    <s v="|59/01/29|"/>
    <n v="1116"/>
    <n v="2.44"/>
    <n v="3.63"/>
  </r>
  <r>
    <x v="2"/>
    <s v="Convenience stores"/>
    <x v="7"/>
    <s v="Cibo italiano"/>
    <s v="|59/01/30|"/>
    <n v="768"/>
    <n v="2.0099999999999998"/>
    <n v="3.91"/>
  </r>
  <r>
    <x v="2"/>
    <s v="Convenience stores"/>
    <x v="7"/>
    <s v="Cibo italiano"/>
    <s v="|59/01/31|"/>
    <n v="876"/>
    <n v="2.83"/>
    <n v="3.71"/>
  </r>
  <r>
    <x v="2"/>
    <s v="Convenience stores"/>
    <x v="7"/>
    <s v="Cibo italiano"/>
    <s v="|59/01/32|"/>
    <n v="1032"/>
    <n v="2.39"/>
    <n v="3.46"/>
  </r>
  <r>
    <x v="2"/>
    <s v="Convenience stores"/>
    <x v="7"/>
    <s v="Cibo italiano"/>
    <s v="|59/01/33|"/>
    <n v="984"/>
    <n v="2.97"/>
    <n v="3.95"/>
  </r>
  <r>
    <x v="2"/>
    <s v="Convenience stores"/>
    <x v="7"/>
    <s v="Cibo italiano"/>
    <s v="|59/01/34|"/>
    <n v="756"/>
    <n v="2.19"/>
    <n v="3.88"/>
  </r>
  <r>
    <x v="2"/>
    <s v="Convenience stores"/>
    <x v="7"/>
    <s v="Cibo italiano"/>
    <s v="|59/01/35|"/>
    <n v="900"/>
    <n v="2.12"/>
    <n v="3.51"/>
  </r>
  <r>
    <x v="2"/>
    <s v="Convenience stores"/>
    <x v="7"/>
    <s v="Cibo italiano"/>
    <s v="|59/01/36|"/>
    <n v="1020"/>
    <n v="2.0099999999999998"/>
    <n v="3.96"/>
  </r>
  <r>
    <x v="2"/>
    <s v="Convenience stores"/>
    <x v="7"/>
    <s v="Cibo italiano"/>
    <s v="|59/01/37|"/>
    <n v="1152"/>
    <n v="2.87"/>
    <n v="3.32"/>
  </r>
  <r>
    <x v="2"/>
    <s v="Convenience stores"/>
    <x v="7"/>
    <s v="Cibo italiano"/>
    <s v="|59/01/38|"/>
    <n v="1056"/>
    <n v="2.48"/>
    <n v="3.27"/>
  </r>
  <r>
    <x v="2"/>
    <s v="Convenience stores"/>
    <x v="7"/>
    <s v="Cibo italiano"/>
    <s v="|59/01/39|"/>
    <n v="672"/>
    <n v="2.5"/>
    <n v="3.3"/>
  </r>
  <r>
    <x v="2"/>
    <s v="Convenience stores"/>
    <x v="7"/>
    <s v="Cibo italiano"/>
    <s v="|59/01/40|"/>
    <n v="1080"/>
    <n v="2.5499999999999998"/>
    <n v="3.33"/>
  </r>
  <r>
    <x v="2"/>
    <s v="Convenience stores"/>
    <x v="7"/>
    <s v="Cibo italiano"/>
    <s v="|59/01/41|"/>
    <n v="912"/>
    <n v="2.75"/>
    <n v="3.69"/>
  </r>
  <r>
    <x v="2"/>
    <s v="Convenience stores"/>
    <x v="7"/>
    <s v="Cibo italiano"/>
    <s v="|59/01/42|"/>
    <n v="708"/>
    <n v="2.0099999999999998"/>
    <n v="3.48"/>
  </r>
  <r>
    <x v="2"/>
    <s v="Convenience stores"/>
    <x v="7"/>
    <s v="Cibo italiano"/>
    <s v="|59/01/43|"/>
    <n v="768"/>
    <n v="2.93"/>
    <n v="3.67"/>
  </r>
  <r>
    <x v="2"/>
    <s v="Convenience stores"/>
    <x v="7"/>
    <s v="Cibo italiano"/>
    <s v="|59/01/44|"/>
    <n v="696"/>
    <n v="2.0499999999999998"/>
    <n v="3.99"/>
  </r>
  <r>
    <x v="2"/>
    <s v="Convenience stores"/>
    <x v="7"/>
    <s v="Cibo italiano"/>
    <s v="|59/01/45|"/>
    <n v="1104"/>
    <n v="2.31"/>
    <n v="3.51"/>
  </r>
  <r>
    <x v="2"/>
    <s v="Convenience stores"/>
    <x v="7"/>
    <s v="Cibo italiano"/>
    <s v="|59/01/46|"/>
    <n v="660"/>
    <n v="2.17"/>
    <n v="3.96"/>
  </r>
  <r>
    <x v="2"/>
    <s v="Convenience stores"/>
    <x v="7"/>
    <s v="Cibo italiano"/>
    <s v="|59/01/47|"/>
    <n v="912"/>
    <n v="2.73"/>
    <n v="4"/>
  </r>
  <r>
    <x v="2"/>
    <s v="Convenience stores"/>
    <x v="7"/>
    <s v="Cibo italiano"/>
    <s v="|59/01/48|"/>
    <n v="720"/>
    <n v="2.4300000000000002"/>
    <n v="3.29"/>
  </r>
  <r>
    <x v="2"/>
    <s v="Convenience stores"/>
    <x v="7"/>
    <s v="Cibo italiano"/>
    <s v="|59/01/49|"/>
    <n v="840"/>
    <n v="2.83"/>
    <n v="3.71"/>
  </r>
  <r>
    <x v="2"/>
    <s v="Convenience stores"/>
    <x v="7"/>
    <s v="Cibo italiano"/>
    <s v="|59/01/50|"/>
    <n v="828"/>
    <n v="2.57"/>
    <n v="3.51"/>
  </r>
  <r>
    <x v="2"/>
    <s v="Convenience stores"/>
    <x v="7"/>
    <s v="Cibo italiano"/>
    <s v="|59/01/51|"/>
    <n v="600"/>
    <n v="2.75"/>
    <n v="3.66"/>
  </r>
  <r>
    <x v="2"/>
    <s v="Convenience stores"/>
    <x v="7"/>
    <s v="Cibo italiano"/>
    <s v="|59/01/52|"/>
    <n v="792"/>
    <n v="2.27"/>
    <n v="3.89"/>
  </r>
  <r>
    <x v="2"/>
    <s v="Convenience stores"/>
    <x v="7"/>
    <s v="Cibo italiano"/>
    <s v="|59/01/53|"/>
    <n v="816"/>
    <n v="2.19"/>
    <n v="3.99"/>
  </r>
  <r>
    <x v="2"/>
    <s v="Convenience stores"/>
    <x v="7"/>
    <s v="Cibo italiano"/>
    <s v="|59/01/54|"/>
    <n v="948"/>
    <n v="2.4900000000000002"/>
    <n v="3.55"/>
  </r>
  <r>
    <x v="2"/>
    <s v="Convenience stores"/>
    <x v="7"/>
    <s v="Cibo italiano"/>
    <s v="|59/01/55|"/>
    <n v="636"/>
    <n v="2.87"/>
    <n v="3.77"/>
  </r>
  <r>
    <x v="2"/>
    <s v="Convenience stores"/>
    <x v="7"/>
    <s v="Cibo italiano"/>
    <s v="|59/01/56|"/>
    <n v="864"/>
    <n v="2.31"/>
    <n v="3.58"/>
  </r>
  <r>
    <x v="2"/>
    <s v="Convenience stores"/>
    <x v="7"/>
    <s v="Cibo italiano"/>
    <s v="|59/01/57|"/>
    <n v="636"/>
    <n v="2.2000000000000002"/>
    <n v="3.5"/>
  </r>
  <r>
    <x v="2"/>
    <s v="Convenience stores"/>
    <x v="7"/>
    <s v="Cibo italiano"/>
    <s v="|59/01/58|"/>
    <n v="1128"/>
    <n v="2.54"/>
    <n v="3.31"/>
  </r>
  <r>
    <x v="2"/>
    <s v="Convenience stores"/>
    <x v="7"/>
    <s v="Cibo italiano"/>
    <s v="|59/01/59|"/>
    <n v="720"/>
    <n v="2.6"/>
    <n v="3.89"/>
  </r>
  <r>
    <x v="2"/>
    <s v="Convenience stores"/>
    <x v="7"/>
    <s v="Cibo italiano"/>
    <s v="|59/01/60|"/>
    <n v="672"/>
    <n v="3"/>
    <n v="3.98"/>
  </r>
  <r>
    <x v="2"/>
    <s v="Convenience stores"/>
    <x v="7"/>
    <s v="Cibo italiano"/>
    <s v="|59/01/61|"/>
    <n v="1092"/>
    <n v="2.59"/>
    <n v="3.63"/>
  </r>
  <r>
    <x v="2"/>
    <s v="Convenience stores"/>
    <x v="7"/>
    <s v="Cibo italiano"/>
    <s v="|59/01/62|"/>
    <n v="744"/>
    <n v="2.91"/>
    <n v="3.88"/>
  </r>
  <r>
    <x v="2"/>
    <s v="Convenience stores"/>
    <x v="7"/>
    <s v="Cibo italiano"/>
    <s v="|59/01/63|"/>
    <n v="996"/>
    <n v="2.36"/>
    <n v="3.7"/>
  </r>
  <r>
    <x v="2"/>
    <s v="Convenience stores"/>
    <x v="7"/>
    <s v="Cibo italiano"/>
    <s v="|59/01/64|"/>
    <n v="948"/>
    <n v="2.58"/>
    <n v="3.74"/>
  </r>
  <r>
    <x v="2"/>
    <s v="Convenience stores"/>
    <x v="7"/>
    <s v="Cibo italiano"/>
    <s v="|59/01/65|"/>
    <n v="828"/>
    <n v="2.79"/>
    <n v="3.87"/>
  </r>
  <r>
    <x v="2"/>
    <s v="Convenience stores"/>
    <x v="7"/>
    <s v="Cibo italiano"/>
    <s v="|59/01/66|"/>
    <n v="852"/>
    <n v="2.33"/>
    <n v="3.77"/>
  </r>
  <r>
    <x v="2"/>
    <s v="Convenience stores"/>
    <x v="7"/>
    <s v="Cibo italiano"/>
    <s v="|59/01/67|"/>
    <n v="948"/>
    <n v="2.5499999999999998"/>
    <n v="3.76"/>
  </r>
  <r>
    <x v="2"/>
    <s v="Convenience stores"/>
    <x v="7"/>
    <s v="Cibo italiano"/>
    <s v="|59/01/68|"/>
    <n v="1152"/>
    <n v="2.68"/>
    <n v="3.52"/>
  </r>
  <r>
    <x v="2"/>
    <s v="Convenience stores"/>
    <x v="7"/>
    <s v="Cibo italiano"/>
    <s v="|59/01/69|"/>
    <n v="672"/>
    <n v="2.3199999999999998"/>
    <n v="3.3"/>
  </r>
  <r>
    <x v="2"/>
    <s v="Convenience stores"/>
    <x v="7"/>
    <s v="Cibo italiano"/>
    <s v="|59/02/01|"/>
    <n v="600"/>
    <n v="2.71"/>
    <n v="3.47"/>
  </r>
  <r>
    <x v="2"/>
    <s v="Convenience stores"/>
    <x v="7"/>
    <s v="Cibo italiano"/>
    <s v="|59/02/02|"/>
    <n v="900"/>
    <n v="2.0699999999999998"/>
    <n v="3.83"/>
  </r>
  <r>
    <x v="2"/>
    <s v="Convenience stores"/>
    <x v="7"/>
    <s v="Cibo italiano"/>
    <s v="|59/02/03|"/>
    <n v="876"/>
    <n v="2.64"/>
    <n v="3.55"/>
  </r>
  <r>
    <x v="2"/>
    <s v="Convenience stores"/>
    <x v="7"/>
    <s v="Cibo italiano"/>
    <s v="|59/02/04|"/>
    <n v="840"/>
    <n v="2.2999999999999998"/>
    <n v="3.89"/>
  </r>
  <r>
    <x v="2"/>
    <s v="Convenience stores"/>
    <x v="7"/>
    <s v="Cibo italiano"/>
    <s v="|59/02/05|"/>
    <n v="780"/>
    <n v="2.68"/>
    <n v="3.99"/>
  </r>
  <r>
    <x v="2"/>
    <s v="Convenience stores"/>
    <x v="7"/>
    <s v="Cibo italiano"/>
    <s v="|59/02/06|"/>
    <n v="1200"/>
    <n v="2.5299999999999998"/>
    <n v="3.75"/>
  </r>
  <r>
    <x v="2"/>
    <s v="Convenience stores"/>
    <x v="7"/>
    <s v="Cibo italiano"/>
    <s v="|59/02/07|"/>
    <n v="984"/>
    <n v="2.39"/>
    <n v="3.37"/>
  </r>
  <r>
    <x v="2"/>
    <s v="Convenience stores"/>
    <x v="7"/>
    <s v="Cibo italiano"/>
    <s v="|59/02/08|"/>
    <n v="684"/>
    <n v="2.82"/>
    <n v="3.66"/>
  </r>
  <r>
    <x v="2"/>
    <s v="Convenience stores"/>
    <x v="7"/>
    <s v="Cibo italiano"/>
    <s v="|59/02/09|"/>
    <n v="720"/>
    <n v="2.41"/>
    <n v="3.42"/>
  </r>
  <r>
    <x v="2"/>
    <s v="Convenience stores"/>
    <x v="7"/>
    <s v="Cibo italiano"/>
    <s v="|59/02/10|"/>
    <n v="984"/>
    <n v="2.0699999999999998"/>
    <n v="3.29"/>
  </r>
  <r>
    <x v="2"/>
    <s v="Convenience stores"/>
    <x v="7"/>
    <s v="Cibo italiano"/>
    <s v="|59/02/11|"/>
    <n v="1116"/>
    <n v="2.4300000000000002"/>
    <n v="3.65"/>
  </r>
  <r>
    <x v="2"/>
    <s v="Convenience stores"/>
    <x v="7"/>
    <s v="Cibo italiano"/>
    <s v="|59/02/12|"/>
    <n v="864"/>
    <n v="2.48"/>
    <n v="3.2"/>
  </r>
  <r>
    <x v="2"/>
    <s v="Convenience stores"/>
    <x v="7"/>
    <s v="Cibo italiano"/>
    <s v="|59/02/13|"/>
    <n v="660"/>
    <n v="2.35"/>
    <n v="3.85"/>
  </r>
  <r>
    <x v="2"/>
    <s v="Convenience stores"/>
    <x v="7"/>
    <s v="Cibo italiano"/>
    <s v="|59/02/14|"/>
    <n v="1116"/>
    <n v="2.42"/>
    <n v="3.57"/>
  </r>
  <r>
    <x v="2"/>
    <s v="Convenience stores"/>
    <x v="7"/>
    <s v="Cibo italiano"/>
    <s v="|59/02/15|"/>
    <n v="984"/>
    <n v="2.54"/>
    <n v="3.45"/>
  </r>
  <r>
    <x v="2"/>
    <s v="Convenience stores"/>
    <x v="7"/>
    <s v="Cibo italiano"/>
    <s v="|59/02/16|"/>
    <n v="1188"/>
    <n v="2.19"/>
    <n v="3.89"/>
  </r>
  <r>
    <x v="2"/>
    <s v="Convenience stores"/>
    <x v="7"/>
    <s v="Cibo italiano"/>
    <s v="|59/02/17|"/>
    <n v="720"/>
    <n v="2.64"/>
    <n v="3.24"/>
  </r>
  <r>
    <x v="2"/>
    <s v="Convenience stores"/>
    <x v="7"/>
    <s v="Cibo italiano"/>
    <s v="|59/02/18|"/>
    <n v="720"/>
    <n v="2.1800000000000002"/>
    <n v="3.24"/>
  </r>
  <r>
    <x v="2"/>
    <s v="Convenience stores"/>
    <x v="7"/>
    <s v="Cibo italiano"/>
    <s v="|59/02/19|"/>
    <n v="1152"/>
    <n v="2.96"/>
    <n v="3.36"/>
  </r>
  <r>
    <x v="2"/>
    <s v="Convenience stores"/>
    <x v="7"/>
    <s v="Cibo italiano"/>
    <s v="|59/02/20|"/>
    <n v="1164"/>
    <n v="2.06"/>
    <n v="3.73"/>
  </r>
  <r>
    <x v="2"/>
    <s v="Convenience stores"/>
    <x v="7"/>
    <s v="Cibo italiano"/>
    <s v="|59/02/21|"/>
    <n v="696"/>
    <n v="2.39"/>
    <n v="3.6"/>
  </r>
  <r>
    <x v="2"/>
    <s v="Convenience stores"/>
    <x v="7"/>
    <s v="Cibo italiano"/>
    <s v="|59/02/22|"/>
    <n v="864"/>
    <n v="2.31"/>
    <n v="3.98"/>
  </r>
  <r>
    <x v="2"/>
    <s v="Convenience stores"/>
    <x v="7"/>
    <s v="Cibo italiano"/>
    <s v="|59/02/23|"/>
    <n v="1020"/>
    <n v="2.93"/>
    <n v="3.21"/>
  </r>
  <r>
    <x v="2"/>
    <s v="Convenience stores"/>
    <x v="7"/>
    <s v="Cibo italiano"/>
    <s v="|59/02/24|"/>
    <n v="636"/>
    <n v="2.09"/>
    <n v="3.81"/>
  </r>
  <r>
    <x v="2"/>
    <s v="Convenience stores"/>
    <x v="7"/>
    <s v="Cibo italiano"/>
    <s v="|59/02/25|"/>
    <n v="852"/>
    <n v="2.42"/>
    <n v="3.29"/>
  </r>
  <r>
    <x v="2"/>
    <s v="Convenience stores"/>
    <x v="7"/>
    <s v="Cibo italiano"/>
    <s v="|59/02/26|"/>
    <n v="600"/>
    <n v="2.7"/>
    <n v="4"/>
  </r>
  <r>
    <x v="2"/>
    <s v="Convenience stores"/>
    <x v="7"/>
    <s v="Cibo italiano"/>
    <s v="|59/02/27|"/>
    <n v="708"/>
    <n v="2.64"/>
    <n v="3.31"/>
  </r>
  <r>
    <x v="2"/>
    <s v="Convenience stores"/>
    <x v="7"/>
    <s v="Cibo italiano"/>
    <s v="|59/02/28|"/>
    <n v="792"/>
    <n v="2.64"/>
    <n v="3.6"/>
  </r>
  <r>
    <x v="2"/>
    <s v="Convenience stores"/>
    <x v="7"/>
    <s v="Cibo italiano"/>
    <s v="|59/02/29|"/>
    <n v="648"/>
    <n v="2.2000000000000002"/>
    <n v="3.29"/>
  </r>
  <r>
    <x v="2"/>
    <s v="Convenience stores"/>
    <x v="7"/>
    <s v="Cibo italiano"/>
    <s v="|59/02/30|"/>
    <n v="768"/>
    <n v="2.04"/>
    <n v="3.91"/>
  </r>
  <r>
    <x v="2"/>
    <s v="Convenience stores"/>
    <x v="7"/>
    <s v="Cibo italiano"/>
    <s v="|59/03/01|"/>
    <n v="624"/>
    <n v="2.46"/>
    <n v="3.59"/>
  </r>
  <r>
    <x v="2"/>
    <s v="Convenience stores"/>
    <x v="7"/>
    <s v="Cibo italiano"/>
    <s v="|59/03/02|"/>
    <n v="864"/>
    <n v="2.98"/>
    <n v="3.58"/>
  </r>
  <r>
    <x v="2"/>
    <s v="Convenience stores"/>
    <x v="7"/>
    <s v="Cibo italiano"/>
    <s v="|59/03/03|"/>
    <n v="804"/>
    <n v="2.82"/>
    <n v="3.5"/>
  </r>
  <r>
    <x v="2"/>
    <s v="Convenience stores"/>
    <x v="7"/>
    <s v="Cibo italiano"/>
    <s v="|59/03/04|"/>
    <n v="684"/>
    <n v="2.2599999999999998"/>
    <n v="3.27"/>
  </r>
  <r>
    <x v="2"/>
    <s v="Convenience stores"/>
    <x v="7"/>
    <s v="Cibo italiano"/>
    <s v="|59/03/05|"/>
    <n v="1116"/>
    <n v="2.81"/>
    <n v="3.59"/>
  </r>
  <r>
    <x v="2"/>
    <s v="Convenience stores"/>
    <x v="7"/>
    <s v="Cibo italiano"/>
    <s v="|59/03/06|"/>
    <n v="708"/>
    <n v="2.5"/>
    <n v="3.95"/>
  </r>
  <r>
    <x v="2"/>
    <s v="Convenience stores"/>
    <x v="7"/>
    <s v="Cibo italiano"/>
    <s v="|59/03/07|"/>
    <n v="1200"/>
    <n v="2.64"/>
    <n v="4"/>
  </r>
  <r>
    <x v="2"/>
    <s v="Convenience stores"/>
    <x v="7"/>
    <s v="Cibo italiano"/>
    <s v="|59/03/08|"/>
    <n v="852"/>
    <n v="2.56"/>
    <n v="3.2"/>
  </r>
  <r>
    <x v="2"/>
    <s v="Convenience stores"/>
    <x v="5"/>
    <s v="Haribo"/>
    <s v="|121/01/01|"/>
    <n v="648"/>
    <n v="1.48"/>
    <n v="1.79"/>
  </r>
  <r>
    <x v="2"/>
    <s v="Convenience stores"/>
    <x v="5"/>
    <s v="Haribo"/>
    <s v="|121/01/02|"/>
    <n v="924"/>
    <n v="1.24"/>
    <n v="1.83"/>
  </r>
  <r>
    <x v="2"/>
    <s v="Convenience stores"/>
    <x v="5"/>
    <s v="Haribo"/>
    <s v="|121/01/03|"/>
    <n v="972"/>
    <n v="1.42"/>
    <n v="1.76"/>
  </r>
  <r>
    <x v="2"/>
    <s v="Convenience stores"/>
    <x v="5"/>
    <s v="Haribo"/>
    <s v="|121/01/04|"/>
    <n v="756"/>
    <n v="1.34"/>
    <n v="1.9"/>
  </r>
  <r>
    <x v="2"/>
    <s v="Convenience stores"/>
    <x v="5"/>
    <s v="Haribo"/>
    <s v="|121/01/05|"/>
    <n v="1140"/>
    <n v="1.3"/>
    <n v="1.83"/>
  </r>
  <r>
    <x v="2"/>
    <s v="Convenience stores"/>
    <x v="5"/>
    <s v="Haribo"/>
    <s v="|121/01/06|"/>
    <n v="864"/>
    <n v="1.1299999999999999"/>
    <n v="1.67"/>
  </r>
  <r>
    <x v="2"/>
    <s v="Convenience stores"/>
    <x v="5"/>
    <s v="Haribo"/>
    <s v="|121/01/07|"/>
    <n v="1308"/>
    <n v="1.41"/>
    <n v="1.81"/>
  </r>
  <r>
    <x v="2"/>
    <s v="Convenience stores"/>
    <x v="5"/>
    <s v="Haribo"/>
    <s v="|121/01/08|"/>
    <n v="996"/>
    <n v="1.24"/>
    <n v="1.84"/>
  </r>
  <r>
    <x v="2"/>
    <s v="Convenience stores"/>
    <x v="5"/>
    <s v="Haribo"/>
    <s v="|121/01/09|"/>
    <n v="1020"/>
    <n v="1.49"/>
    <n v="1.79"/>
  </r>
  <r>
    <x v="2"/>
    <s v="Convenience stores"/>
    <x v="5"/>
    <s v="Haribo"/>
    <s v="|121/01/10|"/>
    <n v="996"/>
    <n v="1.46"/>
    <n v="1.61"/>
  </r>
  <r>
    <x v="2"/>
    <s v="Convenience stores"/>
    <x v="5"/>
    <s v="Haribo"/>
    <s v="|121/01/11|"/>
    <n v="804"/>
    <n v="1.1000000000000001"/>
    <n v="1.61"/>
  </r>
  <r>
    <x v="2"/>
    <s v="Convenience stores"/>
    <x v="5"/>
    <s v="Lindt"/>
    <s v="|74/01/01|"/>
    <n v="744"/>
    <n v="1.35"/>
    <n v="1.72"/>
  </r>
  <r>
    <x v="2"/>
    <s v="Convenience stores"/>
    <x v="5"/>
    <s v="Lindt"/>
    <s v="|74/01/02|"/>
    <n v="1248"/>
    <n v="1.1399999999999999"/>
    <n v="1.73"/>
  </r>
  <r>
    <x v="2"/>
    <s v="Convenience stores"/>
    <x v="5"/>
    <s v="Lindt"/>
    <s v="|74/01/03|"/>
    <n v="1092"/>
    <n v="1.42"/>
    <n v="1.62"/>
  </r>
  <r>
    <x v="2"/>
    <s v="Convenience stores"/>
    <x v="5"/>
    <s v="Lindt"/>
    <s v="|74/01/04|"/>
    <n v="1236"/>
    <n v="1.27"/>
    <n v="1.63"/>
  </r>
  <r>
    <x v="2"/>
    <s v="Convenience stores"/>
    <x v="5"/>
    <s v="Lindt"/>
    <s v="|74/01/05|"/>
    <n v="804"/>
    <n v="1.47"/>
    <n v="1.84"/>
  </r>
  <r>
    <x v="2"/>
    <s v="Convenience stores"/>
    <x v="5"/>
    <s v="Lindt"/>
    <s v="|74/01/06|"/>
    <n v="816"/>
    <n v="1.1100000000000001"/>
    <n v="1.9"/>
  </r>
  <r>
    <x v="2"/>
    <s v="Convenience stores"/>
    <x v="5"/>
    <s v="Lindt"/>
    <s v="|74/02/01|"/>
    <n v="672"/>
    <n v="1.37"/>
    <n v="1.76"/>
  </r>
  <r>
    <x v="2"/>
    <s v="Convenience stores"/>
    <x v="5"/>
    <s v="Lindt"/>
    <s v="|74/02/02|"/>
    <n v="1296"/>
    <n v="1.25"/>
    <n v="1.63"/>
  </r>
  <r>
    <x v="2"/>
    <s v="Convenience stores"/>
    <x v="5"/>
    <s v="Lindt"/>
    <s v="|74/02/03|"/>
    <n v="708"/>
    <n v="1.2"/>
    <n v="1.62"/>
  </r>
  <r>
    <x v="2"/>
    <s v="Convenience stores"/>
    <x v="5"/>
    <s v="Lindt"/>
    <s v="|74/02/04|"/>
    <n v="984"/>
    <n v="1.31"/>
    <n v="1.73"/>
  </r>
  <r>
    <x v="2"/>
    <s v="Convenience stores"/>
    <x v="5"/>
    <s v="Lindt"/>
    <s v="|74/02/05|"/>
    <n v="1092"/>
    <n v="1.47"/>
    <n v="1.81"/>
  </r>
  <r>
    <x v="2"/>
    <s v="Convenience stores"/>
    <x v="5"/>
    <s v="Lindt"/>
    <s v="|74/02/06|"/>
    <n v="756"/>
    <n v="1.27"/>
    <n v="1.61"/>
  </r>
  <r>
    <x v="2"/>
    <s v="Convenience stores"/>
    <x v="5"/>
    <s v="Lindt"/>
    <s v="|74/02/07|"/>
    <n v="864"/>
    <n v="1.5"/>
    <n v="1.73"/>
  </r>
  <r>
    <x v="2"/>
    <s v="Convenience stores"/>
    <x v="5"/>
    <s v="Lindt"/>
    <s v="|74/02/08|"/>
    <n v="1200"/>
    <n v="1.19"/>
    <n v="1.73"/>
  </r>
  <r>
    <x v="2"/>
    <s v="Convenience stores"/>
    <x v="5"/>
    <s v="Lindt"/>
    <s v="|74/02/09|"/>
    <n v="900"/>
    <n v="1.43"/>
    <n v="1.68"/>
  </r>
  <r>
    <x v="2"/>
    <s v="Convenience stores"/>
    <x v="5"/>
    <s v="Lindt"/>
    <s v="|74/02/10|"/>
    <n v="888"/>
    <n v="1.2"/>
    <n v="1.68"/>
  </r>
  <r>
    <x v="2"/>
    <s v="Convenience stores"/>
    <x v="5"/>
    <s v="Lindt"/>
    <s v="|74/02/11|"/>
    <n v="1140"/>
    <n v="1.17"/>
    <n v="1.82"/>
  </r>
  <r>
    <x v="2"/>
    <s v="Convenience stores"/>
    <x v="5"/>
    <s v="Lindt"/>
    <s v="|74/02/12|"/>
    <n v="1092"/>
    <n v="1.18"/>
    <n v="1.66"/>
  </r>
  <r>
    <x v="2"/>
    <s v="Convenience stores"/>
    <x v="5"/>
    <s v="Lindt"/>
    <s v="|74/03/01|"/>
    <n v="744"/>
    <n v="1.24"/>
    <n v="1.85"/>
  </r>
  <r>
    <x v="2"/>
    <s v="Convenience stores"/>
    <x v="5"/>
    <s v="Lindt"/>
    <s v="|74/03/02|"/>
    <n v="600"/>
    <n v="1.31"/>
    <n v="1.73"/>
  </r>
  <r>
    <x v="2"/>
    <s v="Convenience stores"/>
    <x v="5"/>
    <s v="Lindt"/>
    <s v="|74/03/03|"/>
    <n v="900"/>
    <n v="1.18"/>
    <n v="1.72"/>
  </r>
  <r>
    <x v="2"/>
    <s v="Convenience stores"/>
    <x v="5"/>
    <s v="Lindt"/>
    <s v="|74/03/04|"/>
    <n v="996"/>
    <n v="1.43"/>
    <n v="1.85"/>
  </r>
  <r>
    <x v="2"/>
    <s v="Convenience stores"/>
    <x v="5"/>
    <s v="Lindt"/>
    <s v="|74/04/01|"/>
    <n v="624"/>
    <n v="1.43"/>
    <n v="1.61"/>
  </r>
  <r>
    <x v="2"/>
    <s v="Convenience stores"/>
    <x v="5"/>
    <s v="Lindt"/>
    <s v="|74/05/01|"/>
    <n v="1128"/>
    <n v="1.1499999999999999"/>
    <n v="1.71"/>
  </r>
  <r>
    <x v="2"/>
    <s v="Convenience stores"/>
    <x v="5"/>
    <s v="Lindt"/>
    <s v="|74/05/02|"/>
    <n v="828"/>
    <n v="1.49"/>
    <n v="1.82"/>
  </r>
  <r>
    <x v="2"/>
    <s v="Convenience stores"/>
    <x v="5"/>
    <s v="Lindt"/>
    <s v="|74/06/00|"/>
    <n v="696"/>
    <n v="1.1499999999999999"/>
    <n v="1.9"/>
  </r>
  <r>
    <x v="2"/>
    <s v="Convenience stores"/>
    <x v="5"/>
    <s v="Lindt"/>
    <s v="|74/06/01|"/>
    <n v="732"/>
    <n v="1.2"/>
    <n v="1.71"/>
  </r>
  <r>
    <x v="2"/>
    <s v="Convenience stores"/>
    <x v="5"/>
    <s v="Lindt"/>
    <s v="|74/06/02|"/>
    <n v="1236"/>
    <n v="1.31"/>
    <n v="1.9"/>
  </r>
  <r>
    <x v="2"/>
    <s v="Convenience stores"/>
    <x v="5"/>
    <s v="Lindt"/>
    <s v="|74/06/03|"/>
    <n v="1260"/>
    <n v="1.1299999999999999"/>
    <n v="1.79"/>
  </r>
  <r>
    <x v="2"/>
    <s v="Convenience stores"/>
    <x v="5"/>
    <s v="Lindt"/>
    <s v="|74/06/04|"/>
    <n v="708"/>
    <n v="1.25"/>
    <n v="1.86"/>
  </r>
  <r>
    <x v="2"/>
    <s v="Convenience stores"/>
    <x v="5"/>
    <s v="Lindt"/>
    <s v="|74/06/05|"/>
    <n v="1176"/>
    <n v="1.41"/>
    <n v="1.85"/>
  </r>
  <r>
    <x v="2"/>
    <s v="Convenience stores"/>
    <x v="5"/>
    <s v="Lindt"/>
    <s v="|74/06/06|"/>
    <n v="1116"/>
    <n v="1.48"/>
    <n v="1.8"/>
  </r>
  <r>
    <x v="2"/>
    <s v="Convenience stores"/>
    <x v="5"/>
    <s v="Lindt"/>
    <s v="|74/06/07|"/>
    <n v="1152"/>
    <n v="1.32"/>
    <n v="1.69"/>
  </r>
  <r>
    <x v="2"/>
    <s v="Convenience stores"/>
    <x v="5"/>
    <s v="Lindt"/>
    <s v="|74/06/08|"/>
    <n v="900"/>
    <n v="1.1100000000000001"/>
    <n v="1.63"/>
  </r>
  <r>
    <x v="2"/>
    <s v="Convenience stores"/>
    <x v="5"/>
    <s v="Lindt"/>
    <s v="|74/06/09|"/>
    <n v="1320"/>
    <n v="1.22"/>
    <n v="1.77"/>
  </r>
  <r>
    <x v="2"/>
    <s v="Convenience stores"/>
    <x v="5"/>
    <s v="Lindt"/>
    <s v="|74/06/10|"/>
    <n v="1008"/>
    <n v="1.42"/>
    <n v="1.8"/>
  </r>
  <r>
    <x v="2"/>
    <s v="Convenience stores"/>
    <x v="5"/>
    <s v="Lindt"/>
    <s v="|74/06/11|"/>
    <n v="696"/>
    <n v="1.39"/>
    <n v="1.77"/>
  </r>
  <r>
    <x v="2"/>
    <s v="Convenience stores"/>
    <x v="5"/>
    <s v="Lindt"/>
    <s v="|74/06/12|"/>
    <n v="1200"/>
    <n v="1.29"/>
    <n v="1.82"/>
  </r>
  <r>
    <x v="2"/>
    <s v="Convenience stores"/>
    <x v="7"/>
    <s v="Maxi Fresh"/>
    <s v="|81/01/01|"/>
    <n v="684"/>
    <n v="2.0499999999999998"/>
    <n v="3.79"/>
  </r>
  <r>
    <x v="2"/>
    <s v="Convenience stores"/>
    <x v="7"/>
    <s v="Maxi Fresh"/>
    <s v="|81/01/02|"/>
    <n v="1116"/>
    <n v="2.16"/>
    <n v="3.93"/>
  </r>
  <r>
    <x v="2"/>
    <s v="Convenience stores"/>
    <x v="7"/>
    <s v="Maxi Fresh"/>
    <s v="|81/01/03|"/>
    <n v="1020"/>
    <n v="2.98"/>
    <n v="3.62"/>
  </r>
  <r>
    <x v="2"/>
    <s v="Convenience stores"/>
    <x v="7"/>
    <s v="Maxi Fresh"/>
    <s v="|81/01/04|"/>
    <n v="708"/>
    <n v="2.13"/>
    <n v="3.76"/>
  </r>
  <r>
    <x v="2"/>
    <s v="Convenience stores"/>
    <x v="7"/>
    <s v="Maxi Fresh"/>
    <s v="|81/01/05|"/>
    <n v="1020"/>
    <n v="2.08"/>
    <n v="3.54"/>
  </r>
  <r>
    <x v="2"/>
    <s v="Convenience stores"/>
    <x v="7"/>
    <s v="Maxi Fresh"/>
    <s v="|81/01/06|"/>
    <n v="720"/>
    <n v="2.87"/>
    <n v="3.2"/>
  </r>
  <r>
    <x v="2"/>
    <s v="Convenience stores"/>
    <x v="7"/>
    <s v="Maxi Fresh"/>
    <s v="|81/01/07|"/>
    <n v="1008"/>
    <n v="2.77"/>
    <n v="3.45"/>
  </r>
  <r>
    <x v="2"/>
    <s v="Convenience stores"/>
    <x v="7"/>
    <s v="Maxi Fresh"/>
    <s v="|81/01/08|"/>
    <n v="660"/>
    <n v="2.04"/>
    <n v="3.74"/>
  </r>
  <r>
    <x v="2"/>
    <s v="Convenience stores"/>
    <x v="7"/>
    <s v="Maxi Fresh"/>
    <s v="|81/01/09|"/>
    <n v="708"/>
    <n v="2.0499999999999998"/>
    <n v="3.83"/>
  </r>
  <r>
    <x v="2"/>
    <s v="Convenience stores"/>
    <x v="7"/>
    <s v="Maxi Fresh"/>
    <s v="|81/01/10|"/>
    <n v="1068"/>
    <n v="2.83"/>
    <n v="3.38"/>
  </r>
  <r>
    <x v="2"/>
    <s v="Convenience stores"/>
    <x v="7"/>
    <s v="Maxi Fresh"/>
    <s v="|81/01/11|"/>
    <n v="1020"/>
    <n v="2.67"/>
    <n v="3.64"/>
  </r>
  <r>
    <x v="2"/>
    <s v="Convenience stores"/>
    <x v="7"/>
    <s v="Maxi Fresh"/>
    <s v="|81/01/12|"/>
    <n v="864"/>
    <n v="2.19"/>
    <n v="3.59"/>
  </r>
  <r>
    <x v="2"/>
    <s v="Convenience stores"/>
    <x v="7"/>
    <s v="Maxi Fresh"/>
    <s v="|81/01/13|"/>
    <n v="1200"/>
    <n v="2.62"/>
    <n v="3.3"/>
  </r>
  <r>
    <x v="2"/>
    <s v="Convenience stores"/>
    <x v="7"/>
    <s v="Maxi Fresh"/>
    <s v="|81/01/14|"/>
    <n v="696"/>
    <n v="2.8"/>
    <n v="3.69"/>
  </r>
  <r>
    <x v="2"/>
    <s v="Convenience stores"/>
    <x v="7"/>
    <s v="Maxi Fresh"/>
    <s v="|81/01/15|"/>
    <n v="888"/>
    <n v="2.2799999999999998"/>
    <n v="3.36"/>
  </r>
  <r>
    <x v="2"/>
    <s v="Convenience stores"/>
    <x v="7"/>
    <s v="Maxi Fresh"/>
    <s v="|81/01/16|"/>
    <n v="720"/>
    <n v="2.96"/>
    <n v="3.61"/>
  </r>
  <r>
    <x v="2"/>
    <s v="Convenience stores"/>
    <x v="7"/>
    <s v="Maxi Fresh"/>
    <s v="|81/01/17|"/>
    <n v="696"/>
    <n v="2.31"/>
    <n v="3.2"/>
  </r>
  <r>
    <x v="2"/>
    <s v="Convenience stores"/>
    <x v="7"/>
    <s v="Maxi Fresh"/>
    <s v="|81/01/18|"/>
    <n v="1200"/>
    <n v="2.06"/>
    <n v="3.65"/>
  </r>
  <r>
    <x v="2"/>
    <s v="Convenience stores"/>
    <x v="7"/>
    <s v="Maxi Fresh"/>
    <s v="|81/01/19|"/>
    <n v="840"/>
    <n v="3"/>
    <n v="3.88"/>
  </r>
  <r>
    <x v="2"/>
    <s v="Convenience stores"/>
    <x v="7"/>
    <s v="Maxi Fresh"/>
    <s v="|81/01/20|"/>
    <n v="912"/>
    <n v="2.42"/>
    <n v="3.29"/>
  </r>
  <r>
    <x v="2"/>
    <s v="Convenience stores"/>
    <x v="7"/>
    <s v="Maxi Fresh"/>
    <s v="|81/01/21|"/>
    <n v="948"/>
    <n v="2.81"/>
    <n v="3.95"/>
  </r>
  <r>
    <x v="2"/>
    <s v="Convenience stores"/>
    <x v="7"/>
    <s v="Maxi Fresh"/>
    <s v="|81/01/22|"/>
    <n v="936"/>
    <n v="2.5099999999999998"/>
    <n v="3.4"/>
  </r>
  <r>
    <x v="2"/>
    <s v="Convenience stores"/>
    <x v="7"/>
    <s v="Maxi Fresh"/>
    <s v="|81/01/23|"/>
    <n v="984"/>
    <n v="2.14"/>
    <n v="3.61"/>
  </r>
  <r>
    <x v="2"/>
    <s v="Convenience stores"/>
    <x v="7"/>
    <s v="Maxi Fresh"/>
    <s v="|81/01/24|"/>
    <n v="636"/>
    <n v="2.99"/>
    <n v="3.36"/>
  </r>
  <r>
    <x v="2"/>
    <s v="Convenience stores"/>
    <x v="7"/>
    <s v="Maxi Fresh"/>
    <s v="|81/01/25|"/>
    <n v="888"/>
    <n v="2.96"/>
    <n v="3.98"/>
  </r>
  <r>
    <x v="2"/>
    <s v="Convenience stores"/>
    <x v="7"/>
    <s v="Maxi Fresh"/>
    <s v="|81/01/26|"/>
    <n v="924"/>
    <n v="2.12"/>
    <n v="3.31"/>
  </r>
  <r>
    <x v="2"/>
    <s v="Convenience stores"/>
    <x v="7"/>
    <s v="Maxi Fresh"/>
    <s v="|81/01/27|"/>
    <n v="960"/>
    <n v="2.12"/>
    <n v="3.84"/>
  </r>
  <r>
    <x v="2"/>
    <s v="Convenience stores"/>
    <x v="7"/>
    <s v="Maxi Fresh"/>
    <s v="|81/01/28|"/>
    <n v="648"/>
    <n v="2.2200000000000002"/>
    <n v="3.44"/>
  </r>
  <r>
    <x v="2"/>
    <s v="Convenience stores"/>
    <x v="7"/>
    <s v="Maxi Fresh"/>
    <s v="|81/01/29|"/>
    <n v="1176"/>
    <n v="2.69"/>
    <n v="3.89"/>
  </r>
  <r>
    <x v="2"/>
    <s v="Convenience stores"/>
    <x v="7"/>
    <s v="Maxi Fresh"/>
    <s v="|81/01/30|"/>
    <n v="1056"/>
    <n v="2.76"/>
    <n v="3.3"/>
  </r>
  <r>
    <x v="2"/>
    <s v="Convenience stores"/>
    <x v="7"/>
    <s v="Maxi Fresh"/>
    <s v="|81/01/31|"/>
    <n v="1020"/>
    <n v="2.11"/>
    <n v="3.36"/>
  </r>
  <r>
    <x v="2"/>
    <s v="Convenience stores"/>
    <x v="7"/>
    <s v="Maxi Fresh"/>
    <s v="|81/01/32|"/>
    <n v="924"/>
    <n v="2.65"/>
    <n v="3.52"/>
  </r>
  <r>
    <x v="2"/>
    <s v="Convenience stores"/>
    <x v="7"/>
    <s v="Maxi Fresh"/>
    <s v="|81/01/33|"/>
    <n v="924"/>
    <n v="2"/>
    <n v="3.63"/>
  </r>
  <r>
    <x v="2"/>
    <s v="Convenience stores"/>
    <x v="7"/>
    <s v="Maxi Fresh"/>
    <s v="|81/01/34|"/>
    <n v="936"/>
    <n v="2.2200000000000002"/>
    <n v="3.46"/>
  </r>
  <r>
    <x v="2"/>
    <s v="Convenience stores"/>
    <x v="7"/>
    <s v="Maxi Fresh"/>
    <s v="|81/01/35|"/>
    <n v="660"/>
    <n v="2.71"/>
    <n v="3.55"/>
  </r>
  <r>
    <x v="2"/>
    <s v="Convenience stores"/>
    <x v="7"/>
    <s v="Maxi Fresh"/>
    <s v="|81/01/36|"/>
    <n v="972"/>
    <n v="2.68"/>
    <n v="3.24"/>
  </r>
  <r>
    <x v="2"/>
    <s v="Convenience stores"/>
    <x v="7"/>
    <s v="Maxi Fresh"/>
    <s v="|81/01/37|"/>
    <n v="1140"/>
    <n v="2.79"/>
    <n v="3.55"/>
  </r>
  <r>
    <x v="2"/>
    <s v="Convenience stores"/>
    <x v="7"/>
    <s v="Maxi Fresh"/>
    <s v="|81/01/38|"/>
    <n v="1176"/>
    <n v="2.06"/>
    <n v="3.4"/>
  </r>
  <r>
    <x v="2"/>
    <s v="Convenience stores"/>
    <x v="7"/>
    <s v="Maxi Fresh"/>
    <s v="|81/01/39|"/>
    <n v="804"/>
    <n v="2.08"/>
    <n v="3.99"/>
  </r>
  <r>
    <x v="2"/>
    <s v="Convenience stores"/>
    <x v="7"/>
    <s v="Maxi Fresh"/>
    <s v="|81/01/40|"/>
    <n v="852"/>
    <n v="2.5299999999999998"/>
    <n v="3.31"/>
  </r>
  <r>
    <x v="2"/>
    <s v="Convenience stores"/>
    <x v="7"/>
    <s v="Maxi Fresh"/>
    <s v="|81/01/41|"/>
    <n v="792"/>
    <n v="2.2799999999999998"/>
    <n v="3.96"/>
  </r>
  <r>
    <x v="2"/>
    <s v="Convenience stores"/>
    <x v="7"/>
    <s v="Maxi Fresh"/>
    <s v="|81/01/42|"/>
    <n v="660"/>
    <n v="2.8"/>
    <n v="3.7"/>
  </r>
  <r>
    <x v="2"/>
    <s v="Convenience stores"/>
    <x v="7"/>
    <s v="Maxi Fresh"/>
    <s v="|81/01/43|"/>
    <n v="1200"/>
    <n v="2.39"/>
    <n v="3.61"/>
  </r>
  <r>
    <x v="2"/>
    <s v="Convenience stores"/>
    <x v="7"/>
    <s v="Maxi Fresh"/>
    <s v="|81/01/44|"/>
    <n v="1104"/>
    <n v="2.76"/>
    <n v="3.71"/>
  </r>
  <r>
    <x v="2"/>
    <s v="Convenience stores"/>
    <x v="7"/>
    <s v="Maxi Fresh"/>
    <s v="|81/01/45|"/>
    <n v="888"/>
    <n v="2.4"/>
    <n v="3.37"/>
  </r>
  <r>
    <x v="2"/>
    <s v="Convenience stores"/>
    <x v="7"/>
    <s v="Maxi Fresh"/>
    <s v="|81/01/46|"/>
    <n v="1068"/>
    <n v="2.0499999999999998"/>
    <n v="3.45"/>
  </r>
  <r>
    <x v="2"/>
    <s v="Convenience stores"/>
    <x v="7"/>
    <s v="Maxi Fresh"/>
    <s v="|81/01/47|"/>
    <n v="1044"/>
    <n v="2.19"/>
    <n v="3.84"/>
  </r>
  <r>
    <x v="2"/>
    <s v="Convenience stores"/>
    <x v="7"/>
    <s v="Maxi Fresh"/>
    <s v="|81/01/48|"/>
    <n v="888"/>
    <n v="2"/>
    <n v="3.38"/>
  </r>
  <r>
    <x v="2"/>
    <s v="Convenience stores"/>
    <x v="7"/>
    <s v="Maxi Fresh"/>
    <s v="|81/01/49|"/>
    <n v="852"/>
    <n v="2.66"/>
    <n v="3.96"/>
  </r>
  <r>
    <x v="2"/>
    <s v="Convenience stores"/>
    <x v="7"/>
    <s v="Maxi Fresh"/>
    <s v="|81/01/80|"/>
    <n v="1068"/>
    <n v="2.84"/>
    <n v="3.65"/>
  </r>
  <r>
    <x v="2"/>
    <s v="Convenience stores"/>
    <x v="7"/>
    <s v="Maxi Fresh"/>
    <s v="|81/01/81|"/>
    <n v="660"/>
    <n v="2.5"/>
    <n v="3.51"/>
  </r>
  <r>
    <x v="2"/>
    <s v="Convenience stores"/>
    <x v="7"/>
    <s v="Maxi Fresh"/>
    <s v="|81/01/82|"/>
    <n v="624"/>
    <n v="2.0499999999999998"/>
    <n v="3.82"/>
  </r>
  <r>
    <x v="2"/>
    <s v="Convenience stores"/>
    <x v="7"/>
    <s v="Maxi Fresh"/>
    <s v="|81/01/83|"/>
    <n v="624"/>
    <n v="2.68"/>
    <n v="3.7"/>
  </r>
  <r>
    <x v="2"/>
    <s v="Convenience stores"/>
    <x v="7"/>
    <s v="Maxi Fresh"/>
    <s v="|81/01/84|"/>
    <n v="1020"/>
    <n v="3"/>
    <n v="3.67"/>
  </r>
  <r>
    <x v="2"/>
    <s v="Convenience stores"/>
    <x v="7"/>
    <s v="Maxi Fresh"/>
    <s v="|81/01/85|"/>
    <n v="972"/>
    <n v="2.25"/>
    <n v="3.23"/>
  </r>
  <r>
    <x v="2"/>
    <s v="Convenience stores"/>
    <x v="7"/>
    <s v="Maxi Fresh"/>
    <s v="|81/02/01|"/>
    <n v="840"/>
    <n v="2.2599999999999998"/>
    <n v="3.71"/>
  </r>
  <r>
    <x v="2"/>
    <s v="Convenience stores"/>
    <x v="7"/>
    <s v="Maxi Fresh"/>
    <s v="|81/02/02|"/>
    <n v="672"/>
    <n v="2.5499999999999998"/>
    <n v="3.57"/>
  </r>
  <r>
    <x v="2"/>
    <s v="Convenience stores"/>
    <x v="7"/>
    <s v="Maxi Fresh"/>
    <s v="|81/02/03|"/>
    <n v="648"/>
    <n v="2.68"/>
    <n v="3.66"/>
  </r>
  <r>
    <x v="2"/>
    <s v="Convenience stores"/>
    <x v="7"/>
    <s v="Maxi Fresh"/>
    <s v="|81/02/04|"/>
    <n v="972"/>
    <n v="2.0099999999999998"/>
    <n v="3.46"/>
  </r>
  <r>
    <x v="2"/>
    <s v="Convenience stores"/>
    <x v="7"/>
    <s v="Maxi Fresh"/>
    <s v="|81/02/05|"/>
    <n v="996"/>
    <n v="2.0499999999999998"/>
    <n v="3.86"/>
  </r>
  <r>
    <x v="2"/>
    <s v="Convenience stores"/>
    <x v="7"/>
    <s v="Maxi Fresh"/>
    <s v="|81/02/07|"/>
    <n v="912"/>
    <n v="2.11"/>
    <n v="3.53"/>
  </r>
  <r>
    <x v="2"/>
    <s v="Convenience stores"/>
    <x v="10"/>
    <s v="Wild West"/>
    <s v="|30/02/00|"/>
    <n v="504"/>
    <n v="4.2"/>
    <n v="6.76"/>
  </r>
  <r>
    <x v="2"/>
    <s v="Convenience stores"/>
    <x v="10"/>
    <s v="Wild West"/>
    <s v="|30/02/01|"/>
    <n v="360"/>
    <n v="4.09"/>
    <n v="5.97"/>
  </r>
  <r>
    <x v="2"/>
    <s v="Convenience stores"/>
    <x v="10"/>
    <s v="Wild West"/>
    <s v="|30/02/02|"/>
    <n v="384"/>
    <n v="3.34"/>
    <n v="5.03"/>
  </r>
  <r>
    <x v="2"/>
    <s v="Convenience stores"/>
    <x v="10"/>
    <s v="Wild West"/>
    <s v="|30/02/03|"/>
    <n v="372"/>
    <n v="3.35"/>
    <n v="5.37"/>
  </r>
  <r>
    <x v="2"/>
    <s v="Convenience stores"/>
    <x v="10"/>
    <s v="Wild West"/>
    <s v="|30/02/04|"/>
    <n v="444"/>
    <n v="3.2"/>
    <n v="6.61"/>
  </r>
  <r>
    <x v="2"/>
    <s v="Convenience stores"/>
    <x v="10"/>
    <s v="Wild West"/>
    <s v="|30/02/05|"/>
    <n v="432"/>
    <n v="4.22"/>
    <n v="6.8"/>
  </r>
  <r>
    <x v="2"/>
    <s v="Convenience stores"/>
    <x v="10"/>
    <s v="Wild West"/>
    <s v="|30/02/06|"/>
    <n v="468"/>
    <n v="4.6100000000000003"/>
    <n v="5.47"/>
  </r>
  <r>
    <x v="2"/>
    <s v="Convenience stores"/>
    <x v="10"/>
    <s v="Wild West"/>
    <s v="|30/02/07|"/>
    <n v="504"/>
    <n v="3.97"/>
    <n v="6.79"/>
  </r>
  <r>
    <x v="2"/>
    <s v="Convenience stores"/>
    <x v="10"/>
    <s v="Wild West"/>
    <s v="|30/02/09|"/>
    <n v="420"/>
    <n v="3.71"/>
    <n v="5.03"/>
  </r>
  <r>
    <x v="2"/>
    <s v="Convenience stores"/>
    <x v="10"/>
    <s v="Wild West"/>
    <s v="|30/02/89|"/>
    <n v="516"/>
    <n v="4.16"/>
    <n v="6.17"/>
  </r>
  <r>
    <x v="2"/>
    <s v="Convenience stores"/>
    <x v="10"/>
    <s v="Wild West"/>
    <s v="|30/02/90|"/>
    <n v="444"/>
    <n v="3.04"/>
    <n v="5.13"/>
  </r>
  <r>
    <x v="2"/>
    <s v="Convenience stores"/>
    <x v="10"/>
    <s v="Wild West"/>
    <s v="|30/02/91|"/>
    <n v="516"/>
    <n v="4.1500000000000004"/>
    <n v="5.0599999999999996"/>
  </r>
  <r>
    <x v="2"/>
    <s v="Convenience stores"/>
    <x v="10"/>
    <s v="Wild West"/>
    <s v="|30/02/99|"/>
    <n v="480"/>
    <n v="4.8499999999999996"/>
    <n v="6.16"/>
  </r>
  <r>
    <x v="2"/>
    <s v="Convenience stores"/>
    <x v="10"/>
    <s v="Wild West"/>
    <s v="|30/03/01|"/>
    <n v="444"/>
    <n v="4.0199999999999996"/>
    <n v="6.32"/>
  </r>
  <r>
    <x v="2"/>
    <s v="Convenience stores"/>
    <x v="10"/>
    <s v="Wild West"/>
    <s v="|30/03/02|"/>
    <n v="372"/>
    <n v="3.45"/>
    <n v="5.25"/>
  </r>
  <r>
    <x v="2"/>
    <s v="Convenience stores"/>
    <x v="10"/>
    <s v="Wild West"/>
    <s v="|30/03/03|"/>
    <n v="408"/>
    <n v="3.79"/>
    <n v="7"/>
  </r>
  <r>
    <x v="2"/>
    <s v="Convenience stores"/>
    <x v="10"/>
    <s v="Wild West"/>
    <s v="|30/03/05|"/>
    <n v="444"/>
    <n v="4.7"/>
    <n v="5.87"/>
  </r>
  <r>
    <x v="2"/>
    <s v="Convenience stores"/>
    <x v="10"/>
    <s v="Wild West"/>
    <s v="|30/03/06|"/>
    <n v="516"/>
    <n v="4.9800000000000004"/>
    <n v="5.16"/>
  </r>
  <r>
    <x v="2"/>
    <s v="Convenience stores"/>
    <x v="10"/>
    <s v="Wild West"/>
    <s v="|30/03/07|"/>
    <n v="504"/>
    <n v="3.5"/>
    <n v="5.78"/>
  </r>
  <r>
    <x v="2"/>
    <s v="Convenience stores"/>
    <x v="10"/>
    <s v="Wild West"/>
    <s v="|30/03/08|"/>
    <n v="360"/>
    <n v="3.52"/>
    <n v="6.98"/>
  </r>
  <r>
    <x v="2"/>
    <s v="Convenience stores"/>
    <x v="10"/>
    <s v="Wild West"/>
    <s v="|30/04/01|"/>
    <n v="540"/>
    <n v="4.91"/>
    <n v="5.1100000000000003"/>
  </r>
  <r>
    <x v="2"/>
    <s v="Convenience stores"/>
    <x v="10"/>
    <s v="Wild West"/>
    <s v="|30/04/02|"/>
    <n v="492"/>
    <n v="4.63"/>
    <n v="6.5"/>
  </r>
  <r>
    <x v="2"/>
    <s v="Convenience stores"/>
    <x v="10"/>
    <s v="Wild West"/>
    <s v="|30/05/01|"/>
    <n v="504"/>
    <n v="3.87"/>
    <n v="5.03"/>
  </r>
  <r>
    <x v="2"/>
    <s v="Convenience stores"/>
    <x v="10"/>
    <s v="Wild West"/>
    <s v="|30/05/02|"/>
    <n v="360"/>
    <n v="4.4400000000000004"/>
    <n v="5.15"/>
  </r>
  <r>
    <x v="2"/>
    <s v="Convenience stores"/>
    <x v="10"/>
    <s v="Wild West"/>
    <s v="|30/05/03|"/>
    <n v="456"/>
    <n v="3.11"/>
    <n v="6.36"/>
  </r>
  <r>
    <x v="2"/>
    <s v="Convenience stores"/>
    <x v="10"/>
    <s v="Wild West"/>
    <s v="|30/05/04|"/>
    <n v="492"/>
    <n v="4.42"/>
    <n v="6.65"/>
  </r>
  <r>
    <x v="2"/>
    <s v="Convenience stores"/>
    <x v="10"/>
    <s v="Wild West"/>
    <s v="|30/05/06|"/>
    <n v="408"/>
    <n v="3.65"/>
    <n v="5.63"/>
  </r>
  <r>
    <x v="2"/>
    <s v="Convenience stores"/>
    <x v="10"/>
    <s v="Wild West"/>
    <s v="|30/05/07|"/>
    <n v="456"/>
    <n v="4.18"/>
    <n v="6.64"/>
  </r>
  <r>
    <x v="2"/>
    <s v="Convenience stores"/>
    <x v="10"/>
    <s v="Wild West"/>
    <s v="|30/06/01|"/>
    <n v="492"/>
    <n v="4.41"/>
    <n v="5.22"/>
  </r>
  <r>
    <x v="2"/>
    <s v="Convenience stores"/>
    <x v="10"/>
    <s v="Wild West"/>
    <s v="|30/06/02|"/>
    <n v="396"/>
    <n v="3.13"/>
    <n v="6.52"/>
  </r>
  <r>
    <x v="2"/>
    <s v="Convenience stores"/>
    <x v="3"/>
    <s v="Capy"/>
    <s v="|98/01/01|"/>
    <n v="72"/>
    <n v="1.01"/>
    <n v="1.39"/>
  </r>
  <r>
    <x v="2"/>
    <s v="Convenience stores"/>
    <x v="10"/>
    <s v="Palmera"/>
    <s v="|91/00/01|"/>
    <n v="432"/>
    <n v="4.83"/>
    <n v="6.21"/>
  </r>
  <r>
    <x v="2"/>
    <s v="Convenience stores"/>
    <x v="10"/>
    <s v="Palmera"/>
    <s v="|91/00/02|"/>
    <n v="540"/>
    <n v="3.73"/>
    <n v="5.15"/>
  </r>
  <r>
    <x v="2"/>
    <s v="Convenience stores"/>
    <x v="10"/>
    <s v="Palmera"/>
    <s v="|91/00/03|"/>
    <n v="456"/>
    <n v="4.54"/>
    <n v="5.19"/>
  </r>
  <r>
    <x v="2"/>
    <s v="Convenience stores"/>
    <x v="10"/>
    <s v="Palmera"/>
    <s v="|91/00/04|"/>
    <n v="384"/>
    <n v="4.5199999999999996"/>
    <n v="5.24"/>
  </r>
  <r>
    <x v="2"/>
    <s v="Convenience stores"/>
    <x v="10"/>
    <s v="Palmera"/>
    <s v="|91/00/05|"/>
    <n v="360"/>
    <n v="4.08"/>
    <n v="5.86"/>
  </r>
  <r>
    <x v="2"/>
    <s v="Convenience stores"/>
    <x v="10"/>
    <s v="Palmera"/>
    <s v="|91/00/06|"/>
    <n v="456"/>
    <n v="4.66"/>
    <n v="6.63"/>
  </r>
  <r>
    <x v="2"/>
    <s v="Convenience stores"/>
    <x v="10"/>
    <s v="Palmera"/>
    <s v="|91/00/07|"/>
    <n v="528"/>
    <n v="3.21"/>
    <n v="6.67"/>
  </r>
  <r>
    <x v="2"/>
    <s v="Convenience stores"/>
    <x v="10"/>
    <s v="Palmera"/>
    <s v="|91/00/08|"/>
    <n v="504"/>
    <n v="3.29"/>
    <n v="6.44"/>
  </r>
  <r>
    <x v="2"/>
    <s v="Convenience stores"/>
    <x v="10"/>
    <s v="Palmera"/>
    <s v="|91/00/09|"/>
    <n v="516"/>
    <n v="4.2"/>
    <n v="6.85"/>
  </r>
  <r>
    <x v="2"/>
    <s v="Convenience stores"/>
    <x v="10"/>
    <s v="Palmera"/>
    <s v="|91/00/10|"/>
    <n v="372"/>
    <n v="3.67"/>
    <n v="6.68"/>
  </r>
  <r>
    <x v="2"/>
    <s v="Convenience stores"/>
    <x v="10"/>
    <s v="Palmera"/>
    <s v="|91/00/11|"/>
    <n v="372"/>
    <n v="4.63"/>
    <n v="6.88"/>
  </r>
  <r>
    <x v="2"/>
    <s v="Convenience stores"/>
    <x v="10"/>
    <s v="Palmera"/>
    <s v="|91/00/12|"/>
    <n v="492"/>
    <n v="4.49"/>
    <n v="6.84"/>
  </r>
  <r>
    <x v="2"/>
    <s v="Convenience stores"/>
    <x v="10"/>
    <s v="Palmera"/>
    <s v="|91/00/13|"/>
    <n v="504"/>
    <n v="4.76"/>
    <n v="5.0599999999999996"/>
  </r>
  <r>
    <x v="2"/>
    <s v="Convenience stores"/>
    <x v="10"/>
    <s v="Palmera"/>
    <s v="|91/00/14|"/>
    <n v="468"/>
    <n v="3.04"/>
    <n v="6.7"/>
  </r>
  <r>
    <x v="2"/>
    <s v="Convenience stores"/>
    <x v="10"/>
    <s v="Palmera"/>
    <s v="|91/00/15|"/>
    <n v="540"/>
    <n v="4.33"/>
    <n v="6.52"/>
  </r>
  <r>
    <x v="2"/>
    <s v="Convenience stores"/>
    <x v="10"/>
    <s v="Palmera"/>
    <s v="|91/00/16|"/>
    <n v="444"/>
    <n v="4.8499999999999996"/>
    <n v="6.74"/>
  </r>
  <r>
    <x v="2"/>
    <s v="Convenience stores"/>
    <x v="10"/>
    <s v="Palmera"/>
    <s v="|91/00/17|"/>
    <n v="540"/>
    <n v="4.75"/>
    <n v="5.59"/>
  </r>
  <r>
    <x v="2"/>
    <s v="Convenience stores"/>
    <x v="10"/>
    <s v="Palmera"/>
    <s v="|91/00/18|"/>
    <n v="468"/>
    <n v="4.87"/>
    <n v="5.65"/>
  </r>
  <r>
    <x v="2"/>
    <s v="Convenience stores"/>
    <x v="10"/>
    <s v="Palmera"/>
    <s v="|91/00/19|"/>
    <n v="468"/>
    <n v="3.11"/>
    <n v="5.23"/>
  </r>
  <r>
    <x v="2"/>
    <s v="Convenience stores"/>
    <x v="10"/>
    <s v="Palmera"/>
    <s v="|91/00/20|"/>
    <n v="396"/>
    <n v="4.01"/>
    <n v="5.56"/>
  </r>
  <r>
    <x v="2"/>
    <s v="Hypermarkets"/>
    <x v="13"/>
    <s v="President"/>
    <s v="|32/01/01|"/>
    <n v="600"/>
    <n v="2.23"/>
    <n v="3.33"/>
  </r>
  <r>
    <x v="2"/>
    <s v="Hypermarkets"/>
    <x v="13"/>
    <s v="President"/>
    <s v="|32/01/02|"/>
    <n v="228"/>
    <n v="2.62"/>
    <n v="3.2"/>
  </r>
  <r>
    <x v="2"/>
    <s v="Hypermarkets"/>
    <x v="13"/>
    <s v="President"/>
    <s v="|32/01/03|"/>
    <n v="312"/>
    <n v="2.39"/>
    <n v="3.41"/>
  </r>
  <r>
    <x v="2"/>
    <s v="Hypermarkets"/>
    <x v="13"/>
    <s v="President"/>
    <s v="|32/01/04|"/>
    <n v="480"/>
    <n v="2.46"/>
    <n v="3.06"/>
  </r>
  <r>
    <x v="2"/>
    <s v="Hypermarkets"/>
    <x v="13"/>
    <s v="President"/>
    <s v="|32/01/05|"/>
    <n v="132"/>
    <n v="2.2599999999999998"/>
    <n v="3.39"/>
  </r>
  <r>
    <x v="2"/>
    <s v="Hypermarkets"/>
    <x v="13"/>
    <s v="President"/>
    <s v="|32/01/06|"/>
    <n v="516"/>
    <n v="2.23"/>
    <n v="3.51"/>
  </r>
  <r>
    <x v="2"/>
    <s v="Hypermarkets"/>
    <x v="13"/>
    <s v="President"/>
    <s v="|32/01/07|"/>
    <n v="540"/>
    <n v="2.17"/>
    <n v="3.19"/>
  </r>
  <r>
    <x v="2"/>
    <s v="Hypermarkets"/>
    <x v="13"/>
    <s v="President"/>
    <s v="|32/01/08|"/>
    <n v="360"/>
    <n v="2.67"/>
    <n v="3.17"/>
  </r>
  <r>
    <x v="2"/>
    <s v="Hypermarkets"/>
    <x v="13"/>
    <s v="President"/>
    <s v="|32/01/09|"/>
    <n v="228"/>
    <n v="2.5"/>
    <n v="3.36"/>
  </r>
  <r>
    <x v="2"/>
    <s v="Hypermarkets"/>
    <x v="13"/>
    <s v="President"/>
    <s v="|32/01/10|"/>
    <n v="324"/>
    <n v="2.7"/>
    <n v="3.43"/>
  </r>
  <r>
    <x v="2"/>
    <s v="Hypermarkets"/>
    <x v="13"/>
    <s v="President"/>
    <s v="|32/01/11|"/>
    <n v="132"/>
    <n v="2.7"/>
    <n v="3"/>
  </r>
  <r>
    <x v="2"/>
    <s v="Hypermarkets"/>
    <x v="13"/>
    <s v="President"/>
    <s v="|32/01/12|"/>
    <n v="288"/>
    <n v="2.58"/>
    <n v="3.49"/>
  </r>
  <r>
    <x v="2"/>
    <s v="Hypermarkets"/>
    <x v="13"/>
    <s v="President"/>
    <s v="|32/01/13|"/>
    <n v="180"/>
    <n v="2.41"/>
    <n v="3.55"/>
  </r>
  <r>
    <x v="2"/>
    <s v="Hypermarkets"/>
    <x v="13"/>
    <s v="President"/>
    <s v="|32/01/14|"/>
    <n v="504"/>
    <n v="2.56"/>
    <n v="3.38"/>
  </r>
  <r>
    <x v="2"/>
    <s v="Hypermarkets"/>
    <x v="13"/>
    <s v="President"/>
    <s v="|32/01/15|"/>
    <n v="456"/>
    <n v="2.04"/>
    <n v="3.42"/>
  </r>
  <r>
    <x v="2"/>
    <s v="Hypermarkets"/>
    <x v="13"/>
    <s v="President"/>
    <s v="|32/01/16|"/>
    <n v="252"/>
    <n v="2.37"/>
    <n v="3.74"/>
  </r>
  <r>
    <x v="2"/>
    <s v="Hypermarkets"/>
    <x v="13"/>
    <s v="President"/>
    <s v="|32/01/17|"/>
    <n v="288"/>
    <n v="2.66"/>
    <n v="3.51"/>
  </r>
  <r>
    <x v="2"/>
    <s v="Hypermarkets"/>
    <x v="13"/>
    <s v="President"/>
    <s v="|32/01/18|"/>
    <n v="276"/>
    <n v="2.66"/>
    <n v="3.56"/>
  </r>
  <r>
    <x v="2"/>
    <s v="Hypermarkets"/>
    <x v="13"/>
    <s v="President"/>
    <s v="|32/01/19|"/>
    <n v="312"/>
    <n v="2.14"/>
    <n v="3.63"/>
  </r>
  <r>
    <x v="2"/>
    <s v="Hypermarkets"/>
    <x v="13"/>
    <s v="President"/>
    <s v="|32/01/20|"/>
    <n v="408"/>
    <n v="2.19"/>
    <n v="3.19"/>
  </r>
  <r>
    <x v="2"/>
    <s v="Hypermarkets"/>
    <x v="13"/>
    <s v="President"/>
    <s v="|32/01/21|"/>
    <n v="348"/>
    <n v="2.4500000000000002"/>
    <n v="3.28"/>
  </r>
  <r>
    <x v="2"/>
    <s v="Hypermarkets"/>
    <x v="13"/>
    <s v="President"/>
    <s v="|32/01/22|"/>
    <n v="588"/>
    <n v="2.27"/>
    <n v="3.79"/>
  </r>
  <r>
    <x v="2"/>
    <s v="Hypermarkets"/>
    <x v="13"/>
    <s v="President"/>
    <s v="|32/02/01|"/>
    <n v="456"/>
    <n v="2.46"/>
    <n v="3.7"/>
  </r>
  <r>
    <x v="2"/>
    <s v="Hypermarkets"/>
    <x v="14"/>
    <s v="Hassett"/>
    <s v="|130/01/01|"/>
    <n v="1428"/>
    <n v="0.75"/>
    <n v="0.98"/>
  </r>
  <r>
    <x v="2"/>
    <s v="Hypermarkets"/>
    <x v="14"/>
    <s v="Hassett"/>
    <s v="|130/01/02|"/>
    <n v="1560"/>
    <n v="0.7"/>
    <n v="0.94"/>
  </r>
  <r>
    <x v="2"/>
    <s v="Hypermarkets"/>
    <x v="14"/>
    <s v="Hassett"/>
    <s v="|130/01/03|"/>
    <n v="2124"/>
    <n v="0.9"/>
    <n v="0.94"/>
  </r>
  <r>
    <x v="2"/>
    <s v="Hypermarkets"/>
    <x v="14"/>
    <s v="Hassett"/>
    <s v="|130/01/04|"/>
    <n v="1464"/>
    <n v="0.73"/>
    <n v="0.98"/>
  </r>
  <r>
    <x v="2"/>
    <s v="Hypermarkets"/>
    <x v="14"/>
    <s v="Southeastern windmill"/>
    <s v="|44/01/10|"/>
    <n v="1452"/>
    <n v="0.77"/>
    <n v="0.95"/>
  </r>
  <r>
    <x v="2"/>
    <s v="Hypermarkets"/>
    <x v="14"/>
    <s v="Southeastern windmill"/>
    <s v="|44/01/11|"/>
    <n v="2184"/>
    <n v="0.73"/>
    <n v="0.92"/>
  </r>
  <r>
    <x v="2"/>
    <s v="Hypermarkets"/>
    <x v="14"/>
    <s v="Southeastern windmill"/>
    <s v="|44/01/12|"/>
    <n v="1728"/>
    <n v="0.88"/>
    <n v="0.92"/>
  </r>
  <r>
    <x v="2"/>
    <s v="Hypermarkets"/>
    <x v="14"/>
    <s v="Southeastern windmill"/>
    <s v="|44/01/13|"/>
    <n v="1344"/>
    <n v="0.87"/>
    <n v="1"/>
  </r>
  <r>
    <x v="2"/>
    <s v="Hypermarkets"/>
    <x v="14"/>
    <s v="Southeastern windmill"/>
    <s v="|44/01/14|"/>
    <n v="1848"/>
    <n v="0.76"/>
    <n v="0.91"/>
  </r>
  <r>
    <x v="2"/>
    <s v="Hypermarkets"/>
    <x v="14"/>
    <s v="Southeastern windmill"/>
    <s v="|44/01/15|"/>
    <n v="2184"/>
    <n v="0.74"/>
    <n v="0.9"/>
  </r>
  <r>
    <x v="2"/>
    <s v="Hypermarkets"/>
    <x v="14"/>
    <s v="Southeastern windmill"/>
    <s v="|44/01/16|"/>
    <n v="2052"/>
    <n v="0.84"/>
    <n v="1"/>
  </r>
  <r>
    <x v="2"/>
    <s v="Hypermarkets"/>
    <x v="14"/>
    <s v="Southeastern windmill"/>
    <s v="|44/01/17|"/>
    <n v="1332"/>
    <n v="0.8"/>
    <n v="0.99"/>
  </r>
  <r>
    <x v="2"/>
    <s v="Hypermarkets"/>
    <x v="14"/>
    <s v="Southeastern windmill"/>
    <s v="|44/01/18|"/>
    <n v="2100"/>
    <n v="0.73"/>
    <n v="0.99"/>
  </r>
  <r>
    <x v="2"/>
    <s v="Hypermarkets"/>
    <x v="14"/>
    <s v="Southeastern windmill"/>
    <s v="|44/02/01|"/>
    <n v="1260"/>
    <n v="0.87"/>
    <n v="0.91"/>
  </r>
  <r>
    <x v="2"/>
    <s v="Hypermarkets"/>
    <x v="14"/>
    <s v="Southeastern windmill"/>
    <s v="|44/02/02|"/>
    <n v="1272"/>
    <n v="0.78"/>
    <n v="0.98"/>
  </r>
  <r>
    <x v="2"/>
    <s v="Hypermarkets"/>
    <x v="14"/>
    <s v="Southeastern windmill"/>
    <s v="|44/02/03|"/>
    <n v="1944"/>
    <n v="0.88"/>
    <n v="0.97"/>
  </r>
  <r>
    <x v="2"/>
    <s v="Hypermarkets"/>
    <x v="14"/>
    <s v="Southeastern windmill"/>
    <s v="|44/02/04|"/>
    <n v="1332"/>
    <n v="0.72"/>
    <n v="0.92"/>
  </r>
  <r>
    <x v="2"/>
    <s v="Hypermarkets"/>
    <x v="14"/>
    <s v="Southeastern windmill"/>
    <s v="|44/02/05|"/>
    <n v="1524"/>
    <n v="0.71"/>
    <n v="0.98"/>
  </r>
  <r>
    <x v="2"/>
    <s v="Hypermarkets"/>
    <x v="14"/>
    <s v="Southeastern windmill"/>
    <s v="|44/02/06|"/>
    <n v="1500"/>
    <n v="0.71"/>
    <n v="0.93"/>
  </r>
  <r>
    <x v="2"/>
    <s v="Hypermarkets"/>
    <x v="14"/>
    <s v="Southeastern windmill"/>
    <s v="|44/02/07|"/>
    <n v="1740"/>
    <n v="0.79"/>
    <n v="0.99"/>
  </r>
  <r>
    <x v="2"/>
    <s v="Hypermarkets"/>
    <x v="14"/>
    <s v="Southeastern windmill"/>
    <s v="|44/02/08|"/>
    <n v="1344"/>
    <n v="0.87"/>
    <n v="0.98"/>
  </r>
  <r>
    <x v="2"/>
    <s v="Hypermarkets"/>
    <x v="14"/>
    <s v="Southeastern windmill"/>
    <s v="|44/02/09|"/>
    <n v="2400"/>
    <n v="0.89"/>
    <n v="0.93"/>
  </r>
  <r>
    <x v="2"/>
    <s v="Hypermarkets"/>
    <x v="12"/>
    <s v="De Cecco"/>
    <s v="|22/22/01|"/>
    <n v="132"/>
    <n v="2.64"/>
    <n v="2.9733333333333332"/>
  </r>
  <r>
    <x v="2"/>
    <s v="Hypermarkets"/>
    <x v="12"/>
    <s v="De Cecco"/>
    <s v="|22/22/02|"/>
    <n v="144"/>
    <n v="2.48"/>
    <n v="2.9866666666666668"/>
  </r>
  <r>
    <x v="2"/>
    <s v="Hypermarkets"/>
    <x v="12"/>
    <s v="De Cecco"/>
    <s v="|22/22/03|"/>
    <n v="132"/>
    <n v="2.7866666666666666"/>
    <n v="2.9733333333333332"/>
  </r>
  <r>
    <x v="2"/>
    <s v="Hypermarkets"/>
    <x v="12"/>
    <s v="De Cecco"/>
    <s v="|22/22/04|"/>
    <n v="132"/>
    <n v="2.44"/>
    <n v="2.9933333333333332"/>
  </r>
  <r>
    <x v="2"/>
    <s v="Hypermarkets"/>
    <x v="12"/>
    <s v="De Cecco"/>
    <s v="|22/22/05|"/>
    <n v="144"/>
    <n v="2.4333333333333331"/>
    <n v="2.98"/>
  </r>
  <r>
    <x v="2"/>
    <s v="Hypermarkets"/>
    <x v="12"/>
    <s v="De Cecco"/>
    <s v="|22/22/06|"/>
    <n v="168"/>
    <n v="2.4933333333333332"/>
    <n v="2.9733333333333332"/>
  </r>
  <r>
    <x v="2"/>
    <s v="Hypermarkets"/>
    <x v="12"/>
    <s v="De Cecco"/>
    <s v="|22/22/07|"/>
    <n v="144"/>
    <n v="2.5733333333333333"/>
    <n v="2.9333333333333331"/>
  </r>
  <r>
    <x v="2"/>
    <s v="Hypermarkets"/>
    <x v="12"/>
    <s v="De Cecco"/>
    <s v="|22/22/08|"/>
    <n v="180"/>
    <n v="2.5733333333333333"/>
    <n v="2.9133333333333336"/>
  </r>
  <r>
    <x v="2"/>
    <s v="Hypermarkets"/>
    <x v="12"/>
    <s v="De Cecco"/>
    <s v="|22/22/09|"/>
    <n v="168"/>
    <n v="2.7933333333333334"/>
    <n v="2.9133333333333336"/>
  </r>
  <r>
    <x v="2"/>
    <s v="Hypermarkets"/>
    <x v="12"/>
    <s v="De Cecco"/>
    <s v="|22/22/10|"/>
    <n v="156"/>
    <n v="2.7133333333333334"/>
    <n v="2.98"/>
  </r>
  <r>
    <x v="2"/>
    <s v="Hypermarkets"/>
    <x v="12"/>
    <s v="De Cecco"/>
    <s v="|22/22/11|"/>
    <n v="180"/>
    <n v="2.4133333333333336"/>
    <n v="2.88"/>
  </r>
  <r>
    <x v="2"/>
    <s v="Hypermarkets"/>
    <x v="12"/>
    <s v="De Cecco"/>
    <s v="|22/22/12|"/>
    <n v="168"/>
    <n v="2.5266666666666668"/>
    <n v="2.9266666666666667"/>
  </r>
  <r>
    <x v="2"/>
    <s v="Hypermarkets"/>
    <x v="12"/>
    <s v="De Cecco"/>
    <s v="|22/22/13|"/>
    <n v="144"/>
    <n v="2.2733333333333334"/>
    <n v="2.94"/>
  </r>
  <r>
    <x v="2"/>
    <s v="Hypermarkets"/>
    <x v="12"/>
    <s v="De Cecco"/>
    <s v="|22/22/14|"/>
    <n v="132"/>
    <n v="2.2999999999999998"/>
    <n v="2.9733333333333332"/>
  </r>
  <r>
    <x v="2"/>
    <s v="Hypermarkets"/>
    <x v="12"/>
    <s v="De Cecco"/>
    <s v="|22/22/15|"/>
    <n v="168"/>
    <n v="2.2733333333333334"/>
    <n v="2.96"/>
  </r>
  <r>
    <x v="2"/>
    <s v="Hypermarkets"/>
    <x v="12"/>
    <s v="De Cecco"/>
    <s v="|22/22/16|"/>
    <n v="144"/>
    <n v="2.3666666666666667"/>
    <n v="2.98"/>
  </r>
  <r>
    <x v="2"/>
    <s v="Hypermarkets"/>
    <x v="12"/>
    <s v="De Cecco"/>
    <s v="|22/22/17|"/>
    <n v="144"/>
    <n v="2.48"/>
    <n v="2.88"/>
  </r>
  <r>
    <x v="2"/>
    <s v="Hypermarkets"/>
    <x v="12"/>
    <s v="De Cecco"/>
    <s v="|22/22/18|"/>
    <n v="144"/>
    <n v="2.2999999999999998"/>
    <n v="2.9333333333333331"/>
  </r>
  <r>
    <x v="2"/>
    <s v="Hypermarkets"/>
    <x v="12"/>
    <s v="De Cecco"/>
    <s v="|22/22/19|"/>
    <n v="168"/>
    <n v="2.6933333333333334"/>
    <n v="2.8666666666666667"/>
  </r>
  <r>
    <x v="2"/>
    <s v="Hypermarkets"/>
    <x v="12"/>
    <s v="De Cecco"/>
    <s v="|22/22/20|"/>
    <n v="156"/>
    <n v="2.64"/>
    <n v="2.9666666666666668"/>
  </r>
  <r>
    <x v="2"/>
    <s v="Hypermarkets"/>
    <x v="12"/>
    <s v="De Cecco"/>
    <s v="|22/22/21|"/>
    <n v="180"/>
    <n v="2.38"/>
    <n v="2.98"/>
  </r>
  <r>
    <x v="2"/>
    <s v="Hypermarkets"/>
    <x v="12"/>
    <s v="De Cecco"/>
    <s v="|22/22/22|"/>
    <n v="168"/>
    <n v="2.5133333333333332"/>
    <n v="2.8666666666666667"/>
  </r>
  <r>
    <x v="2"/>
    <s v="Hypermarkets"/>
    <x v="12"/>
    <s v="De Cecco"/>
    <s v="|22/22/23|"/>
    <n v="156"/>
    <n v="2.7266666666666666"/>
    <n v="2.9933333333333332"/>
  </r>
  <r>
    <x v="2"/>
    <s v="Hypermarkets"/>
    <x v="12"/>
    <s v="De Cecco"/>
    <s v="|22/22/24|"/>
    <n v="156"/>
    <n v="2.3466666666666667"/>
    <n v="2.9266666666666667"/>
  </r>
  <r>
    <x v="2"/>
    <s v="Hypermarkets"/>
    <x v="12"/>
    <s v="De Cecco"/>
    <s v="|22/22/25|"/>
    <n v="120"/>
    <n v="2.3266666666666667"/>
    <n v="2.9666666666666668"/>
  </r>
  <r>
    <x v="2"/>
    <s v="Hypermarkets"/>
    <x v="12"/>
    <s v="De Cecco"/>
    <s v="|22/22/26|"/>
    <n v="132"/>
    <n v="2.3199999999999998"/>
    <n v="2.9266666666666667"/>
  </r>
  <r>
    <x v="2"/>
    <s v="Hypermarkets"/>
    <x v="12"/>
    <s v="De Cecco"/>
    <s v="|22/22/27|"/>
    <n v="168"/>
    <n v="2.4866666666666668"/>
    <n v="2.9066666666666667"/>
  </r>
  <r>
    <x v="2"/>
    <s v="Hypermarkets"/>
    <x v="12"/>
    <s v="De Cecco"/>
    <s v="|22/22/28|"/>
    <n v="168"/>
    <n v="2.3333333333333335"/>
    <n v="2.9"/>
  </r>
  <r>
    <x v="2"/>
    <s v="Hypermarkets"/>
    <x v="12"/>
    <s v="De Cecco"/>
    <s v="|22/22/29|"/>
    <n v="156"/>
    <n v="2.5466666666666669"/>
    <n v="2.9666666666666668"/>
  </r>
  <r>
    <x v="2"/>
    <s v="Hypermarkets"/>
    <x v="12"/>
    <s v="De Cecco"/>
    <s v="|22/22/30|"/>
    <n v="168"/>
    <n v="2.5733333333333333"/>
    <n v="2.9666666666666668"/>
  </r>
  <r>
    <x v="2"/>
    <s v="Hypermarkets"/>
    <x v="12"/>
    <s v="De Cecco"/>
    <s v="|22/22/31|"/>
    <n v="168"/>
    <n v="2.5133333333333332"/>
    <n v="2.88"/>
  </r>
  <r>
    <x v="2"/>
    <s v="Hypermarkets"/>
    <x v="12"/>
    <s v="De Cecco"/>
    <s v="|22/22/32|"/>
    <n v="120"/>
    <n v="2.3266666666666667"/>
    <n v="2.8933333333333335"/>
  </r>
  <r>
    <x v="2"/>
    <s v="Hypermarkets"/>
    <x v="12"/>
    <s v="De Cecco"/>
    <s v="|22/22/33|"/>
    <n v="156"/>
    <n v="2.3466666666666667"/>
    <n v="2.9866666666666668"/>
  </r>
  <r>
    <x v="2"/>
    <s v="Hypermarkets"/>
    <x v="12"/>
    <s v="De Cecco"/>
    <s v="|22/22/34|"/>
    <n v="168"/>
    <n v="2.2866666666666666"/>
    <n v="3"/>
  </r>
  <r>
    <x v="2"/>
    <s v="Hypermarkets"/>
    <x v="12"/>
    <s v="De Cecco"/>
    <s v="|22/22/35|"/>
    <n v="120"/>
    <n v="2.3133333333333335"/>
    <n v="2.9066666666666667"/>
  </r>
  <r>
    <x v="2"/>
    <s v="Hypermarkets"/>
    <x v="12"/>
    <s v="De Cecco"/>
    <s v="|22/22/36|"/>
    <n v="132"/>
    <n v="2.4133333333333336"/>
    <n v="2.94"/>
  </r>
  <r>
    <x v="2"/>
    <s v="Hypermarkets"/>
    <x v="12"/>
    <s v="De Cecco"/>
    <s v="|22/22/37|"/>
    <n v="144"/>
    <n v="2.5333333333333332"/>
    <n v="2.98"/>
  </r>
  <r>
    <x v="2"/>
    <s v="Hypermarkets"/>
    <x v="12"/>
    <s v="De Cecco"/>
    <s v="|22/22/38|"/>
    <n v="144"/>
    <n v="2.4533333333333331"/>
    <n v="2.9266666666666667"/>
  </r>
  <r>
    <x v="2"/>
    <s v="Hypermarkets"/>
    <x v="12"/>
    <s v="De Cecco"/>
    <s v="|22/22/39|"/>
    <n v="120"/>
    <n v="2.4066666666666667"/>
    <n v="2.94"/>
  </r>
  <r>
    <x v="2"/>
    <s v="Hypermarkets"/>
    <x v="12"/>
    <s v="De Cecco"/>
    <s v="|22/22/40|"/>
    <n v="156"/>
    <n v="2.3066666666666666"/>
    <n v="2.9333333333333331"/>
  </r>
  <r>
    <x v="2"/>
    <s v="Hypermarkets"/>
    <x v="12"/>
    <s v="De Cecco"/>
    <s v="|22/22/41|"/>
    <n v="144"/>
    <n v="2.46"/>
    <n v="2.9"/>
  </r>
  <r>
    <x v="2"/>
    <s v="Hypermarkets"/>
    <x v="12"/>
    <s v="De Cecco"/>
    <s v="|22/22/42|"/>
    <n v="132"/>
    <n v="2.44"/>
    <n v="2.9533333333333331"/>
  </r>
  <r>
    <x v="2"/>
    <s v="Hypermarkets"/>
    <x v="12"/>
    <s v="De Cecco"/>
    <s v="|22/22/43|"/>
    <n v="132"/>
    <n v="2.38"/>
    <n v="2.96"/>
  </r>
  <r>
    <x v="2"/>
    <s v="Hypermarkets"/>
    <x v="12"/>
    <s v="De Cecco"/>
    <s v="|22/22/44|"/>
    <n v="144"/>
    <n v="2.46"/>
    <n v="2.9733333333333332"/>
  </r>
  <r>
    <x v="2"/>
    <s v="Hypermarkets"/>
    <x v="12"/>
    <s v="De Cecco"/>
    <s v="|22/22/45|"/>
    <n v="120"/>
    <n v="2.56"/>
    <n v="3"/>
  </r>
  <r>
    <x v="2"/>
    <s v="Hypermarkets"/>
    <x v="12"/>
    <s v="De Cecco"/>
    <s v="|22/22/46|"/>
    <n v="168"/>
    <n v="2.5933333333333333"/>
    <n v="2.9133333333333336"/>
  </r>
  <r>
    <x v="2"/>
    <s v="Hypermarkets"/>
    <x v="12"/>
    <s v="De Cecco"/>
    <s v="|22/22/47|"/>
    <n v="120"/>
    <n v="2.4466666666666668"/>
    <n v="2.9133333333333336"/>
  </r>
  <r>
    <x v="2"/>
    <s v="Hypermarkets"/>
    <x v="12"/>
    <s v="De Cecco"/>
    <s v="|22/22/48|"/>
    <n v="132"/>
    <n v="2.5133333333333332"/>
    <n v="2.9933333333333332"/>
  </r>
  <r>
    <x v="2"/>
    <s v="Hypermarkets"/>
    <x v="12"/>
    <s v="De Cecco"/>
    <s v="|22/22/49|"/>
    <n v="144"/>
    <n v="2.5066666666666668"/>
    <n v="2.9466666666666668"/>
  </r>
  <r>
    <x v="2"/>
    <s v="Hypermarkets"/>
    <x v="12"/>
    <s v="De Cecco"/>
    <s v="|22/22/50|"/>
    <n v="168"/>
    <n v="2.2733333333333334"/>
    <n v="2.9"/>
  </r>
  <r>
    <x v="2"/>
    <s v="Hypermarkets"/>
    <x v="12"/>
    <s v="De Cecco"/>
    <s v="|22/22/51|"/>
    <n v="168"/>
    <n v="2.4733333333333332"/>
    <n v="2.8666666666666667"/>
  </r>
  <r>
    <x v="2"/>
    <s v="Hypermarkets"/>
    <x v="12"/>
    <s v="De Cecco"/>
    <s v="|22/22/52|"/>
    <n v="180"/>
    <n v="2.5666666666666669"/>
    <n v="2.8733333333333335"/>
  </r>
  <r>
    <x v="2"/>
    <s v="Hypermarkets"/>
    <x v="12"/>
    <s v="De Cecco"/>
    <s v="|22/22/53|"/>
    <n v="132"/>
    <n v="2.5733333333333333"/>
    <n v="2.8733333333333335"/>
  </r>
  <r>
    <x v="2"/>
    <s v="Hypermarkets"/>
    <x v="12"/>
    <s v="De Cecco"/>
    <s v="|22/22/54|"/>
    <n v="120"/>
    <n v="2.5066666666666668"/>
    <n v="2.96"/>
  </r>
  <r>
    <x v="2"/>
    <s v="Hypermarkets"/>
    <x v="12"/>
    <s v="De Cecco"/>
    <s v="|22/22/55|"/>
    <n v="132"/>
    <n v="2.4466666666666668"/>
    <n v="2.9"/>
  </r>
  <r>
    <x v="2"/>
    <s v="Hypermarkets"/>
    <x v="12"/>
    <s v="De Cecco"/>
    <s v="|22/22/56|"/>
    <n v="144"/>
    <n v="2.58"/>
    <n v="2.9666666666666668"/>
  </r>
  <r>
    <x v="2"/>
    <s v="Hypermarkets"/>
    <x v="12"/>
    <s v="De Cecco"/>
    <s v="|22/22/57|"/>
    <n v="180"/>
    <n v="2.5733333333333333"/>
    <n v="2.9866666666666668"/>
  </r>
  <r>
    <x v="2"/>
    <s v="Hypermarkets"/>
    <x v="12"/>
    <s v="De Cecco"/>
    <s v="|22/22/61|"/>
    <n v="120"/>
    <n v="2.4133333333333336"/>
    <n v="2.9066666666666667"/>
  </r>
  <r>
    <x v="2"/>
    <s v="Hypermarkets"/>
    <x v="12"/>
    <s v="De Cecco"/>
    <s v="|22/22/62|"/>
    <n v="144"/>
    <n v="2.7266666666666666"/>
    <n v="2.9066666666666667"/>
  </r>
  <r>
    <x v="2"/>
    <s v="Hypermarkets"/>
    <x v="12"/>
    <s v="De Cecco"/>
    <s v="|22/22/63|"/>
    <n v="180"/>
    <n v="2.4266666666666667"/>
    <n v="2.9666666666666668"/>
  </r>
  <r>
    <x v="2"/>
    <s v="Hypermarkets"/>
    <x v="12"/>
    <s v="De Cecco"/>
    <s v="|22/22/64|"/>
    <n v="180"/>
    <n v="2.5666666666666669"/>
    <n v="2.92"/>
  </r>
  <r>
    <x v="2"/>
    <s v="Hypermarkets"/>
    <x v="12"/>
    <s v="De Cecco"/>
    <s v="|22/22/65|"/>
    <n v="180"/>
    <n v="2.6733333333333333"/>
    <n v="2.9133333333333336"/>
  </r>
  <r>
    <x v="2"/>
    <s v="Hypermarkets"/>
    <x v="12"/>
    <s v="De Cecco"/>
    <s v="|22/22/66|"/>
    <n v="132"/>
    <n v="2.6066666666666665"/>
    <n v="2.9266666666666667"/>
  </r>
  <r>
    <x v="2"/>
    <s v="Hypermarkets"/>
    <x v="12"/>
    <s v="De Cecco"/>
    <s v="|22/22/67|"/>
    <n v="180"/>
    <n v="2.2799999999999998"/>
    <n v="2.92"/>
  </r>
  <r>
    <x v="2"/>
    <s v="Hypermarkets"/>
    <x v="12"/>
    <s v="De Cecco"/>
    <s v="|22/22/68|"/>
    <n v="180"/>
    <n v="2.4466666666666668"/>
    <n v="2.88"/>
  </r>
  <r>
    <x v="2"/>
    <s v="Hypermarkets"/>
    <x v="12"/>
    <s v="De Cecco"/>
    <s v="|22/22/69|"/>
    <n v="132"/>
    <n v="2.3199999999999998"/>
    <n v="2.9266666666666667"/>
  </r>
  <r>
    <x v="2"/>
    <s v="Hypermarkets"/>
    <x v="12"/>
    <s v="De Cecco"/>
    <s v="|22/22/70|"/>
    <n v="132"/>
    <n v="2.5933333333333333"/>
    <n v="2.9866666666666668"/>
  </r>
  <r>
    <x v="2"/>
    <s v="Hypermarkets"/>
    <x v="13"/>
    <s v="Garofalo"/>
    <s v="|110/00/00|"/>
    <n v="252"/>
    <n v="2.19"/>
    <n v="3.63"/>
  </r>
  <r>
    <x v="2"/>
    <s v="Hypermarkets"/>
    <x v="13"/>
    <s v="Garofalo"/>
    <s v="|110/00/01|"/>
    <n v="228"/>
    <n v="2.8"/>
    <n v="3.79"/>
  </r>
  <r>
    <x v="2"/>
    <s v="Hypermarkets"/>
    <x v="13"/>
    <s v="Garofalo"/>
    <s v="|110/00/02|"/>
    <n v="384"/>
    <n v="2.06"/>
    <n v="3.18"/>
  </r>
  <r>
    <x v="2"/>
    <s v="Hypermarkets"/>
    <x v="13"/>
    <s v="Garofalo"/>
    <s v="|110/00/03|"/>
    <n v="132"/>
    <n v="2.1800000000000002"/>
    <n v="3.58"/>
  </r>
  <r>
    <x v="2"/>
    <s v="Hypermarkets"/>
    <x v="13"/>
    <s v="Garofalo"/>
    <s v="|110/00/04|"/>
    <n v="204"/>
    <n v="2.52"/>
    <n v="3.53"/>
  </r>
  <r>
    <x v="2"/>
    <s v="Hypermarkets"/>
    <x v="13"/>
    <s v="Garofalo"/>
    <s v="|110/00/05|"/>
    <n v="372"/>
    <n v="2.69"/>
    <n v="3.49"/>
  </r>
  <r>
    <x v="2"/>
    <s v="Hypermarkets"/>
    <x v="13"/>
    <s v="Garofalo"/>
    <s v="|110/00/06|"/>
    <n v="300"/>
    <n v="2.06"/>
    <n v="3.32"/>
  </r>
  <r>
    <x v="2"/>
    <s v="Hypermarkets"/>
    <x v="13"/>
    <s v="Garofalo"/>
    <s v="|110/00/07|"/>
    <n v="564"/>
    <n v="2.11"/>
    <n v="3.5"/>
  </r>
  <r>
    <x v="2"/>
    <s v="Hypermarkets"/>
    <x v="13"/>
    <s v="Garofalo"/>
    <s v="|110/00/08|"/>
    <n v="288"/>
    <n v="2.23"/>
    <n v="3.31"/>
  </r>
  <r>
    <x v="2"/>
    <s v="Hypermarkets"/>
    <x v="13"/>
    <s v="Garofalo"/>
    <s v="|110/00/09|"/>
    <n v="192"/>
    <n v="2.61"/>
    <n v="3.19"/>
  </r>
  <r>
    <x v="2"/>
    <s v="Hypermarkets"/>
    <x v="13"/>
    <s v="Garofalo"/>
    <s v="|110/00/10|"/>
    <n v="252"/>
    <n v="2.2000000000000002"/>
    <n v="3.36"/>
  </r>
  <r>
    <x v="2"/>
    <s v="Hypermarkets"/>
    <x v="13"/>
    <s v="Garofalo"/>
    <s v="|110/00/11|"/>
    <n v="384"/>
    <n v="2.2599999999999998"/>
    <n v="3.63"/>
  </r>
  <r>
    <x v="2"/>
    <s v="Hypermarkets"/>
    <x v="13"/>
    <s v="Garofalo"/>
    <s v="|110/00/13|"/>
    <n v="252"/>
    <n v="2.65"/>
    <n v="3.72"/>
  </r>
  <r>
    <x v="2"/>
    <s v="Hypermarkets"/>
    <x v="13"/>
    <s v="Garofalo"/>
    <s v="|110/00/14|"/>
    <n v="336"/>
    <n v="2.1800000000000002"/>
    <n v="3.74"/>
  </r>
  <r>
    <x v="2"/>
    <s v="Hypermarkets"/>
    <x v="13"/>
    <s v="Garofalo"/>
    <s v="|110/00/15|"/>
    <n v="576"/>
    <n v="2.79"/>
    <n v="3.6"/>
  </r>
  <r>
    <x v="2"/>
    <s v="Hypermarkets"/>
    <x v="13"/>
    <s v="Garofalo"/>
    <s v="|110/00/17|"/>
    <n v="468"/>
    <n v="2.2000000000000002"/>
    <n v="3.52"/>
  </r>
  <r>
    <x v="2"/>
    <s v="Hypermarkets"/>
    <x v="13"/>
    <s v="Garofalo"/>
    <s v="|110/00/18|"/>
    <n v="276"/>
    <n v="2.19"/>
    <n v="3.38"/>
  </r>
  <r>
    <x v="2"/>
    <s v="Hypermarkets"/>
    <x v="13"/>
    <s v="Garofalo"/>
    <s v="|110/00/19|"/>
    <n v="216"/>
    <n v="2.31"/>
    <n v="3.72"/>
  </r>
  <r>
    <x v="2"/>
    <s v="Hypermarkets"/>
    <x v="13"/>
    <s v="President"/>
    <s v="|75/01/01|"/>
    <n v="588"/>
    <n v="2.62"/>
    <n v="3.18"/>
  </r>
  <r>
    <x v="2"/>
    <s v="Hypermarkets"/>
    <x v="13"/>
    <s v="President"/>
    <s v="|75/01/02|"/>
    <n v="240"/>
    <n v="2.71"/>
    <n v="3.11"/>
  </r>
  <r>
    <x v="2"/>
    <s v="Hypermarkets"/>
    <x v="13"/>
    <s v="President"/>
    <s v="|75/01/03|"/>
    <n v="552"/>
    <n v="2.37"/>
    <n v="3.6"/>
  </r>
  <r>
    <x v="2"/>
    <s v="Hypermarkets"/>
    <x v="13"/>
    <s v="President"/>
    <s v="|75/01/04|"/>
    <n v="516"/>
    <n v="2.48"/>
    <n v="3.48"/>
  </r>
  <r>
    <x v="2"/>
    <s v="Hypermarkets"/>
    <x v="13"/>
    <s v="President"/>
    <s v="|75/01/05|"/>
    <n v="132"/>
    <n v="2.7"/>
    <n v="3.24"/>
  </r>
  <r>
    <x v="2"/>
    <s v="Hypermarkets"/>
    <x v="13"/>
    <s v="President"/>
    <s v="|75/01/06|"/>
    <n v="276"/>
    <n v="2.1800000000000002"/>
    <n v="3.49"/>
  </r>
  <r>
    <x v="2"/>
    <s v="Hypermarkets"/>
    <x v="13"/>
    <s v="President"/>
    <s v="|75/01/07|"/>
    <n v="492"/>
    <n v="2.21"/>
    <n v="3.16"/>
  </r>
  <r>
    <x v="2"/>
    <s v="Hypermarkets"/>
    <x v="13"/>
    <s v="President"/>
    <s v="|75/01/08|"/>
    <n v="168"/>
    <n v="2.02"/>
    <n v="3.04"/>
  </r>
  <r>
    <x v="2"/>
    <s v="Hypermarkets"/>
    <x v="13"/>
    <s v="President"/>
    <s v="|75/01/09|"/>
    <n v="144"/>
    <n v="2.09"/>
    <n v="3.8"/>
  </r>
  <r>
    <x v="2"/>
    <s v="Hypermarkets"/>
    <x v="13"/>
    <s v="President"/>
    <s v="|75/01/10|"/>
    <n v="348"/>
    <n v="2.59"/>
    <n v="3.53"/>
  </r>
  <r>
    <x v="2"/>
    <s v="Hypermarkets"/>
    <x v="13"/>
    <s v="President"/>
    <s v="|75/01/11|"/>
    <n v="540"/>
    <n v="2.48"/>
    <n v="3.52"/>
  </r>
  <r>
    <x v="2"/>
    <s v="Hypermarkets"/>
    <x v="13"/>
    <s v="President"/>
    <s v="|75/01/12|"/>
    <n v="444"/>
    <n v="2.73"/>
    <n v="3.53"/>
  </r>
  <r>
    <x v="2"/>
    <s v="Convenience stores"/>
    <x v="2"/>
    <s v="Nestle'"/>
    <s v="|65/01/01|"/>
    <n v="6108"/>
    <n v="1.05"/>
    <n v="1.01"/>
  </r>
  <r>
    <x v="2"/>
    <s v="Convenience stores"/>
    <x v="2"/>
    <s v="Nestle'"/>
    <s v="|65/01/02|"/>
    <n v="9012"/>
    <n v="0.49"/>
    <n v="1.1100000000000001"/>
  </r>
  <r>
    <x v="2"/>
    <s v="Convenience stores"/>
    <x v="2"/>
    <s v="Nestle'"/>
    <s v="|65/01/03|"/>
    <n v="5436"/>
    <n v="0.96"/>
    <n v="1.0900000000000001"/>
  </r>
  <r>
    <x v="2"/>
    <s v="Convenience stores"/>
    <x v="2"/>
    <s v="Nestle'"/>
    <s v="|65/01/04|"/>
    <n v="7452"/>
    <n v="1.1100000000000001"/>
    <n v="1.0900000000000001"/>
  </r>
  <r>
    <x v="2"/>
    <s v="Convenience stores"/>
    <x v="2"/>
    <s v="Nestle'"/>
    <s v="|65/01/05|"/>
    <n v="7608"/>
    <n v="0.48"/>
    <n v="0.97"/>
  </r>
  <r>
    <x v="2"/>
    <s v="Convenience stores"/>
    <x v="2"/>
    <s v="Nestle'"/>
    <s v="|65/01/06|"/>
    <n v="8400"/>
    <n v="0.73"/>
    <n v="1.03"/>
  </r>
  <r>
    <x v="2"/>
    <s v="Convenience stores"/>
    <x v="2"/>
    <s v="Nestle'"/>
    <s v="|65/01/07|"/>
    <n v="9480"/>
    <n v="0.45"/>
    <n v="1.05"/>
  </r>
  <r>
    <x v="2"/>
    <s v="Convenience stores"/>
    <x v="2"/>
    <s v="Nestle'"/>
    <s v="|65/01/08|"/>
    <n v="6924"/>
    <n v="1.04"/>
    <n v="0.97"/>
  </r>
  <r>
    <x v="2"/>
    <s v="Convenience stores"/>
    <x v="2"/>
    <s v="Nestle'"/>
    <s v="|65/01/09|"/>
    <n v="6864"/>
    <n v="0.98"/>
    <n v="0.91"/>
  </r>
  <r>
    <x v="2"/>
    <s v="Convenience stores"/>
    <x v="2"/>
    <s v="Nestle'"/>
    <s v="|65/01/10|"/>
    <n v="9000"/>
    <n v="0.81"/>
    <n v="1.1399999999999999"/>
  </r>
  <r>
    <x v="2"/>
    <s v="Convenience stores"/>
    <x v="2"/>
    <s v="Nestle'"/>
    <s v="|65/01/11|"/>
    <n v="5448"/>
    <n v="0.59"/>
    <n v="0.94"/>
  </r>
  <r>
    <x v="2"/>
    <s v="Convenience stores"/>
    <x v="3"/>
    <s v="Nestle'"/>
    <s v="|65/02/01|"/>
    <n v="60"/>
    <n v="1.1499999999999999"/>
    <n v="1.34"/>
  </r>
  <r>
    <x v="2"/>
    <s v="Convenience stores"/>
    <x v="5"/>
    <s v="Corny"/>
    <s v="|109/01/01|"/>
    <n v="576"/>
    <n v="1.48"/>
    <n v="1.6"/>
  </r>
  <r>
    <x v="2"/>
    <s v="Convenience stores"/>
    <x v="5"/>
    <s v="Corny"/>
    <s v="|109/01/02|"/>
    <n v="1272"/>
    <n v="1.29"/>
    <n v="1.77"/>
  </r>
  <r>
    <x v="2"/>
    <s v="Convenience stores"/>
    <x v="5"/>
    <s v="Corny"/>
    <s v="|109/01/03|"/>
    <n v="744"/>
    <n v="1.23"/>
    <n v="1.69"/>
  </r>
  <r>
    <x v="2"/>
    <s v="Convenience stores"/>
    <x v="5"/>
    <s v="Corny"/>
    <s v="|109/01/04|"/>
    <n v="732"/>
    <n v="1.48"/>
    <n v="1.65"/>
  </r>
  <r>
    <x v="2"/>
    <s v="Convenience stores"/>
    <x v="5"/>
    <s v="Corny"/>
    <s v="|109/01/05|"/>
    <n v="864"/>
    <n v="1.1299999999999999"/>
    <n v="1.61"/>
  </r>
  <r>
    <x v="2"/>
    <s v="Convenience stores"/>
    <x v="7"/>
    <s v="Grekomila"/>
    <s v="|85/01/01|"/>
    <n v="1152"/>
    <n v="2.64"/>
    <n v="3.94"/>
  </r>
  <r>
    <x v="2"/>
    <s v="Convenience stores"/>
    <x v="7"/>
    <s v="Grekomila"/>
    <s v="|85/01/02|"/>
    <n v="780"/>
    <n v="2.5299999999999998"/>
    <n v="3.48"/>
  </r>
  <r>
    <x v="2"/>
    <s v="Convenience stores"/>
    <x v="7"/>
    <s v="Grekomila"/>
    <s v="|85/01/03|"/>
    <n v="636"/>
    <n v="2.6"/>
    <n v="3.57"/>
  </r>
  <r>
    <x v="2"/>
    <s v="Convenience stores"/>
    <x v="7"/>
    <s v="Grekomila"/>
    <s v="|85/01/04|"/>
    <n v="720"/>
    <n v="2.25"/>
    <n v="3.67"/>
  </r>
  <r>
    <x v="2"/>
    <s v="Convenience stores"/>
    <x v="7"/>
    <s v="Grekomila"/>
    <s v="|85/01/05|"/>
    <n v="1200"/>
    <n v="2.94"/>
    <n v="3.47"/>
  </r>
  <r>
    <x v="2"/>
    <s v="Convenience stores"/>
    <x v="7"/>
    <s v="Grekomila"/>
    <s v="|85/01/06|"/>
    <n v="768"/>
    <n v="3"/>
    <n v="3.74"/>
  </r>
  <r>
    <x v="2"/>
    <s v="Convenience stores"/>
    <x v="7"/>
    <s v="Grekomila"/>
    <s v="|85/01/07|"/>
    <n v="972"/>
    <n v="2.97"/>
    <n v="3.85"/>
  </r>
  <r>
    <x v="2"/>
    <s v="Convenience stores"/>
    <x v="7"/>
    <s v="Grekomila"/>
    <s v="|85/01/08|"/>
    <n v="1116"/>
    <n v="2.7"/>
    <n v="3.34"/>
  </r>
  <r>
    <x v="2"/>
    <s v="Convenience stores"/>
    <x v="7"/>
    <s v="Grekomila"/>
    <s v="|85/01/09|"/>
    <n v="972"/>
    <n v="2.13"/>
    <n v="3.53"/>
  </r>
  <r>
    <x v="2"/>
    <s v="Convenience stores"/>
    <x v="7"/>
    <s v="Grekomila"/>
    <s v="|85/01/10|"/>
    <n v="600"/>
    <n v="2.69"/>
    <n v="3.35"/>
  </r>
  <r>
    <x v="2"/>
    <s v="Convenience stores"/>
    <x v="7"/>
    <s v="Grekomila"/>
    <s v="|85/01/11|"/>
    <n v="960"/>
    <n v="2.4300000000000002"/>
    <n v="3.2"/>
  </r>
  <r>
    <x v="2"/>
    <s v="Convenience stores"/>
    <x v="7"/>
    <s v="Grekomila"/>
    <s v="|85/01/12|"/>
    <n v="936"/>
    <n v="2.5099999999999998"/>
    <n v="3.98"/>
  </r>
  <r>
    <x v="2"/>
    <s v="Convenience stores"/>
    <x v="7"/>
    <s v="Grekomila"/>
    <s v="|85/01/13|"/>
    <n v="864"/>
    <n v="2.87"/>
    <n v="3.49"/>
  </r>
  <r>
    <x v="2"/>
    <s v="Convenience stores"/>
    <x v="7"/>
    <s v="Grekomila"/>
    <s v="|85/01/14|"/>
    <n v="744"/>
    <n v="2.2799999999999998"/>
    <n v="3.81"/>
  </r>
  <r>
    <x v="2"/>
    <s v="Convenience stores"/>
    <x v="7"/>
    <s v="Grekomila"/>
    <s v="|85/01/15|"/>
    <n v="720"/>
    <n v="2.4900000000000002"/>
    <n v="3.78"/>
  </r>
  <r>
    <x v="2"/>
    <s v="Convenience stores"/>
    <x v="7"/>
    <s v="Grekomila"/>
    <s v="|85/01/16|"/>
    <n v="852"/>
    <n v="2.52"/>
    <n v="3.69"/>
  </r>
  <r>
    <x v="2"/>
    <s v="Convenience stores"/>
    <x v="7"/>
    <s v="Grekomila"/>
    <s v="|85/02/01|"/>
    <n v="924"/>
    <n v="2.0699999999999998"/>
    <n v="3.24"/>
  </r>
  <r>
    <x v="2"/>
    <s v="Convenience stores"/>
    <x v="7"/>
    <s v="Grekomila"/>
    <s v="|85/02/02|"/>
    <n v="948"/>
    <n v="2.97"/>
    <n v="3.76"/>
  </r>
  <r>
    <x v="2"/>
    <s v="Convenience stores"/>
    <x v="7"/>
    <s v="Grekomila"/>
    <s v="|85/03/01|"/>
    <n v="1176"/>
    <n v="2.1"/>
    <n v="3.4"/>
  </r>
  <r>
    <x v="2"/>
    <s v="Convenience stores"/>
    <x v="7"/>
    <s v="Grekomila"/>
    <s v="|85/03/02|"/>
    <n v="780"/>
    <n v="2.2000000000000002"/>
    <n v="3.62"/>
  </r>
  <r>
    <x v="2"/>
    <s v="Convenience stores"/>
    <x v="7"/>
    <s v="Grekomila"/>
    <s v="|85/03/03|"/>
    <n v="684"/>
    <n v="2.93"/>
    <n v="3.84"/>
  </r>
  <r>
    <x v="2"/>
    <s v="Convenience stores"/>
    <x v="7"/>
    <s v="Grekomila"/>
    <s v="|85/03/04|"/>
    <n v="972"/>
    <n v="2.08"/>
    <n v="3.89"/>
  </r>
  <r>
    <x v="2"/>
    <s v="Convenience stores"/>
    <x v="7"/>
    <s v="Grekomila"/>
    <s v="|85/03/05|"/>
    <n v="624"/>
    <n v="2.91"/>
    <n v="3.7"/>
  </r>
  <r>
    <x v="2"/>
    <s v="Convenience stores"/>
    <x v="7"/>
    <s v="Grekomila"/>
    <s v="|85/03/06|"/>
    <n v="732"/>
    <n v="2.8"/>
    <n v="3.43"/>
  </r>
  <r>
    <x v="2"/>
    <s v="Convenience stores"/>
    <x v="7"/>
    <s v="Grekomila"/>
    <s v="|85/03/07|"/>
    <n v="744"/>
    <n v="2.09"/>
    <n v="3.22"/>
  </r>
  <r>
    <x v="2"/>
    <s v="Convenience stores"/>
    <x v="7"/>
    <s v="Grekomila"/>
    <s v="|85/03/08|"/>
    <n v="1092"/>
    <n v="2.09"/>
    <n v="3.24"/>
  </r>
  <r>
    <x v="2"/>
    <s v="Convenience stores"/>
    <x v="7"/>
    <s v="Grekomila"/>
    <s v="|85/03/09|"/>
    <n v="828"/>
    <n v="2.76"/>
    <n v="3.57"/>
  </r>
  <r>
    <x v="2"/>
    <s v="Convenience stores"/>
    <x v="7"/>
    <s v="Grekomila"/>
    <s v="|85/03/10|"/>
    <n v="1176"/>
    <n v="2.66"/>
    <n v="3.88"/>
  </r>
  <r>
    <x v="2"/>
    <s v="Convenience stores"/>
    <x v="7"/>
    <s v="Grekomila"/>
    <s v="|85/03/11|"/>
    <n v="972"/>
    <n v="2.12"/>
    <n v="3.99"/>
  </r>
  <r>
    <x v="2"/>
    <s v="Convenience stores"/>
    <x v="7"/>
    <s v="Grekomila"/>
    <s v="|85/03/12|"/>
    <n v="600"/>
    <n v="2.63"/>
    <n v="3.94"/>
  </r>
  <r>
    <x v="2"/>
    <s v="Convenience stores"/>
    <x v="7"/>
    <s v="Grekomila"/>
    <s v="|85/03/13|"/>
    <n v="924"/>
    <n v="2.5499999999999998"/>
    <n v="3.2"/>
  </r>
  <r>
    <x v="2"/>
    <s v="Convenience stores"/>
    <x v="7"/>
    <s v="Grekomila"/>
    <s v="|85/03/14|"/>
    <n v="696"/>
    <n v="2.57"/>
    <n v="3.49"/>
  </r>
  <r>
    <x v="2"/>
    <s v="Convenience stores"/>
    <x v="7"/>
    <s v="Grekomila"/>
    <s v="|85/03/15|"/>
    <n v="1008"/>
    <n v="2.11"/>
    <n v="3.58"/>
  </r>
  <r>
    <x v="2"/>
    <s v="Convenience stores"/>
    <x v="7"/>
    <s v="Grekomila"/>
    <s v="|85/04/01|"/>
    <n v="984"/>
    <n v="2.1800000000000002"/>
    <n v="3.9"/>
  </r>
  <r>
    <x v="2"/>
    <s v="Convenience stores"/>
    <x v="7"/>
    <s v="Grekomila"/>
    <s v="|85/04/02|"/>
    <n v="792"/>
    <n v="2.56"/>
    <n v="3.61"/>
  </r>
  <r>
    <x v="2"/>
    <s v="Convenience stores"/>
    <x v="7"/>
    <s v="Grekomila"/>
    <s v="|85/04/03|"/>
    <n v="708"/>
    <n v="2.4700000000000002"/>
    <n v="3.28"/>
  </r>
  <r>
    <x v="2"/>
    <s v="Convenience stores"/>
    <x v="7"/>
    <s v="Grekomila"/>
    <s v="|85/04/04|"/>
    <n v="804"/>
    <n v="2.62"/>
    <n v="3.8"/>
  </r>
  <r>
    <x v="2"/>
    <s v="Convenience stores"/>
    <x v="7"/>
    <s v="Grekomila"/>
    <s v="|85/04/05|"/>
    <n v="600"/>
    <n v="2.76"/>
    <n v="3.56"/>
  </r>
  <r>
    <x v="2"/>
    <s v="Convenience stores"/>
    <x v="7"/>
    <s v="Grekomila"/>
    <s v="|85/04/06|"/>
    <n v="660"/>
    <n v="2.0499999999999998"/>
    <n v="3.82"/>
  </r>
  <r>
    <x v="2"/>
    <s v="Convenience stores"/>
    <x v="7"/>
    <s v="Grekomila"/>
    <s v="|85/04/07|"/>
    <n v="912"/>
    <n v="2"/>
    <n v="3.57"/>
  </r>
  <r>
    <x v="2"/>
    <s v="Convenience stores"/>
    <x v="7"/>
    <s v="Grekomila"/>
    <s v="|85/04/08|"/>
    <n v="1056"/>
    <n v="2.06"/>
    <n v="3.74"/>
  </r>
  <r>
    <x v="2"/>
    <s v="Convenience stores"/>
    <x v="7"/>
    <s v="Grekomila"/>
    <s v="|85/04/09|"/>
    <n v="1056"/>
    <n v="2.2999999999999998"/>
    <n v="3.47"/>
  </r>
  <r>
    <x v="2"/>
    <s v="Convenience stores"/>
    <x v="7"/>
    <s v="Grekomila"/>
    <s v="|85/04/10|"/>
    <n v="696"/>
    <n v="2.36"/>
    <n v="3.84"/>
  </r>
  <r>
    <x v="2"/>
    <s v="Convenience stores"/>
    <x v="7"/>
    <s v="Grekomila"/>
    <s v="|85/04/11|"/>
    <n v="1152"/>
    <n v="2.5"/>
    <n v="3.58"/>
  </r>
  <r>
    <x v="2"/>
    <s v="Convenience stores"/>
    <x v="7"/>
    <s v="Grekomila"/>
    <s v="|85/04/12|"/>
    <n v="600"/>
    <n v="2.63"/>
    <n v="3.94"/>
  </r>
  <r>
    <x v="2"/>
    <s v="Convenience stores"/>
    <x v="7"/>
    <s v="Grekomila"/>
    <s v="|85/04/13|"/>
    <n v="804"/>
    <n v="2.42"/>
    <n v="3.34"/>
  </r>
  <r>
    <x v="2"/>
    <s v="Convenience stores"/>
    <x v="7"/>
    <s v="Grekomila"/>
    <s v="|85/04/14|"/>
    <n v="1176"/>
    <n v="2.7"/>
    <n v="3.39"/>
  </r>
  <r>
    <x v="2"/>
    <s v="Convenience stores"/>
    <x v="7"/>
    <s v="Grekomila"/>
    <s v="|85/04/15|"/>
    <n v="996"/>
    <n v="2.52"/>
    <n v="3.39"/>
  </r>
  <r>
    <x v="2"/>
    <s v="Convenience stores"/>
    <x v="7"/>
    <s v="Grekomila"/>
    <s v="|85/04/16|"/>
    <n v="720"/>
    <n v="2.91"/>
    <n v="3.24"/>
  </r>
  <r>
    <x v="2"/>
    <s v="Convenience stores"/>
    <x v="7"/>
    <s v="Grekomila"/>
    <s v="|85/04/17|"/>
    <n v="624"/>
    <n v="2.93"/>
    <n v="3.22"/>
  </r>
  <r>
    <x v="2"/>
    <s v="Convenience stores"/>
    <x v="7"/>
    <s v="Grekomila"/>
    <s v="|85/04/18|"/>
    <n v="1128"/>
    <n v="2.56"/>
    <n v="3.3"/>
  </r>
  <r>
    <x v="2"/>
    <s v="Convenience stores"/>
    <x v="7"/>
    <s v="Grekomila"/>
    <s v="|85/05/01|"/>
    <n v="900"/>
    <n v="2.2599999999999998"/>
    <n v="3.23"/>
  </r>
  <r>
    <x v="2"/>
    <s v="Convenience stores"/>
    <x v="7"/>
    <s v="Grekomila"/>
    <s v="|85/05/02|"/>
    <n v="696"/>
    <n v="2.64"/>
    <n v="3.85"/>
  </r>
  <r>
    <x v="2"/>
    <s v="Convenience stores"/>
    <x v="7"/>
    <s v="Grekomila"/>
    <s v="|85/05/03|"/>
    <n v="1128"/>
    <n v="2.34"/>
    <n v="3.94"/>
  </r>
  <r>
    <x v="2"/>
    <s v="Convenience stores"/>
    <x v="7"/>
    <s v="Grekomila"/>
    <s v="|85/05/04|"/>
    <n v="996"/>
    <n v="2.2000000000000002"/>
    <n v="3.97"/>
  </r>
  <r>
    <x v="2"/>
    <s v="Convenience stores"/>
    <x v="7"/>
    <s v="Grekomila"/>
    <s v="|85/06/01|"/>
    <n v="636"/>
    <n v="2.77"/>
    <n v="3.75"/>
  </r>
  <r>
    <x v="2"/>
    <s v="Convenience stores"/>
    <x v="7"/>
    <s v="Grekomila"/>
    <s v="|85/06/02|"/>
    <n v="960"/>
    <n v="2.48"/>
    <n v="3.61"/>
  </r>
  <r>
    <x v="2"/>
    <s v="Convenience stores"/>
    <x v="7"/>
    <s v="Grekomila"/>
    <s v="|85/06/03|"/>
    <n v="1116"/>
    <n v="2.38"/>
    <n v="3.83"/>
  </r>
  <r>
    <x v="2"/>
    <s v="Convenience stores"/>
    <x v="7"/>
    <s v="Grekomila"/>
    <s v="|85/06/04|"/>
    <n v="936"/>
    <n v="2.19"/>
    <n v="3.46"/>
  </r>
  <r>
    <x v="2"/>
    <s v="Convenience stores"/>
    <x v="7"/>
    <s v="Grekomila"/>
    <s v="|85/06/05|"/>
    <n v="972"/>
    <n v="2.8"/>
    <n v="3.64"/>
  </r>
  <r>
    <x v="2"/>
    <s v="Convenience stores"/>
    <x v="7"/>
    <s v="Grekomila"/>
    <s v="|85/06/06|"/>
    <n v="828"/>
    <n v="2.38"/>
    <n v="3.67"/>
  </r>
  <r>
    <x v="2"/>
    <s v="Convenience stores"/>
    <x v="7"/>
    <s v="Grekomila"/>
    <s v="|85/06/07|"/>
    <n v="660"/>
    <n v="2.09"/>
    <n v="3.9"/>
  </r>
  <r>
    <x v="2"/>
    <s v="Convenience stores"/>
    <x v="7"/>
    <s v="Grekomila"/>
    <s v="|85/07/01|"/>
    <n v="780"/>
    <n v="2.71"/>
    <n v="3.51"/>
  </r>
  <r>
    <x v="2"/>
    <s v="Convenience stores"/>
    <x v="9"/>
    <s v="Cif"/>
    <s v="|111/00/00|"/>
    <n v="756"/>
    <n v="1.6"/>
    <n v="2.6"/>
  </r>
  <r>
    <x v="2"/>
    <s v="Convenience stores"/>
    <x v="9"/>
    <s v="Cif"/>
    <s v="|111/00/01|"/>
    <n v="960"/>
    <n v="1.45"/>
    <n v="3.45"/>
  </r>
  <r>
    <x v="2"/>
    <s v="Convenience stores"/>
    <x v="9"/>
    <s v="Cif"/>
    <s v="|111/00/02|"/>
    <n v="372"/>
    <n v="2.0099999999999998"/>
    <n v="2.14"/>
  </r>
  <r>
    <x v="2"/>
    <s v="Convenience stores"/>
    <x v="9"/>
    <s v="Cif"/>
    <s v="|111/00/03|"/>
    <n v="1080"/>
    <n v="2.41"/>
    <n v="2.99"/>
  </r>
  <r>
    <x v="2"/>
    <s v="Convenience stores"/>
    <x v="6"/>
    <s v="Mars"/>
    <s v="|66/01/01|"/>
    <n v="2592"/>
    <n v="2.4900000000000002"/>
    <n v="3.65"/>
  </r>
  <r>
    <x v="2"/>
    <s v="Convenience stores"/>
    <x v="6"/>
    <s v="Mars"/>
    <s v="|66/01/02|"/>
    <n v="1260"/>
    <n v="2.92"/>
    <n v="3.85"/>
  </r>
  <r>
    <x v="2"/>
    <s v="Convenience stores"/>
    <x v="6"/>
    <s v="Mars"/>
    <s v="|66/01/03|"/>
    <n v="1620"/>
    <n v="2.41"/>
    <n v="3.87"/>
  </r>
  <r>
    <x v="2"/>
    <s v="Convenience stores"/>
    <x v="6"/>
    <s v="Mars"/>
    <s v="|66/01/04|"/>
    <n v="1572"/>
    <n v="2.31"/>
    <n v="3.83"/>
  </r>
  <r>
    <x v="2"/>
    <s v="Convenience stores"/>
    <x v="6"/>
    <s v="Mars"/>
    <s v="|66/01/05|"/>
    <n v="1656"/>
    <n v="2.7"/>
    <n v="3.79"/>
  </r>
  <r>
    <x v="2"/>
    <s v="Convenience stores"/>
    <x v="6"/>
    <s v="Mars"/>
    <s v="|66/01/06|"/>
    <n v="1320"/>
    <n v="2.69"/>
    <n v="3.74"/>
  </r>
  <r>
    <x v="2"/>
    <s v="Convenience stores"/>
    <x v="6"/>
    <s v="Mars"/>
    <s v="|66/02/01|"/>
    <n v="2208"/>
    <n v="2.66"/>
    <n v="3.7"/>
  </r>
  <r>
    <x v="2"/>
    <s v="Convenience stores"/>
    <x v="6"/>
    <s v="Mars"/>
    <s v="|66/02/02|"/>
    <n v="1956"/>
    <n v="2.79"/>
    <n v="3.92"/>
  </r>
  <r>
    <x v="2"/>
    <s v="Convenience stores"/>
    <x v="5"/>
    <s v="Ulker"/>
    <s v="|96/00/01|"/>
    <n v="984"/>
    <n v="1.38"/>
    <n v="1.86"/>
  </r>
  <r>
    <x v="2"/>
    <s v="Convenience stores"/>
    <x v="5"/>
    <s v="Ulker"/>
    <s v="|96/00/02|"/>
    <n v="1212"/>
    <n v="1.35"/>
    <n v="1.63"/>
  </r>
  <r>
    <x v="2"/>
    <s v="Convenience stores"/>
    <x v="5"/>
    <s v="Ulker"/>
    <s v="|96/00/03|"/>
    <n v="1164"/>
    <n v="1.1100000000000001"/>
    <n v="1.89"/>
  </r>
  <r>
    <x v="2"/>
    <s v="Convenience stores"/>
    <x v="5"/>
    <s v="Ulker"/>
    <s v="|96/00/04|"/>
    <n v="1308"/>
    <n v="1.47"/>
    <n v="1.82"/>
  </r>
  <r>
    <x v="2"/>
    <s v="Convenience stores"/>
    <x v="5"/>
    <s v="Ulker"/>
    <s v="|96/00/05|"/>
    <n v="1200"/>
    <n v="1.35"/>
    <n v="1.82"/>
  </r>
  <r>
    <x v="2"/>
    <s v="Convenience stores"/>
    <x v="5"/>
    <s v="Ulker"/>
    <s v="|96/00/06|"/>
    <n v="1020"/>
    <n v="1.42"/>
    <n v="1.65"/>
  </r>
  <r>
    <x v="2"/>
    <s v="Convenience stores"/>
    <x v="5"/>
    <s v="Ulker"/>
    <s v="|96/00/07|"/>
    <n v="912"/>
    <n v="1.41"/>
    <n v="1.6"/>
  </r>
  <r>
    <x v="2"/>
    <s v="Convenience stores"/>
    <x v="5"/>
    <s v="Ulker"/>
    <s v="|96/00/08|"/>
    <n v="636"/>
    <n v="1.42"/>
    <n v="1.84"/>
  </r>
  <r>
    <x v="2"/>
    <s v="Convenience stores"/>
    <x v="5"/>
    <s v="Ulker"/>
    <s v="|96/00/09|"/>
    <n v="1008"/>
    <n v="1.25"/>
    <n v="1.73"/>
  </r>
  <r>
    <x v="2"/>
    <s v="Convenience stores"/>
    <x v="9"/>
    <s v="WC Net"/>
    <s v="|52/01/01|"/>
    <n v="708"/>
    <n v="2.2599999999999998"/>
    <n v="2.2799999999999998"/>
  </r>
  <r>
    <x v="2"/>
    <s v="Convenience stores"/>
    <x v="9"/>
    <s v="WC Net"/>
    <s v="|52/01/02|"/>
    <n v="504"/>
    <n v="2.06"/>
    <n v="2.11"/>
  </r>
  <r>
    <x v="2"/>
    <s v="Convenience stores"/>
    <x v="9"/>
    <s v="WC Net"/>
    <s v="|52/01/03|"/>
    <n v="924"/>
    <n v="1.46"/>
    <n v="2.9"/>
  </r>
  <r>
    <x v="2"/>
    <s v="Convenience stores"/>
    <x v="9"/>
    <s v="WC Net"/>
    <s v="|52/01/03a|"/>
    <n v="528"/>
    <n v="2.2799999999999998"/>
    <n v="2.3199999999999998"/>
  </r>
  <r>
    <x v="2"/>
    <s v="Convenience stores"/>
    <x v="9"/>
    <s v="WC Net"/>
    <s v="|52/01/03b|"/>
    <n v="372"/>
    <n v="1.5"/>
    <n v="2.19"/>
  </r>
  <r>
    <x v="2"/>
    <s v="Convenience stores"/>
    <x v="9"/>
    <s v="WC Net"/>
    <s v="|52/01/03c|"/>
    <n v="504"/>
    <n v="1.84"/>
    <n v="2.09"/>
  </r>
  <r>
    <x v="2"/>
    <s v="Convenience stores"/>
    <x v="9"/>
    <s v="WC Net"/>
    <s v="|52/01/03e|"/>
    <n v="828"/>
    <n v="2.42"/>
    <n v="2.41"/>
  </r>
  <r>
    <x v="2"/>
    <s v="Convenience stores"/>
    <x v="9"/>
    <s v="WC Net"/>
    <s v="|52/01/03f|"/>
    <n v="1104"/>
    <n v="1.63"/>
    <n v="2.4900000000000002"/>
  </r>
  <r>
    <x v="2"/>
    <s v="Convenience stores"/>
    <x v="9"/>
    <s v="WC Net"/>
    <s v="|52/01/03g|"/>
    <n v="1104"/>
    <n v="1.96"/>
    <n v="2.5"/>
  </r>
  <r>
    <x v="2"/>
    <s v="Convenience stores"/>
    <x v="9"/>
    <s v="WC Net"/>
    <s v="|52/01/03h|"/>
    <n v="840"/>
    <n v="2.16"/>
    <n v="3.49"/>
  </r>
  <r>
    <x v="2"/>
    <s v="Convenience stores"/>
    <x v="9"/>
    <s v="WC Net"/>
    <s v="|52/01/03i|"/>
    <n v="1140"/>
    <n v="1.92"/>
    <n v="2.2599999999999998"/>
  </r>
  <r>
    <x v="2"/>
    <s v="Convenience stores"/>
    <x v="9"/>
    <s v="WC Net"/>
    <s v="|52/01/03j|"/>
    <n v="1044"/>
    <n v="2.42"/>
    <n v="2.91"/>
  </r>
  <r>
    <x v="2"/>
    <s v="Convenience stores"/>
    <x v="9"/>
    <s v="WC Net"/>
    <s v="|52/01/03m|"/>
    <n v="1128"/>
    <n v="1.43"/>
    <n v="2.83"/>
  </r>
  <r>
    <x v="2"/>
    <s v="Convenience stores"/>
    <x v="9"/>
    <s v="WC Net"/>
    <s v="|52/01/03n|"/>
    <n v="1164"/>
    <n v="2.09"/>
    <n v="2.21"/>
  </r>
  <r>
    <x v="2"/>
    <s v="Convenience stores"/>
    <x v="9"/>
    <s v="WC Net"/>
    <s v="|52/01/03v|"/>
    <n v="828"/>
    <n v="1.71"/>
    <n v="2.61"/>
  </r>
  <r>
    <x v="2"/>
    <s v="Convenience stores"/>
    <x v="9"/>
    <s v="WC Net"/>
    <s v="|52/01/10|"/>
    <n v="804"/>
    <n v="2.5"/>
    <n v="2.97"/>
  </r>
  <r>
    <x v="2"/>
    <s v="Convenience stores"/>
    <x v="9"/>
    <s v="WC Net"/>
    <s v="|52/01/11|"/>
    <n v="528"/>
    <n v="1.29"/>
    <n v="3.25"/>
  </r>
  <r>
    <x v="2"/>
    <s v="Convenience stores"/>
    <x v="5"/>
    <s v="Mondelez"/>
    <s v="|123/01/01|"/>
    <n v="972"/>
    <n v="1.47"/>
    <n v="1.73"/>
  </r>
  <r>
    <x v="2"/>
    <s v="Convenience stores"/>
    <x v="5"/>
    <s v="Mondelez"/>
    <s v="|123/01/02|"/>
    <n v="1080"/>
    <n v="1.27"/>
    <n v="1.61"/>
  </r>
  <r>
    <x v="2"/>
    <s v="Convenience stores"/>
    <x v="5"/>
    <s v="Mondelez"/>
    <s v="|123/01/03|"/>
    <n v="744"/>
    <n v="1.2"/>
    <n v="1.61"/>
  </r>
  <r>
    <x v="2"/>
    <s v="Convenience stores"/>
    <x v="5"/>
    <s v="Mondelez"/>
    <s v="|123/01/05|"/>
    <n v="1164"/>
    <n v="1.1100000000000001"/>
    <n v="1.69"/>
  </r>
  <r>
    <x v="2"/>
    <s v="Convenience stores"/>
    <x v="5"/>
    <s v="Mondelez"/>
    <s v="|123/01/06|"/>
    <n v="1308"/>
    <n v="1.1499999999999999"/>
    <n v="1.8"/>
  </r>
  <r>
    <x v="2"/>
    <s v="Convenience stores"/>
    <x v="4"/>
    <s v="Sephora"/>
    <s v="|01/01/01|"/>
    <n v="684"/>
    <n v="4.57"/>
    <n v="5.3"/>
  </r>
  <r>
    <x v="2"/>
    <s v="Convenience stores"/>
    <x v="4"/>
    <s v="Sephora"/>
    <s v="|01/01/02|"/>
    <n v="600"/>
    <n v="4.26"/>
    <n v="5.24"/>
  </r>
  <r>
    <x v="2"/>
    <s v="Convenience stores"/>
    <x v="4"/>
    <s v="Sephora"/>
    <s v="|01/01/04|"/>
    <n v="552"/>
    <n v="4.93"/>
    <n v="5.15"/>
  </r>
  <r>
    <x v="2"/>
    <s v="Convenience stores"/>
    <x v="4"/>
    <s v="Sephora"/>
    <s v="|01/01/05|"/>
    <n v="672"/>
    <n v="4.83"/>
    <n v="5.09"/>
  </r>
  <r>
    <x v="2"/>
    <s v="Convenience stores"/>
    <x v="4"/>
    <s v="Sephora"/>
    <s v="|01/01/06|"/>
    <n v="348"/>
    <n v="4.5199999999999996"/>
    <n v="5.29"/>
  </r>
  <r>
    <x v="2"/>
    <s v="Convenience stores"/>
    <x v="4"/>
    <s v="Sephora"/>
    <s v="|01/01/08|"/>
    <n v="384"/>
    <n v="4.93"/>
    <n v="5.01"/>
  </r>
  <r>
    <x v="2"/>
    <s v="Convenience stores"/>
    <x v="4"/>
    <s v="Sephora"/>
    <s v="|01/01/10|"/>
    <n v="528"/>
    <n v="4.17"/>
    <n v="5.22"/>
  </r>
  <r>
    <x v="2"/>
    <s v="Convenience stores"/>
    <x v="4"/>
    <s v="Sephora"/>
    <s v="|01/01/11|"/>
    <n v="576"/>
    <n v="4.09"/>
    <n v="5.24"/>
  </r>
  <r>
    <x v="2"/>
    <s v="Convenience stores"/>
    <x v="4"/>
    <s v="Sephora"/>
    <s v="|01/01/12|"/>
    <n v="324"/>
    <n v="4.07"/>
    <n v="5.14"/>
  </r>
  <r>
    <x v="2"/>
    <s v="Convenience stores"/>
    <x v="4"/>
    <s v="Sephora"/>
    <s v="|01/01/13|"/>
    <n v="456"/>
    <n v="4.63"/>
    <n v="5.0999999999999996"/>
  </r>
  <r>
    <x v="2"/>
    <s v="Convenience stores"/>
    <x v="4"/>
    <s v="Sephora"/>
    <s v="|01/01/15|"/>
    <n v="456"/>
    <n v="4.5599999999999996"/>
    <n v="5.2"/>
  </r>
  <r>
    <x v="2"/>
    <s v="Convenience stores"/>
    <x v="4"/>
    <s v="Sephora"/>
    <s v="|01/01/17|"/>
    <n v="684"/>
    <n v="4.0599999999999996"/>
    <n v="5.29"/>
  </r>
  <r>
    <x v="2"/>
    <s v="Convenience stores"/>
    <x v="4"/>
    <s v="Sephora"/>
    <s v="|01/01/18|"/>
    <n v="576"/>
    <n v="4.79"/>
    <n v="5.03"/>
  </r>
  <r>
    <x v="2"/>
    <s v="Convenience stores"/>
    <x v="4"/>
    <s v="Sephora"/>
    <s v="|01/01/19|"/>
    <n v="396"/>
    <n v="4.49"/>
    <n v="5.15"/>
  </r>
  <r>
    <x v="2"/>
    <s v="Convenience stores"/>
    <x v="4"/>
    <s v="Sephora"/>
    <s v="|01/01/20|"/>
    <n v="432"/>
    <n v="4.3499999999999996"/>
    <n v="5.33"/>
  </r>
  <r>
    <x v="2"/>
    <s v="Convenience stores"/>
    <x v="4"/>
    <s v="Sephora"/>
    <s v="|01/01/21|"/>
    <n v="636"/>
    <n v="4"/>
    <n v="5.22"/>
  </r>
  <r>
    <x v="2"/>
    <s v="Convenience stores"/>
    <x v="4"/>
    <s v="Sephora"/>
    <s v="|01/01/23|"/>
    <n v="444"/>
    <n v="4.08"/>
    <n v="5.03"/>
  </r>
  <r>
    <x v="2"/>
    <s v="Convenience stores"/>
    <x v="4"/>
    <s v="Sephora"/>
    <s v="|01/01/24|"/>
    <n v="312"/>
    <n v="4"/>
    <n v="5.05"/>
  </r>
  <r>
    <x v="2"/>
    <s v="Convenience stores"/>
    <x v="4"/>
    <s v="Sephora"/>
    <s v="|01/01/25|"/>
    <n v="660"/>
    <n v="4.28"/>
    <n v="5.12"/>
  </r>
  <r>
    <x v="2"/>
    <s v="Convenience stores"/>
    <x v="4"/>
    <s v="Sephora"/>
    <s v="|01/01/26|"/>
    <n v="240"/>
    <n v="4.28"/>
    <n v="5.23"/>
  </r>
  <r>
    <x v="2"/>
    <s v="Convenience stores"/>
    <x v="4"/>
    <s v="Sephora"/>
    <s v="|01/01/30|"/>
    <n v="588"/>
    <n v="4.1500000000000004"/>
    <n v="5.25"/>
  </r>
  <r>
    <x v="2"/>
    <s v="Convenience stores"/>
    <x v="4"/>
    <s v="Sephora"/>
    <s v="|01/01/31|"/>
    <n v="456"/>
    <n v="4.59"/>
    <n v="5.29"/>
  </r>
  <r>
    <x v="2"/>
    <s v="Convenience stores"/>
    <x v="4"/>
    <s v="Sephora"/>
    <s v="|01/01/32|"/>
    <n v="516"/>
    <n v="4.42"/>
    <n v="5.31"/>
  </r>
  <r>
    <x v="2"/>
    <s v="Convenience stores"/>
    <x v="4"/>
    <s v="Sephora"/>
    <s v="|01/01/33|"/>
    <n v="504"/>
    <n v="4.05"/>
    <n v="5.24"/>
  </r>
  <r>
    <x v="2"/>
    <s v="Convenience stores"/>
    <x v="4"/>
    <s v="Sephora"/>
    <s v="|01/01/34|"/>
    <n v="540"/>
    <n v="4.97"/>
    <n v="5.24"/>
  </r>
  <r>
    <x v="2"/>
    <s v="Convenience stores"/>
    <x v="4"/>
    <s v="Sephora"/>
    <s v="|01/01/35|"/>
    <n v="552"/>
    <n v="4.2"/>
    <n v="5.1100000000000003"/>
  </r>
  <r>
    <x v="2"/>
    <s v="Convenience stores"/>
    <x v="4"/>
    <s v="Sephora"/>
    <s v="|01/01/36|"/>
    <n v="276"/>
    <n v="4.34"/>
    <n v="5.25"/>
  </r>
  <r>
    <x v="2"/>
    <s v="Convenience stores"/>
    <x v="4"/>
    <s v="Sephora"/>
    <s v="|01/01/37|"/>
    <n v="516"/>
    <n v="4.1399999999999997"/>
    <n v="5.05"/>
  </r>
  <r>
    <x v="2"/>
    <s v="Convenience stores"/>
    <x v="4"/>
    <s v="Sephora"/>
    <s v="|01/01/38|"/>
    <n v="384"/>
    <n v="4.53"/>
    <n v="5.26"/>
  </r>
  <r>
    <x v="2"/>
    <s v="Convenience stores"/>
    <x v="4"/>
    <s v="Sephora"/>
    <s v="|01/01/39|"/>
    <n v="276"/>
    <n v="4.5599999999999996"/>
    <n v="5.0999999999999996"/>
  </r>
  <r>
    <x v="2"/>
    <s v="Convenience stores"/>
    <x v="4"/>
    <s v="Sephora"/>
    <s v="|01/01/40|"/>
    <n v="552"/>
    <n v="4.9000000000000004"/>
    <n v="5.4"/>
  </r>
  <r>
    <x v="2"/>
    <s v="Convenience stores"/>
    <x v="4"/>
    <s v="Sephora"/>
    <s v="|01/01/41|"/>
    <n v="360"/>
    <n v="4.21"/>
    <n v="5.36"/>
  </r>
  <r>
    <x v="2"/>
    <s v="Convenience stores"/>
    <x v="4"/>
    <s v="Sephora"/>
    <s v="|01/01/42|"/>
    <n v="660"/>
    <n v="4.51"/>
    <n v="5.4"/>
  </r>
  <r>
    <x v="2"/>
    <s v="Convenience stores"/>
    <x v="2"/>
    <s v="Jacobs"/>
    <s v="|11/01/01|"/>
    <n v="7620"/>
    <n v="0.48"/>
    <n v="1.02"/>
  </r>
  <r>
    <x v="2"/>
    <s v="Convenience stores"/>
    <x v="2"/>
    <s v="Jacobs"/>
    <s v="|11/02/01|"/>
    <n v="8316"/>
    <n v="0.96"/>
    <n v="1"/>
  </r>
  <r>
    <x v="2"/>
    <s v="Convenience stores"/>
    <x v="5"/>
    <s v="Sapori di Siena"/>
    <s v="|76/01/01|"/>
    <n v="744"/>
    <n v="1.29"/>
    <n v="1.67"/>
  </r>
  <r>
    <x v="2"/>
    <s v="Convenience stores"/>
    <x v="5"/>
    <s v="Sapori di Siena"/>
    <s v="|76/01/02|"/>
    <n v="576"/>
    <n v="1.31"/>
    <n v="1.74"/>
  </r>
  <r>
    <x v="2"/>
    <s v="Convenience stores"/>
    <x v="5"/>
    <s v="Sapori di Siena"/>
    <s v="|76/01/03|"/>
    <n v="576"/>
    <n v="1.28"/>
    <n v="1.61"/>
  </r>
  <r>
    <x v="2"/>
    <s v="Convenience stores"/>
    <x v="5"/>
    <s v="Sapori di Siena"/>
    <s v="|76/01/04|"/>
    <n v="888"/>
    <n v="1.42"/>
    <n v="1.68"/>
  </r>
  <r>
    <x v="2"/>
    <s v="Convenience stores"/>
    <x v="5"/>
    <s v="Sapori di Siena"/>
    <s v="|76/01/05a|"/>
    <n v="612"/>
    <n v="1.34"/>
    <n v="1.86"/>
  </r>
  <r>
    <x v="2"/>
    <s v="Convenience stores"/>
    <x v="5"/>
    <s v="Sapori di Siena"/>
    <s v="|76/01/06a|"/>
    <n v="1116"/>
    <n v="1.49"/>
    <n v="1.75"/>
  </r>
  <r>
    <x v="2"/>
    <s v="Convenience stores"/>
    <x v="3"/>
    <s v="TIP"/>
    <s v="|26/01/04|"/>
    <n v="48"/>
    <n v="1.06"/>
    <n v="1.38"/>
  </r>
  <r>
    <x v="2"/>
    <s v="Supermarkets"/>
    <x v="15"/>
    <s v="Monzuro"/>
    <s v="|102/01/01|"/>
    <n v="1296"/>
    <n v="0.76"/>
    <n v="1"/>
  </r>
  <r>
    <x v="2"/>
    <s v="Supermarkets"/>
    <x v="15"/>
    <s v="Monzuro"/>
    <s v="|102/01/02|"/>
    <n v="1644"/>
    <n v="0.6"/>
    <n v="0.98"/>
  </r>
  <r>
    <x v="2"/>
    <s v="Supermarkets"/>
    <x v="15"/>
    <s v="Monzuro"/>
    <s v="|102/01/03|"/>
    <n v="1416"/>
    <n v="0.67"/>
    <n v="1.02"/>
  </r>
  <r>
    <x v="2"/>
    <s v="Supermarkets"/>
    <x v="15"/>
    <s v="Monzuro"/>
    <s v="|102/01/04|"/>
    <n v="1668"/>
    <n v="0.81"/>
    <n v="1.02"/>
  </r>
  <r>
    <x v="2"/>
    <s v="Supermarkets"/>
    <x v="15"/>
    <s v="Monzuro"/>
    <s v="|102/01/05|"/>
    <n v="1236"/>
    <n v="0.81"/>
    <n v="1.2"/>
  </r>
  <r>
    <x v="2"/>
    <s v="Supermarkets"/>
    <x v="15"/>
    <s v="Monzuro"/>
    <s v="|102/01/06|"/>
    <n v="1608"/>
    <n v="0.82"/>
    <n v="1.04"/>
  </r>
  <r>
    <x v="2"/>
    <s v="Supermarkets"/>
    <x v="15"/>
    <s v="Monzuro"/>
    <s v="|102/01/07|"/>
    <n v="1212"/>
    <n v="0.68"/>
    <n v="1.1599999999999999"/>
  </r>
  <r>
    <x v="2"/>
    <s v="Supermarkets"/>
    <x v="15"/>
    <s v="Monzuro"/>
    <s v="|102/01/08|"/>
    <n v="1308"/>
    <n v="0.64"/>
    <n v="1.18"/>
  </r>
  <r>
    <x v="3"/>
    <s v="Convenience stores"/>
    <x v="1"/>
    <s v="San Benedetto"/>
    <s v="|13/12/38|"/>
    <n v="600"/>
    <n v="6.06"/>
    <n v="7.4533333333333331"/>
  </r>
  <r>
    <x v="3"/>
    <s v="Convenience stores"/>
    <x v="1"/>
    <s v="San Benedetto"/>
    <s v="|13/13/98|"/>
    <n v="444"/>
    <n v="6.26"/>
    <n v="8.26"/>
  </r>
  <r>
    <x v="3"/>
    <s v="Convenience stores"/>
    <x v="1"/>
    <s v="San Benedetto"/>
    <s v="|13/13/99|"/>
    <n v="468"/>
    <n v="5.6933333333333334"/>
    <n v="7.7733333333333334"/>
  </r>
  <r>
    <x v="3"/>
    <s v="Convenience stores"/>
    <x v="2"/>
    <s v="San Benedetto"/>
    <s v="|13/01/01|"/>
    <n v="5652"/>
    <n v="0.83"/>
    <n v="0.98"/>
  </r>
  <r>
    <x v="3"/>
    <s v="Convenience stores"/>
    <x v="2"/>
    <s v="San Benedetto"/>
    <s v="|13/01/01a|"/>
    <n v="7404"/>
    <n v="1.08"/>
    <n v="0.98"/>
  </r>
  <r>
    <x v="3"/>
    <s v="Convenience stores"/>
    <x v="2"/>
    <s v="San Benedetto"/>
    <s v="|13/01/02|"/>
    <n v="9600"/>
    <n v="0.87"/>
    <n v="1.01"/>
  </r>
  <r>
    <x v="3"/>
    <s v="Convenience stores"/>
    <x v="2"/>
    <s v="San Benedetto"/>
    <s v="|13/01/03|"/>
    <n v="9108"/>
    <n v="1.06"/>
    <n v="0.95"/>
  </r>
  <r>
    <x v="3"/>
    <s v="Convenience stores"/>
    <x v="2"/>
    <s v="San Benedetto"/>
    <s v="|13/01/04|"/>
    <n v="8856"/>
    <n v="1.0900000000000001"/>
    <n v="1.08"/>
  </r>
  <r>
    <x v="3"/>
    <s v="Convenience stores"/>
    <x v="2"/>
    <s v="San Benedetto"/>
    <s v="|13/01/05|"/>
    <n v="7008"/>
    <n v="1.01"/>
    <n v="1.18"/>
  </r>
  <r>
    <x v="3"/>
    <s v="Convenience stores"/>
    <x v="2"/>
    <s v="San Benedetto"/>
    <s v="|13/01/06|"/>
    <n v="5148"/>
    <n v="0.8"/>
    <n v="0.9"/>
  </r>
  <r>
    <x v="3"/>
    <s v="Convenience stores"/>
    <x v="2"/>
    <s v="San Benedetto"/>
    <s v="|13/01/07|"/>
    <n v="5520"/>
    <n v="1.1200000000000001"/>
    <n v="1.1000000000000001"/>
  </r>
  <r>
    <x v="3"/>
    <s v="Convenience stores"/>
    <x v="2"/>
    <s v="San Benedetto"/>
    <s v="|13/01/30|"/>
    <n v="6240"/>
    <n v="0.7"/>
    <n v="0.91"/>
  </r>
  <r>
    <x v="3"/>
    <s v="Convenience stores"/>
    <x v="2"/>
    <s v="San Benedetto"/>
    <s v="|13/11/01|"/>
    <n v="7764"/>
    <n v="0.99"/>
    <n v="1.1599999999999999"/>
  </r>
  <r>
    <x v="3"/>
    <s v="Convenience stores"/>
    <x v="2"/>
    <s v="San Benedetto"/>
    <s v="|13/11/01a|"/>
    <n v="7128"/>
    <n v="1.1399999999999999"/>
    <n v="1.1000000000000001"/>
  </r>
  <r>
    <x v="3"/>
    <s v="Convenience stores"/>
    <x v="2"/>
    <s v="San Benedetto"/>
    <s v="|13/11/02|"/>
    <n v="6324"/>
    <n v="0.9"/>
    <n v="1.08"/>
  </r>
  <r>
    <x v="3"/>
    <s v="Convenience stores"/>
    <x v="2"/>
    <s v="San Benedetto"/>
    <s v="|13/11/03|"/>
    <n v="6696"/>
    <n v="0.88"/>
    <n v="1.06"/>
  </r>
  <r>
    <x v="3"/>
    <s v="Convenience stores"/>
    <x v="2"/>
    <s v="San Benedetto"/>
    <s v="|13/11/04|"/>
    <n v="7788"/>
    <n v="1.05"/>
    <n v="1.06"/>
  </r>
  <r>
    <x v="3"/>
    <s v="Convenience stores"/>
    <x v="2"/>
    <s v="San Benedetto"/>
    <s v="|13/12/01|"/>
    <n v="4944"/>
    <n v="1.02"/>
    <n v="1"/>
  </r>
  <r>
    <x v="3"/>
    <s v="Convenience stores"/>
    <x v="2"/>
    <s v="San Benedetto"/>
    <s v="|13/12/02|"/>
    <n v="8376"/>
    <n v="1.0900000000000001"/>
    <n v="1.17"/>
  </r>
  <r>
    <x v="3"/>
    <s v="Convenience stores"/>
    <x v="2"/>
    <s v="San Benedetto"/>
    <s v="|13/12/03|"/>
    <n v="8472"/>
    <n v="0.43"/>
    <n v="1.19"/>
  </r>
  <r>
    <x v="3"/>
    <s v="Convenience stores"/>
    <x v="2"/>
    <s v="San Benedetto"/>
    <s v="|13/12/04|"/>
    <n v="5856"/>
    <n v="0.94"/>
    <n v="1.07"/>
  </r>
  <r>
    <x v="3"/>
    <s v="Convenience stores"/>
    <x v="2"/>
    <s v="San Benedetto"/>
    <s v="|13/12/05|"/>
    <n v="5328"/>
    <n v="1.1599999999999999"/>
    <n v="0.97"/>
  </r>
  <r>
    <x v="3"/>
    <s v="Convenience stores"/>
    <x v="2"/>
    <s v="San Benedetto"/>
    <s v="|13/12/06|"/>
    <n v="6756"/>
    <n v="1.1499999999999999"/>
    <n v="1.03"/>
  </r>
  <r>
    <x v="3"/>
    <s v="Convenience stores"/>
    <x v="2"/>
    <s v="San Benedetto"/>
    <s v="|13/12/07|"/>
    <n v="6468"/>
    <n v="0.68"/>
    <n v="0.97"/>
  </r>
  <r>
    <x v="3"/>
    <s v="Convenience stores"/>
    <x v="2"/>
    <s v="San Benedetto"/>
    <s v="|13/12/08|"/>
    <n v="7560"/>
    <n v="0.42"/>
    <n v="1.02"/>
  </r>
  <r>
    <x v="3"/>
    <s v="Convenience stores"/>
    <x v="2"/>
    <s v="San Benedetto"/>
    <s v="|13/12/09|"/>
    <n v="6528"/>
    <n v="0.82"/>
    <n v="1.18"/>
  </r>
  <r>
    <x v="3"/>
    <s v="Convenience stores"/>
    <x v="2"/>
    <s v="San Benedetto"/>
    <s v="|13/12/10|"/>
    <n v="7404"/>
    <n v="0.65"/>
    <n v="0.91"/>
  </r>
  <r>
    <x v="3"/>
    <s v="Convenience stores"/>
    <x v="2"/>
    <s v="San Benedetto"/>
    <s v="|13/12/11|"/>
    <n v="8784"/>
    <n v="1.1399999999999999"/>
    <n v="1.04"/>
  </r>
  <r>
    <x v="3"/>
    <s v="Convenience stores"/>
    <x v="2"/>
    <s v="San Benedetto"/>
    <s v="|13/12/12|"/>
    <n v="7500"/>
    <n v="1.17"/>
    <n v="0.96"/>
  </r>
  <r>
    <x v="3"/>
    <s v="Convenience stores"/>
    <x v="2"/>
    <s v="San Benedetto"/>
    <s v="|13/12/13|"/>
    <n v="7596"/>
    <n v="0.44"/>
    <n v="1.1100000000000001"/>
  </r>
  <r>
    <x v="3"/>
    <s v="Convenience stores"/>
    <x v="2"/>
    <s v="San Benedetto"/>
    <s v="|13/12/14|"/>
    <n v="8160"/>
    <n v="1.05"/>
    <n v="1.1299999999999999"/>
  </r>
  <r>
    <x v="3"/>
    <s v="Convenience stores"/>
    <x v="2"/>
    <s v="San Benedetto"/>
    <s v="|13/12/15|"/>
    <n v="7848"/>
    <n v="0.91"/>
    <n v="0.91"/>
  </r>
  <r>
    <x v="3"/>
    <s v="Convenience stores"/>
    <x v="2"/>
    <s v="San Benedetto"/>
    <s v="|13/12/16|"/>
    <n v="9264"/>
    <n v="0.8"/>
    <n v="1.0900000000000001"/>
  </r>
  <r>
    <x v="3"/>
    <s v="Convenience stores"/>
    <x v="2"/>
    <s v="San Benedetto"/>
    <s v="|13/12/17|"/>
    <n v="6792"/>
    <n v="0.49"/>
    <n v="1.03"/>
  </r>
  <r>
    <x v="3"/>
    <s v="Convenience stores"/>
    <x v="2"/>
    <s v="San Benedetto"/>
    <s v="|13/12/18|"/>
    <n v="6252"/>
    <n v="0.61"/>
    <n v="1.19"/>
  </r>
  <r>
    <x v="3"/>
    <s v="Convenience stores"/>
    <x v="2"/>
    <s v="San Benedetto"/>
    <s v="|13/12/19|"/>
    <n v="5604"/>
    <n v="0.47"/>
    <n v="1.18"/>
  </r>
  <r>
    <x v="3"/>
    <s v="Convenience stores"/>
    <x v="2"/>
    <s v="San Benedetto"/>
    <s v="|13/12/20|"/>
    <n v="6492"/>
    <n v="1.03"/>
    <n v="0.9"/>
  </r>
  <r>
    <x v="3"/>
    <s v="Convenience stores"/>
    <x v="2"/>
    <s v="San Benedetto"/>
    <s v="|13/12/21|"/>
    <n v="8040"/>
    <n v="0.56999999999999995"/>
    <n v="1.1200000000000001"/>
  </r>
  <r>
    <x v="3"/>
    <s v="Convenience stores"/>
    <x v="2"/>
    <s v="San Benedetto"/>
    <s v="|13/12/22|"/>
    <n v="4980"/>
    <n v="0.88"/>
    <n v="0.96"/>
  </r>
  <r>
    <x v="3"/>
    <s v="Convenience stores"/>
    <x v="2"/>
    <s v="San Benedetto"/>
    <s v="|13/12/23|"/>
    <n v="6240"/>
    <n v="0.82"/>
    <n v="1.03"/>
  </r>
  <r>
    <x v="3"/>
    <s v="Convenience stores"/>
    <x v="2"/>
    <s v="San Benedetto"/>
    <s v="|13/12/24|"/>
    <n v="7824"/>
    <n v="0.88"/>
    <n v="1.17"/>
  </r>
  <r>
    <x v="3"/>
    <s v="Convenience stores"/>
    <x v="2"/>
    <s v="San Benedetto"/>
    <s v="|13/12/25|"/>
    <n v="8424"/>
    <n v="0.81"/>
    <n v="1.1100000000000001"/>
  </r>
  <r>
    <x v="3"/>
    <s v="Convenience stores"/>
    <x v="2"/>
    <s v="San Benedetto"/>
    <s v="|13/12/26|"/>
    <n v="5184"/>
    <n v="1.06"/>
    <n v="1.1100000000000001"/>
  </r>
  <r>
    <x v="3"/>
    <s v="Convenience stores"/>
    <x v="2"/>
    <s v="San Benedetto"/>
    <s v="|13/12/27|"/>
    <n v="5652"/>
    <n v="1.01"/>
    <n v="1.01"/>
  </r>
  <r>
    <x v="3"/>
    <s v="Convenience stores"/>
    <x v="2"/>
    <s v="San Benedetto"/>
    <s v="|13/12/28|"/>
    <n v="8064"/>
    <n v="0.49"/>
    <n v="1.1200000000000001"/>
  </r>
  <r>
    <x v="3"/>
    <s v="Convenience stores"/>
    <x v="2"/>
    <s v="San Benedetto"/>
    <s v="|13/12/29|"/>
    <n v="5352"/>
    <n v="0.91"/>
    <n v="0.97"/>
  </r>
  <r>
    <x v="3"/>
    <s v="Convenience stores"/>
    <x v="2"/>
    <s v="San Benedetto"/>
    <s v="|13/12/30|"/>
    <n v="6996"/>
    <n v="0.98"/>
    <n v="1.19"/>
  </r>
  <r>
    <x v="3"/>
    <s v="Convenience stores"/>
    <x v="2"/>
    <s v="San Benedetto"/>
    <s v="|13/12/31|"/>
    <n v="8040"/>
    <n v="0.86"/>
    <n v="1.1000000000000001"/>
  </r>
  <r>
    <x v="3"/>
    <s v="Convenience stores"/>
    <x v="2"/>
    <s v="San Benedetto"/>
    <s v="|13/12/32|"/>
    <n v="5856"/>
    <n v="0.51"/>
    <n v="1.01"/>
  </r>
  <r>
    <x v="3"/>
    <s v="Convenience stores"/>
    <x v="2"/>
    <s v="San Benedetto"/>
    <s v="|13/12/33|"/>
    <n v="7836"/>
    <n v="1.2"/>
    <n v="0.93"/>
  </r>
  <r>
    <x v="3"/>
    <s v="Convenience stores"/>
    <x v="2"/>
    <s v="San Benedetto"/>
    <s v="|13/12/34|"/>
    <n v="7248"/>
    <n v="0.75"/>
    <n v="1.17"/>
  </r>
  <r>
    <x v="3"/>
    <s v="Convenience stores"/>
    <x v="2"/>
    <s v="San Benedetto"/>
    <s v="|13/12/35|"/>
    <n v="6180"/>
    <n v="0.51"/>
    <n v="1.0900000000000001"/>
  </r>
  <r>
    <x v="3"/>
    <s v="Convenience stores"/>
    <x v="2"/>
    <s v="San Benedetto"/>
    <s v="|13/12/36|"/>
    <n v="5004"/>
    <n v="0.53"/>
    <n v="1.17"/>
  </r>
  <r>
    <x v="3"/>
    <s v="Convenience stores"/>
    <x v="2"/>
    <s v="San Benedetto"/>
    <s v="|13/12/37|"/>
    <n v="7224"/>
    <n v="1.1200000000000001"/>
    <n v="1.1000000000000001"/>
  </r>
  <r>
    <x v="3"/>
    <s v="Convenience stores"/>
    <x v="2"/>
    <s v="San Benedetto"/>
    <s v="|13/12/39|"/>
    <n v="6168"/>
    <n v="0.78"/>
    <n v="0.9"/>
  </r>
  <r>
    <x v="3"/>
    <s v="Convenience stores"/>
    <x v="2"/>
    <s v="San Benedetto"/>
    <s v="|13/12/40|"/>
    <n v="8028"/>
    <n v="0.85"/>
    <n v="1.02"/>
  </r>
  <r>
    <x v="3"/>
    <s v="Convenience stores"/>
    <x v="2"/>
    <s v="San Benedetto"/>
    <s v="|13/12/41|"/>
    <n v="6000"/>
    <n v="0.54"/>
    <n v="0.98"/>
  </r>
  <r>
    <x v="3"/>
    <s v="Convenience stores"/>
    <x v="2"/>
    <s v="San Benedetto"/>
    <s v="|13/12/42|"/>
    <n v="7824"/>
    <n v="0.52"/>
    <n v="1"/>
  </r>
  <r>
    <x v="3"/>
    <s v="Convenience stores"/>
    <x v="2"/>
    <s v="San Benedetto"/>
    <s v="|13/12/43|"/>
    <n v="6816"/>
    <n v="0.69"/>
    <n v="1.07"/>
  </r>
  <r>
    <x v="3"/>
    <s v="Convenience stores"/>
    <x v="2"/>
    <s v="San Benedetto"/>
    <s v="|13/12/44|"/>
    <n v="5592"/>
    <n v="0.8"/>
    <n v="1.1399999999999999"/>
  </r>
  <r>
    <x v="3"/>
    <s v="Convenience stores"/>
    <x v="2"/>
    <s v="San Benedetto"/>
    <s v="|13/12/45|"/>
    <n v="9372"/>
    <n v="1.1200000000000001"/>
    <n v="1.1200000000000001"/>
  </r>
  <r>
    <x v="3"/>
    <s v="Convenience stores"/>
    <x v="2"/>
    <s v="San Benedetto"/>
    <s v="|13/12/46|"/>
    <n v="7908"/>
    <n v="0.42"/>
    <n v="1.07"/>
  </r>
  <r>
    <x v="3"/>
    <s v="Convenience stores"/>
    <x v="2"/>
    <s v="San Benedetto"/>
    <s v="|13/12/47|"/>
    <n v="8004"/>
    <n v="1.03"/>
    <n v="1.08"/>
  </r>
  <r>
    <x v="3"/>
    <s v="Convenience stores"/>
    <x v="2"/>
    <s v="San Benedetto"/>
    <s v="|13/12/48|"/>
    <n v="6756"/>
    <n v="0.52"/>
    <n v="1.1599999999999999"/>
  </r>
  <r>
    <x v="3"/>
    <s v="Convenience stores"/>
    <x v="2"/>
    <s v="San Benedetto"/>
    <s v="|13/12/49|"/>
    <n v="4824"/>
    <n v="0.86"/>
    <n v="1.1299999999999999"/>
  </r>
  <r>
    <x v="3"/>
    <s v="Convenience stores"/>
    <x v="2"/>
    <s v="San Benedetto"/>
    <s v="|13/12/51|"/>
    <n v="5352"/>
    <n v="1.1299999999999999"/>
    <n v="0.92"/>
  </r>
  <r>
    <x v="3"/>
    <s v="Convenience stores"/>
    <x v="2"/>
    <s v="San Benedetto"/>
    <s v="|13/12/52|"/>
    <n v="7752"/>
    <n v="1.19"/>
    <n v="1.1100000000000001"/>
  </r>
  <r>
    <x v="3"/>
    <s v="Convenience stores"/>
    <x v="2"/>
    <s v="San Benedetto"/>
    <s v="|13/12/53|"/>
    <n v="7740"/>
    <n v="0.9"/>
    <n v="0.97"/>
  </r>
  <r>
    <x v="3"/>
    <s v="Convenience stores"/>
    <x v="2"/>
    <s v="San Benedetto"/>
    <s v="|13/12/54|"/>
    <n v="8052"/>
    <n v="1.1299999999999999"/>
    <n v="1"/>
  </r>
  <r>
    <x v="3"/>
    <s v="Convenience stores"/>
    <x v="2"/>
    <s v="San Benedetto"/>
    <s v="|13/12/55|"/>
    <n v="8268"/>
    <n v="1.18"/>
    <n v="0.9"/>
  </r>
  <r>
    <x v="3"/>
    <s v="Convenience stores"/>
    <x v="2"/>
    <s v="San Benedetto"/>
    <s v="|13/12/56|"/>
    <n v="5328"/>
    <n v="0.66"/>
    <n v="0.99"/>
  </r>
  <r>
    <x v="3"/>
    <s v="Convenience stores"/>
    <x v="2"/>
    <s v="San Benedetto"/>
    <s v="|13/12/57|"/>
    <n v="9096"/>
    <n v="0.93"/>
    <n v="1.02"/>
  </r>
  <r>
    <x v="3"/>
    <s v="Convenience stores"/>
    <x v="2"/>
    <s v="San Benedetto"/>
    <s v="|13/12/58|"/>
    <n v="8868"/>
    <n v="0.41"/>
    <n v="1.08"/>
  </r>
  <r>
    <x v="3"/>
    <s v="Convenience stores"/>
    <x v="2"/>
    <s v="San Benedetto"/>
    <s v="|13/12/59|"/>
    <n v="7056"/>
    <n v="0.43"/>
    <n v="1.08"/>
  </r>
  <r>
    <x v="3"/>
    <s v="Convenience stores"/>
    <x v="2"/>
    <s v="San Benedetto"/>
    <s v="|13/12/60|"/>
    <n v="5784"/>
    <n v="0.77"/>
    <n v="0.9"/>
  </r>
  <r>
    <x v="3"/>
    <s v="Convenience stores"/>
    <x v="2"/>
    <s v="San Benedetto"/>
    <s v="|13/12/61|"/>
    <n v="6948"/>
    <n v="0.55000000000000004"/>
    <n v="1.1200000000000001"/>
  </r>
  <r>
    <x v="3"/>
    <s v="Convenience stores"/>
    <x v="2"/>
    <s v="San Benedetto"/>
    <s v="|13/12/62|"/>
    <n v="7008"/>
    <n v="0.65"/>
    <n v="0.98"/>
  </r>
  <r>
    <x v="3"/>
    <s v="Convenience stores"/>
    <x v="2"/>
    <s v="San Benedetto"/>
    <s v="|13/12/63|"/>
    <n v="6600"/>
    <n v="1.07"/>
    <n v="1.05"/>
  </r>
  <r>
    <x v="3"/>
    <s v="Convenience stores"/>
    <x v="2"/>
    <s v="San Benedetto"/>
    <s v="|13/12/64|"/>
    <n v="8136"/>
    <n v="1.1000000000000001"/>
    <n v="0.95"/>
  </r>
  <r>
    <x v="3"/>
    <s v="Convenience stores"/>
    <x v="2"/>
    <s v="San Benedetto"/>
    <s v="|13/12/65|"/>
    <n v="5388"/>
    <n v="0.69"/>
    <n v="1.2"/>
  </r>
  <r>
    <x v="3"/>
    <s v="Convenience stores"/>
    <x v="2"/>
    <s v="San Benedetto"/>
    <s v="|13/12/66|"/>
    <n v="6084"/>
    <n v="1.1299999999999999"/>
    <n v="1.06"/>
  </r>
  <r>
    <x v="3"/>
    <s v="Convenience stores"/>
    <x v="2"/>
    <s v="San Benedetto"/>
    <s v="|13/12/67|"/>
    <n v="8616"/>
    <n v="0.4"/>
    <n v="1.0900000000000001"/>
  </r>
  <r>
    <x v="3"/>
    <s v="Convenience stores"/>
    <x v="2"/>
    <s v="San Benedetto"/>
    <s v="|13/12/68|"/>
    <n v="7176"/>
    <n v="0.8"/>
    <n v="0.9"/>
  </r>
  <r>
    <x v="3"/>
    <s v="Convenience stores"/>
    <x v="2"/>
    <s v="San Benedetto"/>
    <s v="|13/12/69|"/>
    <n v="8808"/>
    <n v="0.67"/>
    <n v="1.1599999999999999"/>
  </r>
  <r>
    <x v="3"/>
    <s v="Convenience stores"/>
    <x v="2"/>
    <s v="San Benedetto"/>
    <s v="|13/12/70|"/>
    <n v="6108"/>
    <n v="0.43"/>
    <n v="1.05"/>
  </r>
  <r>
    <x v="3"/>
    <s v="Convenience stores"/>
    <x v="2"/>
    <s v="San Benedetto"/>
    <s v="|13/12/71|"/>
    <n v="5124"/>
    <n v="1.01"/>
    <n v="1.07"/>
  </r>
  <r>
    <x v="3"/>
    <s v="Convenience stores"/>
    <x v="2"/>
    <s v="San Benedetto"/>
    <s v="|13/12/72|"/>
    <n v="6012"/>
    <n v="0.44"/>
    <n v="0.9"/>
  </r>
  <r>
    <x v="3"/>
    <s v="Convenience stores"/>
    <x v="2"/>
    <s v="San Benedetto"/>
    <s v="|13/12/73|"/>
    <n v="6552"/>
    <n v="0.56000000000000005"/>
    <n v="1.05"/>
  </r>
  <r>
    <x v="3"/>
    <s v="Convenience stores"/>
    <x v="2"/>
    <s v="San Benedetto"/>
    <s v="|13/12/74|"/>
    <n v="5760"/>
    <n v="0.41"/>
    <n v="1.07"/>
  </r>
  <r>
    <x v="3"/>
    <s v="Convenience stores"/>
    <x v="2"/>
    <s v="San Benedetto"/>
    <s v="|13/12/75|"/>
    <n v="9036"/>
    <n v="0.63"/>
    <n v="1.05"/>
  </r>
  <r>
    <x v="3"/>
    <s v="Convenience stores"/>
    <x v="2"/>
    <s v="San Benedetto"/>
    <s v="|13/12/76|"/>
    <n v="6900"/>
    <n v="0.98"/>
    <n v="1.17"/>
  </r>
  <r>
    <x v="3"/>
    <s v="Convenience stores"/>
    <x v="2"/>
    <s v="San Benedetto"/>
    <s v="|13/12/77|"/>
    <n v="6108"/>
    <n v="0.74"/>
    <n v="1.18"/>
  </r>
  <r>
    <x v="3"/>
    <s v="Convenience stores"/>
    <x v="2"/>
    <s v="San Benedetto"/>
    <s v="|13/12/78|"/>
    <n v="8088"/>
    <n v="0.95"/>
    <n v="1"/>
  </r>
  <r>
    <x v="3"/>
    <s v="Convenience stores"/>
    <x v="2"/>
    <s v="San Benedetto"/>
    <s v="|13/12/79|"/>
    <n v="9444"/>
    <n v="0.95"/>
    <n v="1.1000000000000001"/>
  </r>
  <r>
    <x v="3"/>
    <s v="Convenience stores"/>
    <x v="2"/>
    <s v="San Benedetto"/>
    <s v="|13/12/80|"/>
    <n v="9360"/>
    <n v="0.72"/>
    <n v="0.91"/>
  </r>
  <r>
    <x v="3"/>
    <s v="Convenience stores"/>
    <x v="2"/>
    <s v="San Benedetto"/>
    <s v="|13/12/81|"/>
    <n v="9048"/>
    <n v="0.44"/>
    <n v="1.08"/>
  </r>
  <r>
    <x v="3"/>
    <s v="Convenience stores"/>
    <x v="2"/>
    <s v="San Benedetto"/>
    <s v="|13/12/82|"/>
    <n v="8304"/>
    <n v="1.08"/>
    <n v="1.19"/>
  </r>
  <r>
    <x v="3"/>
    <s v="Convenience stores"/>
    <x v="2"/>
    <s v="San Benedetto"/>
    <s v="|13/12/83|"/>
    <n v="5460"/>
    <n v="0.69"/>
    <n v="1.01"/>
  </r>
  <r>
    <x v="3"/>
    <s v="Convenience stores"/>
    <x v="2"/>
    <s v="San Benedetto"/>
    <s v="|13/12/84|"/>
    <n v="5328"/>
    <n v="1.05"/>
    <n v="0.93"/>
  </r>
  <r>
    <x v="3"/>
    <s v="Convenience stores"/>
    <x v="2"/>
    <s v="San Benedetto"/>
    <s v="|13/12/85|"/>
    <n v="5172"/>
    <n v="0.76"/>
    <n v="0.95"/>
  </r>
  <r>
    <x v="3"/>
    <s v="Convenience stores"/>
    <x v="2"/>
    <s v="San Benedetto"/>
    <s v="|13/12/86|"/>
    <n v="7128"/>
    <n v="1.1200000000000001"/>
    <n v="1.0900000000000001"/>
  </r>
  <r>
    <x v="3"/>
    <s v="Convenience stores"/>
    <x v="2"/>
    <s v="San Benedetto"/>
    <s v="|13/12/88|"/>
    <n v="8928"/>
    <n v="0.4"/>
    <n v="1.1200000000000001"/>
  </r>
  <r>
    <x v="3"/>
    <s v="Convenience stores"/>
    <x v="2"/>
    <s v="San Benedetto"/>
    <s v="|13/12/89|"/>
    <n v="6180"/>
    <n v="0.97"/>
    <n v="0.95"/>
  </r>
  <r>
    <x v="3"/>
    <s v="Convenience stores"/>
    <x v="2"/>
    <s v="San Benedetto"/>
    <s v="|13/12/90|"/>
    <n v="7188"/>
    <n v="0.76"/>
    <n v="0.96"/>
  </r>
  <r>
    <x v="3"/>
    <s v="Convenience stores"/>
    <x v="2"/>
    <s v="San Benedetto"/>
    <s v="|13/12/91|"/>
    <n v="8448"/>
    <n v="0.95"/>
    <n v="1.03"/>
  </r>
  <r>
    <x v="3"/>
    <s v="Convenience stores"/>
    <x v="2"/>
    <s v="San Benedetto"/>
    <s v="|13/12/92|"/>
    <n v="7392"/>
    <n v="0.5"/>
    <n v="1.1000000000000001"/>
  </r>
  <r>
    <x v="3"/>
    <s v="Convenience stores"/>
    <x v="2"/>
    <s v="San Benedetto"/>
    <s v="|13/12/93|"/>
    <n v="7428"/>
    <n v="0.75"/>
    <n v="1.1599999999999999"/>
  </r>
  <r>
    <x v="3"/>
    <s v="Convenience stores"/>
    <x v="2"/>
    <s v="San Benedetto"/>
    <s v="|13/12/94|"/>
    <n v="7956"/>
    <n v="0.65"/>
    <n v="1.05"/>
  </r>
  <r>
    <x v="3"/>
    <s v="Convenience stores"/>
    <x v="2"/>
    <s v="San Benedetto"/>
    <s v="|13/12/95|"/>
    <n v="8796"/>
    <n v="1.07"/>
    <n v="0.93"/>
  </r>
  <r>
    <x v="3"/>
    <s v="Convenience stores"/>
    <x v="2"/>
    <s v="San Benedetto"/>
    <s v="|13/12/96|"/>
    <n v="6936"/>
    <n v="0.65"/>
    <n v="1.06"/>
  </r>
  <r>
    <x v="3"/>
    <s v="Convenience stores"/>
    <x v="2"/>
    <s v="San Benedetto"/>
    <s v="|13/12/97|"/>
    <n v="7968"/>
    <n v="0.67"/>
    <n v="1.06"/>
  </r>
  <r>
    <x v="3"/>
    <s v="Convenience stores"/>
    <x v="2"/>
    <s v="San Benedetto"/>
    <s v="|13/12/98|"/>
    <n v="7332"/>
    <n v="0.62"/>
    <n v="1.04"/>
  </r>
  <r>
    <x v="3"/>
    <s v="Convenience stores"/>
    <x v="2"/>
    <s v="San Benedetto"/>
    <s v="|13/12/99|"/>
    <n v="8328"/>
    <n v="0.72"/>
    <n v="0.98"/>
  </r>
  <r>
    <x v="3"/>
    <s v="Convenience stores"/>
    <x v="2"/>
    <s v="San Benedetto"/>
    <s v="|13/13/23|"/>
    <n v="8100"/>
    <n v="1.1299999999999999"/>
    <n v="0.93"/>
  </r>
  <r>
    <x v="3"/>
    <s v="Convenience stores"/>
    <x v="2"/>
    <s v="San Benedetto"/>
    <s v="|13/13/25|"/>
    <n v="7788"/>
    <n v="0.86"/>
    <n v="1.17"/>
  </r>
  <r>
    <x v="3"/>
    <s v="Convenience stores"/>
    <x v="2"/>
    <s v="San Benedetto"/>
    <s v="|13/13/26|"/>
    <n v="9372"/>
    <n v="0.42"/>
    <n v="1.06"/>
  </r>
  <r>
    <x v="3"/>
    <s v="Convenience stores"/>
    <x v="2"/>
    <s v="San Benedetto"/>
    <s v="|13/13/27|"/>
    <n v="7164"/>
    <n v="1.01"/>
    <n v="0.96"/>
  </r>
  <r>
    <x v="3"/>
    <s v="Convenience stores"/>
    <x v="2"/>
    <s v="San Benedetto"/>
    <s v="|13/13/28|"/>
    <n v="7344"/>
    <n v="0.62"/>
    <n v="1.06"/>
  </r>
  <r>
    <x v="3"/>
    <s v="Convenience stores"/>
    <x v="2"/>
    <s v="San Benedetto"/>
    <s v="|13/13/29|"/>
    <n v="7272"/>
    <n v="1.19"/>
    <n v="1.04"/>
  </r>
  <r>
    <x v="3"/>
    <s v="Convenience stores"/>
    <x v="2"/>
    <s v="San Benedetto"/>
    <s v="|13/13/30|"/>
    <n v="6912"/>
    <n v="0.85"/>
    <n v="1.1499999999999999"/>
  </r>
  <r>
    <x v="3"/>
    <s v="Convenience stores"/>
    <x v="2"/>
    <s v="San Benedetto"/>
    <s v="|13/13/31|"/>
    <n v="6384"/>
    <n v="0.74"/>
    <n v="1.1499999999999999"/>
  </r>
  <r>
    <x v="3"/>
    <s v="Convenience stores"/>
    <x v="2"/>
    <s v="San Benedetto"/>
    <s v="|13/13/32|"/>
    <n v="5976"/>
    <n v="0.5"/>
    <n v="1.03"/>
  </r>
  <r>
    <x v="3"/>
    <s v="Convenience stores"/>
    <x v="2"/>
    <s v="San Benedetto"/>
    <s v="|13/13/33|"/>
    <n v="4824"/>
    <n v="0.52"/>
    <n v="1.17"/>
  </r>
  <r>
    <x v="3"/>
    <s v="Convenience stores"/>
    <x v="2"/>
    <s v="San Benedetto"/>
    <s v="|13/13/34|"/>
    <n v="5136"/>
    <n v="0.84"/>
    <n v="1.1399999999999999"/>
  </r>
  <r>
    <x v="3"/>
    <s v="Convenience stores"/>
    <x v="2"/>
    <s v="San Benedetto"/>
    <s v="|13/13/35|"/>
    <n v="7800"/>
    <n v="0.95"/>
    <n v="1.1100000000000001"/>
  </r>
  <r>
    <x v="3"/>
    <s v="Convenience stores"/>
    <x v="2"/>
    <s v="San Benedetto"/>
    <s v="|13/13/36|"/>
    <n v="7224"/>
    <n v="1.0900000000000001"/>
    <n v="1.1200000000000001"/>
  </r>
  <r>
    <x v="3"/>
    <s v="Convenience stores"/>
    <x v="2"/>
    <s v="San Benedetto"/>
    <s v="|13/13/37|"/>
    <n v="6468"/>
    <n v="1.04"/>
    <n v="1.01"/>
  </r>
  <r>
    <x v="3"/>
    <s v="Convenience stores"/>
    <x v="2"/>
    <s v="San Benedetto"/>
    <s v="|13/13/38|"/>
    <n v="6180"/>
    <n v="0.8"/>
    <n v="1.1299999999999999"/>
  </r>
  <r>
    <x v="3"/>
    <s v="Convenience stores"/>
    <x v="2"/>
    <s v="San Benedetto"/>
    <s v="|13/13/39|"/>
    <n v="5340"/>
    <n v="0.5"/>
    <n v="1.05"/>
  </r>
  <r>
    <x v="3"/>
    <s v="Convenience stores"/>
    <x v="2"/>
    <s v="San Benedetto"/>
    <s v="|13/13/40|"/>
    <n v="4800"/>
    <n v="0.49"/>
    <n v="1.04"/>
  </r>
  <r>
    <x v="3"/>
    <s v="Convenience stores"/>
    <x v="2"/>
    <s v="San Benedetto"/>
    <s v="|13/13/41|"/>
    <n v="7176"/>
    <n v="1"/>
    <n v="1.03"/>
  </r>
  <r>
    <x v="3"/>
    <s v="Convenience stores"/>
    <x v="2"/>
    <s v="San Benedetto"/>
    <s v="|13/13/43|"/>
    <n v="7176"/>
    <n v="1.19"/>
    <n v="1.1000000000000001"/>
  </r>
  <r>
    <x v="3"/>
    <s v="Convenience stores"/>
    <x v="2"/>
    <s v="San Benedetto"/>
    <s v="|13/99/01|"/>
    <n v="9336"/>
    <n v="1.17"/>
    <n v="1.02"/>
  </r>
  <r>
    <x v="3"/>
    <s v="Convenience stores"/>
    <x v="2"/>
    <s v="San Benedetto"/>
    <s v="|13/99/02|"/>
    <n v="6108"/>
    <n v="0.56000000000000005"/>
    <n v="0.93"/>
  </r>
  <r>
    <x v="3"/>
    <s v="Convenience stores"/>
    <x v="2"/>
    <s v="San Benedetto"/>
    <s v="|13/99/03|"/>
    <n v="5496"/>
    <n v="0.49"/>
    <n v="1"/>
  </r>
  <r>
    <x v="3"/>
    <s v="Convenience stores"/>
    <x v="2"/>
    <s v="San Benedetto"/>
    <s v="|13/99/04|"/>
    <n v="5460"/>
    <n v="1.07"/>
    <n v="1.1599999999999999"/>
  </r>
  <r>
    <x v="3"/>
    <s v="Convenience stores"/>
    <x v="2"/>
    <s v="San Benedetto"/>
    <s v="|13/99/05|"/>
    <n v="8580"/>
    <n v="0.52"/>
    <n v="1.05"/>
  </r>
  <r>
    <x v="3"/>
    <s v="Convenience stores"/>
    <x v="2"/>
    <s v="San Benedetto"/>
    <s v="|13/99/06|"/>
    <n v="6732"/>
    <n v="0.6"/>
    <n v="1.01"/>
  </r>
  <r>
    <x v="3"/>
    <s v="Convenience stores"/>
    <x v="2"/>
    <s v="San Benedetto"/>
    <s v="|13/99/07|"/>
    <n v="9384"/>
    <n v="1.0900000000000001"/>
    <n v="0.95"/>
  </r>
  <r>
    <x v="3"/>
    <s v="Convenience stores"/>
    <x v="2"/>
    <s v="San Benedetto"/>
    <s v="|13/99/08|"/>
    <n v="4920"/>
    <n v="0.84"/>
    <n v="1.18"/>
  </r>
  <r>
    <x v="3"/>
    <s v="Convenience stores"/>
    <x v="2"/>
    <s v="San Benedetto"/>
    <s v="|13/99/09|"/>
    <n v="8976"/>
    <n v="0.73"/>
    <n v="1.08"/>
  </r>
  <r>
    <x v="3"/>
    <s v="Convenience stores"/>
    <x v="2"/>
    <s v="San Benedetto"/>
    <s v="|13/99/10|"/>
    <n v="9372"/>
    <n v="0.69"/>
    <n v="1.01"/>
  </r>
  <r>
    <x v="3"/>
    <s v="Convenience stores"/>
    <x v="2"/>
    <s v="San Benedetto"/>
    <s v="|13/99/11|"/>
    <n v="8040"/>
    <n v="0.55000000000000004"/>
    <n v="1.04"/>
  </r>
  <r>
    <x v="3"/>
    <s v="Convenience stores"/>
    <x v="2"/>
    <s v="San Benedetto"/>
    <s v="|13/99/14|"/>
    <n v="8388"/>
    <n v="1.01"/>
    <n v="1.04"/>
  </r>
  <r>
    <x v="3"/>
    <s v="Convenience stores"/>
    <x v="2"/>
    <s v="San Benedetto"/>
    <s v="|13/99/15|"/>
    <n v="5976"/>
    <n v="0.76"/>
    <n v="1"/>
  </r>
  <r>
    <x v="3"/>
    <s v="Convenience stores"/>
    <x v="2"/>
    <s v="San Benedetto"/>
    <s v="|13/99/16|"/>
    <n v="5076"/>
    <n v="1.19"/>
    <n v="0.99"/>
  </r>
  <r>
    <x v="3"/>
    <s v="Convenience stores"/>
    <x v="2"/>
    <s v="San Benedetto"/>
    <s v="|13/99/17|"/>
    <n v="6612"/>
    <n v="0.82"/>
    <n v="1.02"/>
  </r>
  <r>
    <x v="3"/>
    <s v="Convenience stores"/>
    <x v="2"/>
    <s v="San Benedetto"/>
    <s v="|13/99/18|"/>
    <n v="6216"/>
    <n v="0.85"/>
    <n v="0.9"/>
  </r>
  <r>
    <x v="3"/>
    <s v="Convenience stores"/>
    <x v="2"/>
    <s v="San Benedetto"/>
    <s v="|13/99/19|"/>
    <n v="9036"/>
    <n v="0.54"/>
    <n v="0.94"/>
  </r>
  <r>
    <x v="3"/>
    <s v="Convenience stores"/>
    <x v="2"/>
    <s v="San Benedetto"/>
    <s v="|13/99/20|"/>
    <n v="7620"/>
    <n v="0.8"/>
    <n v="0.92"/>
  </r>
  <r>
    <x v="3"/>
    <s v="Convenience stores"/>
    <x v="2"/>
    <s v="San Benedetto"/>
    <s v="|13/99/21|"/>
    <n v="9468"/>
    <n v="0.88"/>
    <n v="0.99"/>
  </r>
  <r>
    <x v="3"/>
    <s v="Convenience stores"/>
    <x v="2"/>
    <s v="San Benedetto"/>
    <s v="|13/99/30|"/>
    <n v="6852"/>
    <n v="0.9"/>
    <n v="1.1299999999999999"/>
  </r>
  <r>
    <x v="3"/>
    <s v="Convenience stores"/>
    <x v="2"/>
    <s v="San Benedetto"/>
    <s v="|13/99/31|"/>
    <n v="4824"/>
    <n v="0.88"/>
    <n v="1.19"/>
  </r>
  <r>
    <x v="3"/>
    <s v="Convenience stores"/>
    <x v="2"/>
    <s v="San Benedetto"/>
    <s v="|13/99/51|"/>
    <n v="8988"/>
    <n v="0.73"/>
    <n v="1.06"/>
  </r>
  <r>
    <x v="3"/>
    <s v="Convenience stores"/>
    <x v="3"/>
    <s v="San Benedetto"/>
    <s v="|13/05/01|"/>
    <n v="204"/>
    <n v="1.06"/>
    <n v="1.27"/>
  </r>
  <r>
    <x v="3"/>
    <s v="Convenience stores"/>
    <x v="3"/>
    <s v="San Benedetto"/>
    <s v="|13/05/02|"/>
    <n v="156"/>
    <n v="1"/>
    <n v="1.21"/>
  </r>
  <r>
    <x v="3"/>
    <s v="Convenience stores"/>
    <x v="3"/>
    <s v="San Benedetto"/>
    <s v="|13/05/04|"/>
    <n v="60"/>
    <n v="1.04"/>
    <n v="1.34"/>
  </r>
  <r>
    <x v="3"/>
    <s v="Convenience stores"/>
    <x v="4"/>
    <s v="San Benedetto"/>
    <s v="|13/12/87|"/>
    <n v="648"/>
    <n v="4.01"/>
    <n v="5.13"/>
  </r>
  <r>
    <x v="3"/>
    <s v="Convenience stores"/>
    <x v="4"/>
    <s v="San Benedetto"/>
    <s v="|13/13/01|"/>
    <n v="396"/>
    <n v="4.6500000000000004"/>
    <n v="5.37"/>
  </r>
  <r>
    <x v="3"/>
    <s v="Convenience stores"/>
    <x v="4"/>
    <s v="San Benedetto"/>
    <s v="|13/13/02|"/>
    <n v="456"/>
    <n v="4.88"/>
    <n v="5.29"/>
  </r>
  <r>
    <x v="3"/>
    <s v="Convenience stores"/>
    <x v="4"/>
    <s v="San Benedetto"/>
    <s v="|13/13/03|"/>
    <n v="564"/>
    <n v="4.42"/>
    <n v="5.2"/>
  </r>
  <r>
    <x v="3"/>
    <s v="Convenience stores"/>
    <x v="4"/>
    <s v="San Benedetto"/>
    <s v="|13/13/04|"/>
    <n v="420"/>
    <n v="4.1500000000000004"/>
    <n v="5.27"/>
  </r>
  <r>
    <x v="3"/>
    <s v="Convenience stores"/>
    <x v="4"/>
    <s v="San Benedetto"/>
    <s v="|13/13/05|"/>
    <n v="636"/>
    <n v="5"/>
    <n v="5.17"/>
  </r>
  <r>
    <x v="3"/>
    <s v="Convenience stores"/>
    <x v="4"/>
    <s v="San Benedetto"/>
    <s v="|13/13/06|"/>
    <n v="396"/>
    <n v="4.41"/>
    <n v="5.15"/>
  </r>
  <r>
    <x v="3"/>
    <s v="Convenience stores"/>
    <x v="4"/>
    <s v="San Benedetto"/>
    <s v="|13/13/07|"/>
    <n v="360"/>
    <n v="4.82"/>
    <n v="5.14"/>
  </r>
  <r>
    <x v="3"/>
    <s v="Convenience stores"/>
    <x v="4"/>
    <s v="San Benedetto"/>
    <s v="|13/13/08|"/>
    <n v="720"/>
    <n v="5"/>
    <n v="5.0999999999999996"/>
  </r>
  <r>
    <x v="3"/>
    <s v="Convenience stores"/>
    <x v="4"/>
    <s v="San Benedetto"/>
    <s v="|13/13/09|"/>
    <n v="396"/>
    <n v="4.13"/>
    <n v="5.29"/>
  </r>
  <r>
    <x v="3"/>
    <s v="Convenience stores"/>
    <x v="4"/>
    <s v="San Benedetto"/>
    <s v="|13/13/10|"/>
    <n v="552"/>
    <n v="4.87"/>
    <n v="5.01"/>
  </r>
  <r>
    <x v="3"/>
    <s v="Convenience stores"/>
    <x v="4"/>
    <s v="San Benedetto"/>
    <s v="|13/13/11|"/>
    <n v="516"/>
    <n v="4.12"/>
    <n v="5.22"/>
  </r>
  <r>
    <x v="3"/>
    <s v="Convenience stores"/>
    <x v="4"/>
    <s v="San Benedetto"/>
    <s v="|13/13/12|"/>
    <n v="684"/>
    <n v="4.2699999999999996"/>
    <n v="5"/>
  </r>
  <r>
    <x v="3"/>
    <s v="Convenience stores"/>
    <x v="4"/>
    <s v="San Benedetto"/>
    <s v="|13/13/13|"/>
    <n v="252"/>
    <n v="4.6100000000000003"/>
    <n v="5.0599999999999996"/>
  </r>
  <r>
    <x v="3"/>
    <s v="Convenience stores"/>
    <x v="4"/>
    <s v="San Benedetto"/>
    <s v="|13/13/14|"/>
    <n v="240"/>
    <n v="4.8600000000000003"/>
    <n v="5.3"/>
  </r>
  <r>
    <x v="3"/>
    <s v="Convenience stores"/>
    <x v="4"/>
    <s v="San Benedetto"/>
    <s v="|13/13/15|"/>
    <n v="600"/>
    <n v="4.0999999999999996"/>
    <n v="5.1100000000000003"/>
  </r>
  <r>
    <x v="3"/>
    <s v="Convenience stores"/>
    <x v="4"/>
    <s v="San Benedetto"/>
    <s v="|13/13/16|"/>
    <n v="588"/>
    <n v="4.18"/>
    <n v="5.2"/>
  </r>
  <r>
    <x v="3"/>
    <s v="Convenience stores"/>
    <x v="4"/>
    <s v="San Benedetto"/>
    <s v="|13/13/17|"/>
    <n v="300"/>
    <n v="4.07"/>
    <n v="5.31"/>
  </r>
  <r>
    <x v="3"/>
    <s v="Convenience stores"/>
    <x v="4"/>
    <s v="San Benedetto"/>
    <s v="|13/13/18|"/>
    <n v="396"/>
    <n v="4.71"/>
    <n v="5.0599999999999996"/>
  </r>
  <r>
    <x v="3"/>
    <s v="Convenience stores"/>
    <x v="4"/>
    <s v="San Benedetto"/>
    <s v="|13/13/20|"/>
    <n v="276"/>
    <n v="4.7300000000000004"/>
    <n v="5.37"/>
  </r>
  <r>
    <x v="3"/>
    <s v="Convenience stores"/>
    <x v="4"/>
    <s v="San Benedetto"/>
    <s v="|13/13/21|"/>
    <n v="408"/>
    <n v="4.5"/>
    <n v="5.15"/>
  </r>
  <r>
    <x v="3"/>
    <s v="Convenience stores"/>
    <x v="4"/>
    <s v="San Benedetto"/>
    <s v="|13/13/22|"/>
    <n v="408"/>
    <n v="4.4400000000000004"/>
    <n v="5.17"/>
  </r>
  <r>
    <x v="3"/>
    <s v="Convenience stores"/>
    <x v="4"/>
    <s v="San Benedetto"/>
    <s v="|13/13/24|"/>
    <n v="564"/>
    <n v="4.1100000000000003"/>
    <n v="5.17"/>
  </r>
  <r>
    <x v="3"/>
    <s v="Convenience stores"/>
    <x v="4"/>
    <s v="San Benedetto"/>
    <s v="|13/13/44|"/>
    <n v="384"/>
    <n v="4.22"/>
    <n v="5.33"/>
  </r>
  <r>
    <x v="3"/>
    <s v="Convenience stores"/>
    <x v="4"/>
    <s v="San Benedetto"/>
    <s v="|13/99/13|"/>
    <n v="384"/>
    <n v="4.58"/>
    <n v="5.08"/>
  </r>
  <r>
    <x v="3"/>
    <s v="Convenience stores"/>
    <x v="4"/>
    <s v="San Benedetto"/>
    <s v="|13/99/22|"/>
    <n v="300"/>
    <n v="4.7699999999999996"/>
    <n v="5.17"/>
  </r>
  <r>
    <x v="3"/>
    <s v="Convenience stores"/>
    <x v="4"/>
    <s v="San Benedetto"/>
    <s v="|13/99/23|"/>
    <n v="312"/>
    <n v="4.33"/>
    <n v="5.0199999999999996"/>
  </r>
  <r>
    <x v="3"/>
    <s v="Convenience stores"/>
    <x v="4"/>
    <s v="San Benedetto"/>
    <s v="|13/99/28|"/>
    <n v="456"/>
    <n v="4.83"/>
    <n v="5.4"/>
  </r>
  <r>
    <x v="3"/>
    <s v="Convenience stores"/>
    <x v="7"/>
    <s v="Taylor farms"/>
    <s v="|28/02/01|"/>
    <n v="1044"/>
    <n v="2.5"/>
    <n v="3.86"/>
  </r>
  <r>
    <x v="3"/>
    <s v="Convenience stores"/>
    <x v="7"/>
    <s v="Taylor farms"/>
    <s v="|28/02/02|"/>
    <n v="696"/>
    <n v="2.23"/>
    <n v="3.51"/>
  </r>
  <r>
    <x v="3"/>
    <s v="Convenience stores"/>
    <x v="7"/>
    <s v="Taylor farms"/>
    <s v="|28/02/03|"/>
    <n v="1128"/>
    <n v="2.36"/>
    <n v="3.58"/>
  </r>
  <r>
    <x v="3"/>
    <s v="Convenience stores"/>
    <x v="7"/>
    <s v="Taylor farms"/>
    <s v="|28/02/04|"/>
    <n v="984"/>
    <n v="2.23"/>
    <n v="3.41"/>
  </r>
  <r>
    <x v="3"/>
    <s v="Convenience stores"/>
    <x v="7"/>
    <s v="Taylor farms"/>
    <s v="|28/02/05|"/>
    <n v="756"/>
    <n v="2.78"/>
    <n v="3.35"/>
  </r>
  <r>
    <x v="3"/>
    <s v="Convenience stores"/>
    <x v="7"/>
    <s v="Taylor farms"/>
    <s v="|28/02/06|"/>
    <n v="840"/>
    <n v="2.38"/>
    <n v="3.65"/>
  </r>
  <r>
    <x v="3"/>
    <s v="Convenience stores"/>
    <x v="7"/>
    <s v="Taylor farms"/>
    <s v="|28/02/07|"/>
    <n v="672"/>
    <n v="2.46"/>
    <n v="3.58"/>
  </r>
  <r>
    <x v="3"/>
    <s v="Convenience stores"/>
    <x v="4"/>
    <s v="Beiersdorf"/>
    <s v="|39/01/01|"/>
    <n v="288"/>
    <n v="4.91"/>
    <n v="5.15"/>
  </r>
  <r>
    <x v="3"/>
    <s v="Convenience stores"/>
    <x v="4"/>
    <s v="Beiersdorf"/>
    <s v="|39/01/02|"/>
    <n v="396"/>
    <n v="4.88"/>
    <n v="5.01"/>
  </r>
  <r>
    <x v="3"/>
    <s v="Convenience stores"/>
    <x v="4"/>
    <s v="Beiersdorf"/>
    <s v="|39/01/03|"/>
    <n v="660"/>
    <n v="4.22"/>
    <n v="5.16"/>
  </r>
  <r>
    <x v="3"/>
    <s v="Convenience stores"/>
    <x v="4"/>
    <s v="Beiersdorf"/>
    <s v="|39/01/04|"/>
    <n v="588"/>
    <n v="5"/>
    <n v="5.31"/>
  </r>
  <r>
    <x v="3"/>
    <s v="Convenience stores"/>
    <x v="4"/>
    <s v="Beiersdorf"/>
    <s v="|39/01/05|"/>
    <n v="624"/>
    <n v="4.82"/>
    <n v="5.07"/>
  </r>
  <r>
    <x v="3"/>
    <s v="Convenience stores"/>
    <x v="4"/>
    <s v="Beiersdorf"/>
    <s v="|39/01/06|"/>
    <n v="444"/>
    <n v="4.3"/>
    <n v="5.2"/>
  </r>
  <r>
    <x v="3"/>
    <s v="Convenience stores"/>
    <x v="4"/>
    <s v="Beiersdorf"/>
    <s v="|39/01/07|"/>
    <n v="528"/>
    <n v="4.45"/>
    <n v="5.25"/>
  </r>
  <r>
    <x v="3"/>
    <s v="Convenience stores"/>
    <x v="4"/>
    <s v="Beiersdorf"/>
    <s v="|39/01/30|"/>
    <n v="312"/>
    <n v="4.49"/>
    <n v="5.01"/>
  </r>
  <r>
    <x v="3"/>
    <s v="Convenience stores"/>
    <x v="3"/>
    <s v="Famous Grousse"/>
    <s v="|26/01/01|"/>
    <n v="120"/>
    <n v="1.1399999999999999"/>
    <n v="1.2"/>
  </r>
  <r>
    <x v="3"/>
    <s v="Convenience stores"/>
    <x v="3"/>
    <s v="Famous Grousse"/>
    <s v="|26/01/02|"/>
    <n v="96"/>
    <n v="1.1599999999999999"/>
    <n v="1.35"/>
  </r>
  <r>
    <x v="3"/>
    <s v="Convenience stores"/>
    <x v="3"/>
    <s v="Famous Grousse"/>
    <s v="|26/01/03|"/>
    <n v="96"/>
    <n v="1.06"/>
    <n v="1.36"/>
  </r>
  <r>
    <x v="3"/>
    <s v="Convenience stores"/>
    <x v="1"/>
    <s v="Ferrero"/>
    <s v="|48/01/41|"/>
    <n v="420"/>
    <n v="5.746666666666667"/>
    <n v="7.8533333333333335"/>
  </r>
  <r>
    <x v="3"/>
    <s v="Convenience stores"/>
    <x v="5"/>
    <s v="Ferrero"/>
    <s v="|48/01/01|"/>
    <n v="816"/>
    <n v="1.28"/>
    <n v="1.88"/>
  </r>
  <r>
    <x v="3"/>
    <s v="Convenience stores"/>
    <x v="5"/>
    <s v="Ferrero"/>
    <s v="|48/01/02|"/>
    <n v="1044"/>
    <n v="1.25"/>
    <n v="1.69"/>
  </r>
  <r>
    <x v="3"/>
    <s v="Convenience stores"/>
    <x v="5"/>
    <s v="Ferrero"/>
    <s v="|48/01/03|"/>
    <n v="936"/>
    <n v="1.34"/>
    <n v="1.66"/>
  </r>
  <r>
    <x v="3"/>
    <s v="Convenience stores"/>
    <x v="5"/>
    <s v="Ferrero"/>
    <s v="|48/01/04|"/>
    <n v="588"/>
    <n v="1.1299999999999999"/>
    <n v="1.65"/>
  </r>
  <r>
    <x v="3"/>
    <s v="Convenience stores"/>
    <x v="5"/>
    <s v="Ferrero"/>
    <s v="|48/01/05|"/>
    <n v="1032"/>
    <n v="1.23"/>
    <n v="1.86"/>
  </r>
  <r>
    <x v="3"/>
    <s v="Convenience stores"/>
    <x v="5"/>
    <s v="Ferrero"/>
    <s v="|48/01/06|"/>
    <n v="792"/>
    <n v="1.29"/>
    <n v="1.75"/>
  </r>
  <r>
    <x v="3"/>
    <s v="Convenience stores"/>
    <x v="5"/>
    <s v="Ferrero"/>
    <s v="|48/01/07|"/>
    <n v="708"/>
    <n v="1.1299999999999999"/>
    <n v="1.71"/>
  </r>
  <r>
    <x v="3"/>
    <s v="Convenience stores"/>
    <x v="5"/>
    <s v="Ferrero"/>
    <s v="|48/01/08|"/>
    <n v="972"/>
    <n v="1.2"/>
    <n v="1.85"/>
  </r>
  <r>
    <x v="3"/>
    <s v="Convenience stores"/>
    <x v="5"/>
    <s v="Ferrero"/>
    <s v="|48/01/09|"/>
    <n v="1272"/>
    <n v="1.4"/>
    <n v="1.9"/>
  </r>
  <r>
    <x v="3"/>
    <s v="Convenience stores"/>
    <x v="5"/>
    <s v="Ferrero"/>
    <s v="|48/01/10|"/>
    <n v="1308"/>
    <n v="1.4"/>
    <n v="1.81"/>
  </r>
  <r>
    <x v="3"/>
    <s v="Convenience stores"/>
    <x v="5"/>
    <s v="Ferrero"/>
    <s v="|48/01/11|"/>
    <n v="1140"/>
    <n v="1.44"/>
    <n v="1.87"/>
  </r>
  <r>
    <x v="3"/>
    <s v="Convenience stores"/>
    <x v="5"/>
    <s v="Ferrero"/>
    <s v="|48/01/12|"/>
    <n v="936"/>
    <n v="1.31"/>
    <n v="1.85"/>
  </r>
  <r>
    <x v="3"/>
    <s v="Convenience stores"/>
    <x v="5"/>
    <s v="Ferrero"/>
    <s v="|48/01/13|"/>
    <n v="1236"/>
    <n v="1.39"/>
    <n v="1.76"/>
  </r>
  <r>
    <x v="3"/>
    <s v="Convenience stores"/>
    <x v="5"/>
    <s v="Ferrero"/>
    <s v="|48/01/14|"/>
    <n v="1296"/>
    <n v="1.1100000000000001"/>
    <n v="1.61"/>
  </r>
  <r>
    <x v="3"/>
    <s v="Convenience stores"/>
    <x v="5"/>
    <s v="Ferrero"/>
    <s v="|48/01/15|"/>
    <n v="864"/>
    <n v="1.29"/>
    <n v="1.73"/>
  </r>
  <r>
    <x v="3"/>
    <s v="Convenience stores"/>
    <x v="5"/>
    <s v="Ferrero"/>
    <s v="|48/01/16|"/>
    <n v="612"/>
    <n v="1.36"/>
    <n v="1.6"/>
  </r>
  <r>
    <x v="3"/>
    <s v="Convenience stores"/>
    <x v="5"/>
    <s v="Ferrero"/>
    <s v="|48/01/17|"/>
    <n v="672"/>
    <n v="1.36"/>
    <n v="1.85"/>
  </r>
  <r>
    <x v="3"/>
    <s v="Convenience stores"/>
    <x v="5"/>
    <s v="Ferrero"/>
    <s v="|48/01/18|"/>
    <n v="1080"/>
    <n v="1.37"/>
    <n v="1.89"/>
  </r>
  <r>
    <x v="3"/>
    <s v="Convenience stores"/>
    <x v="5"/>
    <s v="Ferrero"/>
    <s v="|48/01/19|"/>
    <n v="1248"/>
    <n v="1.29"/>
    <n v="1.89"/>
  </r>
  <r>
    <x v="3"/>
    <s v="Convenience stores"/>
    <x v="5"/>
    <s v="Ferrero"/>
    <s v="|48/01/20|"/>
    <n v="948"/>
    <n v="1.28"/>
    <n v="1.72"/>
  </r>
  <r>
    <x v="3"/>
    <s v="Convenience stores"/>
    <x v="5"/>
    <s v="Ferrero"/>
    <s v="|48/01/21|"/>
    <n v="600"/>
    <n v="1.23"/>
    <n v="1.76"/>
  </r>
  <r>
    <x v="3"/>
    <s v="Convenience stores"/>
    <x v="5"/>
    <s v="Ferrero"/>
    <s v="|48/01/22|"/>
    <n v="624"/>
    <n v="1.32"/>
    <n v="1.76"/>
  </r>
  <r>
    <x v="3"/>
    <s v="Convenience stores"/>
    <x v="5"/>
    <s v="Ferrero"/>
    <s v="|48/01/23|"/>
    <n v="804"/>
    <n v="1.1499999999999999"/>
    <n v="1.9"/>
  </r>
  <r>
    <x v="3"/>
    <s v="Convenience stores"/>
    <x v="5"/>
    <s v="Ferrero"/>
    <s v="|48/01/24|"/>
    <n v="780"/>
    <n v="1.1399999999999999"/>
    <n v="1.65"/>
  </r>
  <r>
    <x v="3"/>
    <s v="Convenience stores"/>
    <x v="5"/>
    <s v="Ferrero"/>
    <s v="|48/01/25|"/>
    <n v="780"/>
    <n v="1.33"/>
    <n v="1.69"/>
  </r>
  <r>
    <x v="3"/>
    <s v="Convenience stores"/>
    <x v="5"/>
    <s v="Ferrero"/>
    <s v="|48/01/26|"/>
    <n v="744"/>
    <n v="1.44"/>
    <n v="1.7"/>
  </r>
  <r>
    <x v="3"/>
    <s v="Convenience stores"/>
    <x v="5"/>
    <s v="Ferrero"/>
    <s v="|48/01/27|"/>
    <n v="636"/>
    <n v="1.49"/>
    <n v="1.72"/>
  </r>
  <r>
    <x v="3"/>
    <s v="Convenience stores"/>
    <x v="5"/>
    <s v="Ferrero"/>
    <s v="|48/01/28|"/>
    <n v="1236"/>
    <n v="1.48"/>
    <n v="1.62"/>
  </r>
  <r>
    <x v="3"/>
    <s v="Convenience stores"/>
    <x v="5"/>
    <s v="Ferrero"/>
    <s v="|48/01/29|"/>
    <n v="1296"/>
    <n v="1.1499999999999999"/>
    <n v="1.78"/>
  </r>
  <r>
    <x v="3"/>
    <s v="Convenience stores"/>
    <x v="5"/>
    <s v="Ferrero"/>
    <s v="|48/01/30|"/>
    <n v="828"/>
    <n v="1.28"/>
    <n v="1.81"/>
  </r>
  <r>
    <x v="3"/>
    <s v="Convenience stores"/>
    <x v="5"/>
    <s v="Ferrero"/>
    <s v="|48/01/31|"/>
    <n v="1044"/>
    <n v="1.45"/>
    <n v="1.7"/>
  </r>
  <r>
    <x v="3"/>
    <s v="Convenience stores"/>
    <x v="5"/>
    <s v="Ferrero"/>
    <s v="|48/01/32|"/>
    <n v="996"/>
    <n v="1.33"/>
    <n v="1.64"/>
  </r>
  <r>
    <x v="3"/>
    <s v="Convenience stores"/>
    <x v="5"/>
    <s v="Ferrero"/>
    <s v="|48/01/33|"/>
    <n v="708"/>
    <n v="1.5"/>
    <n v="1.9"/>
  </r>
  <r>
    <x v="3"/>
    <s v="Convenience stores"/>
    <x v="5"/>
    <s v="Ferrero"/>
    <s v="|48/01/34|"/>
    <n v="948"/>
    <n v="1.29"/>
    <n v="1.76"/>
  </r>
  <r>
    <x v="3"/>
    <s v="Convenience stores"/>
    <x v="5"/>
    <s v="Ferrero"/>
    <s v="|48/01/35|"/>
    <n v="612"/>
    <n v="1.1100000000000001"/>
    <n v="1.76"/>
  </r>
  <r>
    <x v="3"/>
    <s v="Convenience stores"/>
    <x v="5"/>
    <s v="Ferrero"/>
    <s v="|48/01/36|"/>
    <n v="912"/>
    <n v="1.35"/>
    <n v="1.84"/>
  </r>
  <r>
    <x v="3"/>
    <s v="Convenience stores"/>
    <x v="5"/>
    <s v="Ferrero"/>
    <s v="|48/01/37|"/>
    <n v="1188"/>
    <n v="1.44"/>
    <n v="1.8"/>
  </r>
  <r>
    <x v="3"/>
    <s v="Convenience stores"/>
    <x v="5"/>
    <s v="Ferrero"/>
    <s v="|48/01/38|"/>
    <n v="1236"/>
    <n v="1.26"/>
    <n v="1.65"/>
  </r>
  <r>
    <x v="3"/>
    <s v="Convenience stores"/>
    <x v="5"/>
    <s v="Ferrero"/>
    <s v="|48/01/39|"/>
    <n v="636"/>
    <n v="1.5"/>
    <n v="1.66"/>
  </r>
  <r>
    <x v="3"/>
    <s v="Convenience stores"/>
    <x v="5"/>
    <s v="Ferrero"/>
    <s v="|48/01/40|"/>
    <n v="1224"/>
    <n v="1.1499999999999999"/>
    <n v="1.68"/>
  </r>
  <r>
    <x v="3"/>
    <s v="Convenience stores"/>
    <x v="5"/>
    <s v="Ferrero"/>
    <s v="|48/01/42|"/>
    <n v="588"/>
    <n v="1.35"/>
    <n v="1.61"/>
  </r>
  <r>
    <x v="3"/>
    <s v="Convenience stores"/>
    <x v="5"/>
    <s v="Ferrero"/>
    <s v="|48/01/43|"/>
    <n v="960"/>
    <n v="1.38"/>
    <n v="1.68"/>
  </r>
  <r>
    <x v="3"/>
    <s v="Convenience stores"/>
    <x v="5"/>
    <s v="Ferrero"/>
    <s v="|48/01/44|"/>
    <n v="924"/>
    <n v="1.4"/>
    <n v="1.74"/>
  </r>
  <r>
    <x v="3"/>
    <s v="Convenience stores"/>
    <x v="5"/>
    <s v="Ferrero"/>
    <s v="|48/01/45|"/>
    <n v="864"/>
    <n v="1.36"/>
    <n v="1.75"/>
  </r>
  <r>
    <x v="3"/>
    <s v="Convenience stores"/>
    <x v="5"/>
    <s v="Ferrero"/>
    <s v="|48/01/46|"/>
    <n v="864"/>
    <n v="1.39"/>
    <n v="1.82"/>
  </r>
  <r>
    <x v="3"/>
    <s v="Convenience stores"/>
    <x v="5"/>
    <s v="Ferrero"/>
    <s v="|48/01/47|"/>
    <n v="840"/>
    <n v="1.35"/>
    <n v="1.63"/>
  </r>
  <r>
    <x v="3"/>
    <s v="Convenience stores"/>
    <x v="5"/>
    <s v="Ferrero"/>
    <s v="|48/01/48|"/>
    <n v="1092"/>
    <n v="1.44"/>
    <n v="1.63"/>
  </r>
  <r>
    <x v="3"/>
    <s v="Convenience stores"/>
    <x v="5"/>
    <s v="Ferrero"/>
    <s v="|48/01/49|"/>
    <n v="588"/>
    <n v="1.45"/>
    <n v="1.61"/>
  </r>
  <r>
    <x v="3"/>
    <s v="Convenience stores"/>
    <x v="5"/>
    <s v="Ferrero"/>
    <s v="|48/01/50|"/>
    <n v="948"/>
    <n v="1.19"/>
    <n v="1.8"/>
  </r>
  <r>
    <x v="3"/>
    <s v="Convenience stores"/>
    <x v="5"/>
    <s v="Ferrero"/>
    <s v="|48/01/51|"/>
    <n v="1080"/>
    <n v="1.26"/>
    <n v="1.89"/>
  </r>
  <r>
    <x v="3"/>
    <s v="Convenience stores"/>
    <x v="5"/>
    <s v="Ferrero"/>
    <s v="|48/01/52|"/>
    <n v="972"/>
    <n v="1.49"/>
    <n v="1.61"/>
  </r>
  <r>
    <x v="3"/>
    <s v="Convenience stores"/>
    <x v="5"/>
    <s v="Ferrero"/>
    <s v="|48/01/53|"/>
    <n v="1236"/>
    <n v="1.46"/>
    <n v="1.9"/>
  </r>
  <r>
    <x v="3"/>
    <s v="Convenience stores"/>
    <x v="5"/>
    <s v="Ferrero"/>
    <s v="|48/01/54|"/>
    <n v="768"/>
    <n v="1.22"/>
    <n v="1.6"/>
  </r>
  <r>
    <x v="3"/>
    <s v="Convenience stores"/>
    <x v="5"/>
    <s v="Ferrero"/>
    <s v="|48/01/55|"/>
    <n v="1320"/>
    <n v="1.21"/>
    <n v="1.61"/>
  </r>
  <r>
    <x v="3"/>
    <s v="Convenience stores"/>
    <x v="5"/>
    <s v="Ferrero"/>
    <s v="|48/01/56|"/>
    <n v="840"/>
    <n v="1.38"/>
    <n v="1.73"/>
  </r>
  <r>
    <x v="3"/>
    <s v="Convenience stores"/>
    <x v="5"/>
    <s v="Ferrero"/>
    <s v="|48/01/57|"/>
    <n v="996"/>
    <n v="1.33"/>
    <n v="1.63"/>
  </r>
  <r>
    <x v="3"/>
    <s v="Convenience stores"/>
    <x v="5"/>
    <s v="Ferrero"/>
    <s v="|48/01/58|"/>
    <n v="720"/>
    <n v="1.17"/>
    <n v="1.84"/>
  </r>
  <r>
    <x v="3"/>
    <s v="Convenience stores"/>
    <x v="5"/>
    <s v="Ferrero"/>
    <s v="|48/01/59|"/>
    <n v="888"/>
    <n v="1.43"/>
    <n v="1.71"/>
  </r>
  <r>
    <x v="3"/>
    <s v="Convenience stores"/>
    <x v="5"/>
    <s v="Ferrero"/>
    <s v="|48/01/60|"/>
    <n v="924"/>
    <n v="1.24"/>
    <n v="1.82"/>
  </r>
  <r>
    <x v="3"/>
    <s v="Convenience stores"/>
    <x v="5"/>
    <s v="Ferrero"/>
    <s v="|48/01/61|"/>
    <n v="744"/>
    <n v="1.47"/>
    <n v="1.75"/>
  </r>
  <r>
    <x v="3"/>
    <s v="Convenience stores"/>
    <x v="5"/>
    <s v="Ferrero"/>
    <s v="|48/01/62|"/>
    <n v="600"/>
    <n v="1.27"/>
    <n v="1.85"/>
  </r>
  <r>
    <x v="3"/>
    <s v="Convenience stores"/>
    <x v="5"/>
    <s v="Ferrero"/>
    <s v="|48/01/99|"/>
    <n v="996"/>
    <n v="1.1000000000000001"/>
    <n v="1.75"/>
  </r>
  <r>
    <x v="3"/>
    <s v="Convenience stores"/>
    <x v="6"/>
    <s v="Cioccolatti Italiani"/>
    <s v="|63/03/08|"/>
    <n v="1236"/>
    <n v="2.42"/>
    <n v="3.9"/>
  </r>
  <r>
    <x v="3"/>
    <s v="Convenience stores"/>
    <x v="6"/>
    <s v="Cioccolatti Italiani"/>
    <s v="|63/03/09|"/>
    <n v="2424"/>
    <n v="2.8"/>
    <n v="3.56"/>
  </r>
  <r>
    <x v="3"/>
    <s v="Convenience stores"/>
    <x v="6"/>
    <s v="Cioccolatti Italiani"/>
    <s v="|63/03/10|"/>
    <n v="2688"/>
    <n v="2.44"/>
    <n v="3.42"/>
  </r>
  <r>
    <x v="3"/>
    <s v="Convenience stores"/>
    <x v="6"/>
    <s v="Cioccolatti Italiani"/>
    <s v="|63/03/11|"/>
    <n v="2376"/>
    <n v="2.54"/>
    <n v="3.53"/>
  </r>
  <r>
    <x v="3"/>
    <s v="Convenience stores"/>
    <x v="6"/>
    <s v="Cioccolatti Italiani"/>
    <s v="|63/03/12|"/>
    <n v="2676"/>
    <n v="2.65"/>
    <n v="3.53"/>
  </r>
  <r>
    <x v="3"/>
    <s v="Convenience stores"/>
    <x v="4"/>
    <s v="Bayer"/>
    <s v="|141/01/01|"/>
    <n v="432"/>
    <n v="4.0599999999999996"/>
    <n v="5.14"/>
  </r>
  <r>
    <x v="3"/>
    <s v="Convenience stores"/>
    <x v="4"/>
    <s v="Bayer"/>
    <s v="|141/01/02|"/>
    <n v="660"/>
    <n v="4.3600000000000003"/>
    <n v="5.37"/>
  </r>
  <r>
    <x v="3"/>
    <s v="Convenience stores"/>
    <x v="4"/>
    <s v="Bayer"/>
    <s v="|141/01/03|"/>
    <n v="708"/>
    <n v="4.13"/>
    <n v="5.17"/>
  </r>
  <r>
    <x v="3"/>
    <s v="Convenience stores"/>
    <x v="4"/>
    <s v="Bayer"/>
    <s v="|141/01/04|"/>
    <n v="444"/>
    <n v="4.83"/>
    <n v="5.38"/>
  </r>
  <r>
    <x v="3"/>
    <s v="Convenience stores"/>
    <x v="1"/>
    <s v="Mindi"/>
    <s v="|79/01/48|"/>
    <n v="600"/>
    <n v="5.4066666666666663"/>
    <n v="8.5666666666666664"/>
  </r>
  <r>
    <x v="3"/>
    <s v="Convenience stores"/>
    <x v="1"/>
    <s v="Mindi"/>
    <s v="|79/01/49|"/>
    <n v="408"/>
    <n v="5.8666666666666663"/>
    <n v="7.9133333333333331"/>
  </r>
  <r>
    <x v="3"/>
    <s v="Convenience stores"/>
    <x v="1"/>
    <s v="Mindi"/>
    <s v="|79/01/79|"/>
    <n v="564"/>
    <n v="5.86"/>
    <n v="8.1266666666666669"/>
  </r>
  <r>
    <x v="3"/>
    <s v="Convenience stores"/>
    <x v="7"/>
    <s v="Spani"/>
    <s v="|99/01/05|"/>
    <n v="1176"/>
    <n v="2.23"/>
    <n v="3.72"/>
  </r>
  <r>
    <x v="3"/>
    <s v="Convenience stores"/>
    <x v="7"/>
    <s v="Spani"/>
    <s v="|99/01/06|"/>
    <n v="1152"/>
    <n v="2.52"/>
    <n v="3.57"/>
  </r>
  <r>
    <x v="3"/>
    <s v="Convenience stores"/>
    <x v="7"/>
    <s v="Spani"/>
    <s v="|99/01/10|"/>
    <n v="1092"/>
    <n v="2.59"/>
    <n v="3.89"/>
  </r>
  <r>
    <x v="3"/>
    <s v="Convenience stores"/>
    <x v="7"/>
    <s v="Spani"/>
    <s v="|99/01/11|"/>
    <n v="888"/>
    <n v="2.81"/>
    <n v="3.38"/>
  </r>
  <r>
    <x v="3"/>
    <s v="Convenience stores"/>
    <x v="6"/>
    <s v="Grom"/>
    <s v="|09/04/11|"/>
    <n v="1992"/>
    <n v="2.98"/>
    <n v="3.74"/>
  </r>
  <r>
    <x v="3"/>
    <s v="Convenience stores"/>
    <x v="6"/>
    <s v="Grom"/>
    <s v="|09/04/12|"/>
    <n v="1860"/>
    <n v="2.66"/>
    <n v="3.7"/>
  </r>
  <r>
    <x v="3"/>
    <s v="Convenience stores"/>
    <x v="6"/>
    <s v="Grom"/>
    <s v="|09/04/13|"/>
    <n v="1308"/>
    <n v="2.91"/>
    <n v="3.95"/>
  </r>
  <r>
    <x v="3"/>
    <s v="Convenience stores"/>
    <x v="6"/>
    <s v="Grom"/>
    <s v="|09/04/14|"/>
    <n v="2076"/>
    <n v="2.5299999999999998"/>
    <n v="3.57"/>
  </r>
  <r>
    <x v="3"/>
    <s v="Convenience stores"/>
    <x v="6"/>
    <s v="Grom"/>
    <s v="|09/04/15|"/>
    <n v="2208"/>
    <n v="2.52"/>
    <n v="3.83"/>
  </r>
  <r>
    <x v="3"/>
    <s v="Convenience stores"/>
    <x v="6"/>
    <s v="Rivareno"/>
    <s v="|99/06/01|"/>
    <n v="2688"/>
    <n v="2.39"/>
    <n v="3.6"/>
  </r>
  <r>
    <x v="3"/>
    <s v="Convenience stores"/>
    <x v="6"/>
    <s v="Rivareno"/>
    <s v="|99/06/02|"/>
    <n v="1836"/>
    <n v="2.5099999999999998"/>
    <n v="3.54"/>
  </r>
  <r>
    <x v="3"/>
    <s v="Convenience stores"/>
    <x v="6"/>
    <s v="Rivareno"/>
    <s v="|99/06/10|"/>
    <n v="2376"/>
    <n v="3"/>
    <n v="3.94"/>
  </r>
  <r>
    <x v="3"/>
    <s v="Convenience stores"/>
    <x v="6"/>
    <s v="Rivareno"/>
    <s v="|99/06/11|"/>
    <n v="1824"/>
    <n v="2.35"/>
    <n v="3.68"/>
  </r>
  <r>
    <x v="3"/>
    <s v="Convenience stores"/>
    <x v="6"/>
    <s v="L'angolo vicino"/>
    <s v="|06/04/01|"/>
    <n v="2604"/>
    <n v="2.65"/>
    <n v="3.91"/>
  </r>
  <r>
    <x v="3"/>
    <s v="Convenience stores"/>
    <x v="6"/>
    <s v="L'angolo vicino"/>
    <s v="|06/04/03|"/>
    <n v="1788"/>
    <n v="2.63"/>
    <n v="3.44"/>
  </r>
  <r>
    <x v="3"/>
    <s v="Convenience stores"/>
    <x v="6"/>
    <s v="L'angolo vicino"/>
    <s v="|06/04/11|"/>
    <n v="2364"/>
    <n v="2.2999999999999998"/>
    <n v="3.44"/>
  </r>
  <r>
    <x v="3"/>
    <s v="Convenience stores"/>
    <x v="6"/>
    <s v="L'angolo vicino"/>
    <s v="|06/04/12|"/>
    <n v="1620"/>
    <n v="2.97"/>
    <n v="3.87"/>
  </r>
  <r>
    <x v="3"/>
    <s v="Convenience stores"/>
    <x v="6"/>
    <s v="L'angolo vicino"/>
    <s v="|06/04/13|"/>
    <n v="2628"/>
    <n v="2.94"/>
    <n v="3.49"/>
  </r>
  <r>
    <x v="3"/>
    <s v="Convenience stores"/>
    <x v="6"/>
    <s v="L'angolo vicino"/>
    <s v="|06/04/20|"/>
    <n v="2316"/>
    <n v="2.8"/>
    <n v="3.94"/>
  </r>
  <r>
    <x v="3"/>
    <s v="Convenience stores"/>
    <x v="6"/>
    <s v="Sadand"/>
    <s v="|07/07/01|"/>
    <n v="2748"/>
    <n v="2.4900000000000002"/>
    <n v="3.55"/>
  </r>
  <r>
    <x v="3"/>
    <s v="Convenience stores"/>
    <x v="6"/>
    <s v="Sadand"/>
    <s v="|07/07/02|"/>
    <n v="2616"/>
    <n v="2.9"/>
    <n v="3.78"/>
  </r>
  <r>
    <x v="3"/>
    <s v="Convenience stores"/>
    <x v="6"/>
    <s v="Sadand"/>
    <s v="|07/07/03|"/>
    <n v="1908"/>
    <n v="2.73"/>
    <n v="3.75"/>
  </r>
  <r>
    <x v="3"/>
    <s v="Convenience stores"/>
    <x v="6"/>
    <s v="Sadand"/>
    <s v="|07/07/04|"/>
    <n v="1308"/>
    <n v="2.6"/>
    <n v="3.42"/>
  </r>
  <r>
    <x v="3"/>
    <s v="Convenience stores"/>
    <x v="6"/>
    <s v="Sadand"/>
    <s v="|07/07/05|"/>
    <n v="2100"/>
    <n v="2.94"/>
    <n v="3.49"/>
  </r>
  <r>
    <x v="3"/>
    <s v="Convenience stores"/>
    <x v="6"/>
    <s v="Sadand"/>
    <s v="|07/07/06|"/>
    <n v="1848"/>
    <n v="2.5099999999999998"/>
    <n v="3.88"/>
  </r>
  <r>
    <x v="3"/>
    <s v="Convenience stores"/>
    <x v="6"/>
    <s v="Sadand"/>
    <s v="|07/07/07|"/>
    <n v="1332"/>
    <n v="2.76"/>
    <n v="3.83"/>
  </r>
  <r>
    <x v="3"/>
    <s v="Convenience stores"/>
    <x v="6"/>
    <s v="Sadand"/>
    <s v="|07/07/08|"/>
    <n v="2328"/>
    <n v="2.57"/>
    <n v="3.87"/>
  </r>
  <r>
    <x v="3"/>
    <s v="Convenience stores"/>
    <x v="6"/>
    <s v="Sadand"/>
    <s v="|07/07/09|"/>
    <n v="1716"/>
    <n v="2.52"/>
    <n v="3.64"/>
  </r>
  <r>
    <x v="3"/>
    <s v="Convenience stores"/>
    <x v="6"/>
    <s v="Sadand"/>
    <s v="|07/07/10|"/>
    <n v="2484"/>
    <n v="2.94"/>
    <n v="3.59"/>
  </r>
  <r>
    <x v="3"/>
    <s v="Convenience stores"/>
    <x v="6"/>
    <s v="Sadand"/>
    <s v="|07/07/12|"/>
    <n v="2484"/>
    <n v="2.92"/>
    <n v="3.8"/>
  </r>
  <r>
    <x v="3"/>
    <s v="Convenience stores"/>
    <x v="3"/>
    <s v="Heineken"/>
    <s v="|33/01/01|"/>
    <n v="192"/>
    <n v="1.1399999999999999"/>
    <n v="1.34"/>
  </r>
  <r>
    <x v="3"/>
    <s v="Convenience stores"/>
    <x v="3"/>
    <s v="Heineken"/>
    <s v="|33/01/02|"/>
    <n v="96"/>
    <n v="1.2"/>
    <n v="1.4"/>
  </r>
  <r>
    <x v="3"/>
    <s v="Convenience stores"/>
    <x v="3"/>
    <s v="Heineken"/>
    <s v="|33/01/03|"/>
    <n v="168"/>
    <n v="1.1499999999999999"/>
    <n v="1.3"/>
  </r>
  <r>
    <x v="3"/>
    <s v="Convenience stores"/>
    <x v="3"/>
    <s v="Heineken"/>
    <s v="|33/01/04|"/>
    <n v="84"/>
    <n v="1.1599999999999999"/>
    <n v="1.32"/>
  </r>
  <r>
    <x v="3"/>
    <s v="Convenience stores"/>
    <x v="3"/>
    <s v="Heineken"/>
    <s v="|33/01/05|"/>
    <n v="96"/>
    <n v="1.2"/>
    <n v="1.22"/>
  </r>
  <r>
    <x v="3"/>
    <s v="Convenience stores"/>
    <x v="3"/>
    <s v="Heineken"/>
    <s v="|33/01/06|"/>
    <n v="180"/>
    <n v="1.1000000000000001"/>
    <n v="1.35"/>
  </r>
  <r>
    <x v="3"/>
    <s v="Convenience stores"/>
    <x v="3"/>
    <s v="Heineken"/>
    <s v="|33/01/07|"/>
    <n v="180"/>
    <n v="1.19"/>
    <n v="1.3"/>
  </r>
  <r>
    <x v="3"/>
    <s v="Convenience stores"/>
    <x v="3"/>
    <s v="Heineken"/>
    <s v="|33/01/08|"/>
    <n v="168"/>
    <n v="1.1499999999999999"/>
    <n v="1.35"/>
  </r>
  <r>
    <x v="3"/>
    <s v="Convenience stores"/>
    <x v="3"/>
    <s v="Heineken"/>
    <s v="|33/01/09|"/>
    <n v="132"/>
    <n v="1.08"/>
    <n v="1.36"/>
  </r>
  <r>
    <x v="3"/>
    <s v="Convenience stores"/>
    <x v="3"/>
    <s v="Heineken"/>
    <s v="|33/01/10|"/>
    <n v="192"/>
    <n v="1.17"/>
    <n v="1.27"/>
  </r>
  <r>
    <x v="3"/>
    <s v="Convenience stores"/>
    <x v="3"/>
    <s v="Heineken"/>
    <s v="|33/01/11|"/>
    <n v="96"/>
    <n v="1.17"/>
    <n v="1.23"/>
  </r>
  <r>
    <x v="3"/>
    <s v="Convenience stores"/>
    <x v="3"/>
    <s v="Heineken"/>
    <s v="|33/01/12|"/>
    <n v="132"/>
    <n v="1.01"/>
    <n v="1.23"/>
  </r>
  <r>
    <x v="3"/>
    <s v="Convenience stores"/>
    <x v="3"/>
    <s v="Heineken"/>
    <s v="|33/01/13|"/>
    <n v="144"/>
    <n v="1.17"/>
    <n v="1.4"/>
  </r>
  <r>
    <x v="3"/>
    <s v="Convenience stores"/>
    <x v="3"/>
    <s v="Heineken"/>
    <s v="|33/01/14|"/>
    <n v="144"/>
    <n v="1.05"/>
    <n v="1.37"/>
  </r>
  <r>
    <x v="3"/>
    <s v="Convenience stores"/>
    <x v="3"/>
    <s v="Heineken"/>
    <s v="|33/01/15|"/>
    <n v="84"/>
    <n v="1.1599999999999999"/>
    <n v="1.37"/>
  </r>
  <r>
    <x v="3"/>
    <s v="Convenience stores"/>
    <x v="3"/>
    <s v="Heineken"/>
    <s v="|33/01/16|"/>
    <n v="156"/>
    <n v="1.08"/>
    <n v="1.27"/>
  </r>
  <r>
    <x v="3"/>
    <s v="Convenience stores"/>
    <x v="3"/>
    <s v="Heineken"/>
    <s v="|33/01/17|"/>
    <n v="108"/>
    <n v="1.18"/>
    <n v="1.33"/>
  </r>
  <r>
    <x v="3"/>
    <s v="Convenience stores"/>
    <x v="3"/>
    <s v="Heineken"/>
    <s v="|33/01/18|"/>
    <n v="96"/>
    <n v="1.02"/>
    <n v="1.25"/>
  </r>
  <r>
    <x v="3"/>
    <s v="Convenience stores"/>
    <x v="3"/>
    <s v="Heineken"/>
    <s v="|33/01/19|"/>
    <n v="72"/>
    <n v="1.17"/>
    <n v="1.27"/>
  </r>
  <r>
    <x v="3"/>
    <s v="Convenience stores"/>
    <x v="3"/>
    <s v="Heineken"/>
    <s v="|33/01/20|"/>
    <n v="228"/>
    <n v="1"/>
    <n v="1.31"/>
  </r>
  <r>
    <x v="3"/>
    <s v="Convenience stores"/>
    <x v="3"/>
    <s v="Heineken"/>
    <s v="|33/01/21|"/>
    <n v="120"/>
    <n v="1.02"/>
    <n v="1.28"/>
  </r>
  <r>
    <x v="3"/>
    <s v="Convenience stores"/>
    <x v="3"/>
    <s v="Heineken"/>
    <s v="|33/01/22|"/>
    <n v="84"/>
    <n v="1.04"/>
    <n v="1.27"/>
  </r>
  <r>
    <x v="3"/>
    <s v="Convenience stores"/>
    <x v="3"/>
    <s v="Heineken"/>
    <s v="|33/01/23|"/>
    <n v="108"/>
    <n v="1.1599999999999999"/>
    <n v="1.39"/>
  </r>
  <r>
    <x v="3"/>
    <s v="Convenience stores"/>
    <x v="3"/>
    <s v="Heineken"/>
    <s v="|33/01/24|"/>
    <n v="120"/>
    <n v="1.02"/>
    <n v="1.35"/>
  </r>
  <r>
    <x v="3"/>
    <s v="Convenience stores"/>
    <x v="3"/>
    <s v="Heineken"/>
    <s v="|33/01/25|"/>
    <n v="132"/>
    <n v="1.0900000000000001"/>
    <n v="1.38"/>
  </r>
  <r>
    <x v="3"/>
    <s v="Convenience stores"/>
    <x v="3"/>
    <s v="Heineken"/>
    <s v="|33/01/26|"/>
    <n v="96"/>
    <n v="1.2"/>
    <n v="1.24"/>
  </r>
  <r>
    <x v="3"/>
    <s v="Convenience stores"/>
    <x v="3"/>
    <s v="Heineken"/>
    <s v="|33/01/30|"/>
    <n v="132"/>
    <n v="1.19"/>
    <n v="1.39"/>
  </r>
  <r>
    <x v="3"/>
    <s v="Convenience stores"/>
    <x v="3"/>
    <s v="Heineken"/>
    <s v="|33/01/31|"/>
    <n v="108"/>
    <n v="1.04"/>
    <n v="1.2"/>
  </r>
  <r>
    <x v="3"/>
    <s v="Convenience stores"/>
    <x v="3"/>
    <s v="Heineken"/>
    <s v="|33/01/32|"/>
    <n v="180"/>
    <n v="1.1100000000000001"/>
    <n v="1.36"/>
  </r>
  <r>
    <x v="3"/>
    <s v="Convenience stores"/>
    <x v="3"/>
    <s v="Heineken"/>
    <s v="|33/01/33|"/>
    <n v="216"/>
    <n v="1.02"/>
    <n v="1.25"/>
  </r>
  <r>
    <x v="3"/>
    <s v="Convenience stores"/>
    <x v="3"/>
    <s v="Heineken"/>
    <s v="|33/01/40|"/>
    <n v="108"/>
    <n v="1.07"/>
    <n v="1.25"/>
  </r>
  <r>
    <x v="3"/>
    <s v="Convenience stores"/>
    <x v="3"/>
    <s v="Heineken"/>
    <s v="|33/01/41|"/>
    <n v="204"/>
    <n v="1.0900000000000001"/>
    <n v="1.36"/>
  </r>
  <r>
    <x v="3"/>
    <s v="Convenience stores"/>
    <x v="3"/>
    <s v="Heineken"/>
    <s v="|33/01/42|"/>
    <n v="216"/>
    <n v="1.1200000000000001"/>
    <n v="1.26"/>
  </r>
  <r>
    <x v="3"/>
    <s v="Convenience stores"/>
    <x v="3"/>
    <s v="Heineken"/>
    <s v="|33/01/43|"/>
    <n v="144"/>
    <n v="1.1599999999999999"/>
    <n v="1.3"/>
  </r>
  <r>
    <x v="3"/>
    <s v="Convenience stores"/>
    <x v="3"/>
    <s v="Heineken"/>
    <s v="|33/01/44|"/>
    <n v="108"/>
    <n v="1.18"/>
    <n v="1.36"/>
  </r>
  <r>
    <x v="3"/>
    <s v="Convenience stores"/>
    <x v="3"/>
    <s v="Heineken"/>
    <s v="|33/01/45|"/>
    <n v="156"/>
    <n v="1.1599999999999999"/>
    <n v="1.22"/>
  </r>
  <r>
    <x v="3"/>
    <s v="Convenience stores"/>
    <x v="3"/>
    <s v="Heineken"/>
    <s v="|33/01/46|"/>
    <n v="120"/>
    <n v="1.2"/>
    <n v="1.2"/>
  </r>
  <r>
    <x v="3"/>
    <s v="Convenience stores"/>
    <x v="3"/>
    <s v="Heineken"/>
    <s v="|33/01/47|"/>
    <n v="168"/>
    <n v="1.18"/>
    <n v="1.32"/>
  </r>
  <r>
    <x v="3"/>
    <s v="Convenience stores"/>
    <x v="3"/>
    <s v="Heineken"/>
    <s v="|33/01/48|"/>
    <n v="120"/>
    <n v="1.1599999999999999"/>
    <n v="1.27"/>
  </r>
  <r>
    <x v="3"/>
    <s v="Convenience stores"/>
    <x v="3"/>
    <s v="Heineken"/>
    <s v="|33/01/49|"/>
    <n v="204"/>
    <n v="1.1299999999999999"/>
    <n v="1.39"/>
  </r>
  <r>
    <x v="3"/>
    <s v="Convenience stores"/>
    <x v="3"/>
    <s v="Heineken"/>
    <s v="|33/01/50|"/>
    <n v="108"/>
    <n v="1.08"/>
    <n v="1.22"/>
  </r>
  <r>
    <x v="3"/>
    <s v="Convenience stores"/>
    <x v="3"/>
    <s v="Heineken"/>
    <s v="|33/01/51|"/>
    <n v="84"/>
    <n v="1.1499999999999999"/>
    <n v="1.4"/>
  </r>
  <r>
    <x v="3"/>
    <s v="Convenience stores"/>
    <x v="3"/>
    <s v="Heineken"/>
    <s v="|33/01/52|"/>
    <n v="180"/>
    <n v="1.1399999999999999"/>
    <n v="1.27"/>
  </r>
  <r>
    <x v="3"/>
    <s v="Convenience stores"/>
    <x v="3"/>
    <s v="Heineken"/>
    <s v="|33/01/60|"/>
    <n v="60"/>
    <n v="1.0900000000000001"/>
    <n v="1.23"/>
  </r>
  <r>
    <x v="3"/>
    <s v="Convenience stores"/>
    <x v="3"/>
    <s v="Heineken"/>
    <s v="|33/01/61|"/>
    <n v="180"/>
    <n v="1.03"/>
    <n v="1.35"/>
  </r>
  <r>
    <x v="3"/>
    <s v="Convenience stores"/>
    <x v="3"/>
    <s v="Heineken"/>
    <s v="|33/01/62|"/>
    <n v="144"/>
    <n v="1.04"/>
    <n v="1.31"/>
  </r>
  <r>
    <x v="3"/>
    <s v="Convenience stores"/>
    <x v="3"/>
    <s v="Heineken"/>
    <s v="|33/01/63|"/>
    <n v="168"/>
    <n v="1"/>
    <n v="1.21"/>
  </r>
  <r>
    <x v="3"/>
    <s v="Convenience stores"/>
    <x v="3"/>
    <s v="Heineken"/>
    <s v="|33/01/64|"/>
    <n v="72"/>
    <n v="1.1399999999999999"/>
    <n v="1.31"/>
  </r>
  <r>
    <x v="3"/>
    <s v="Convenience stores"/>
    <x v="3"/>
    <s v="Heineken"/>
    <s v="|33/01/65|"/>
    <n v="168"/>
    <n v="1.02"/>
    <n v="1.27"/>
  </r>
  <r>
    <x v="3"/>
    <s v="Convenience stores"/>
    <x v="3"/>
    <s v="Heineken"/>
    <s v="|33/01/66|"/>
    <n v="84"/>
    <n v="1.02"/>
    <n v="1.33"/>
  </r>
  <r>
    <x v="3"/>
    <s v="Convenience stores"/>
    <x v="3"/>
    <s v="Heineken"/>
    <s v="|33/10/01|"/>
    <n v="72"/>
    <n v="1.05"/>
    <n v="1.28"/>
  </r>
  <r>
    <x v="3"/>
    <s v="Convenience stores"/>
    <x v="3"/>
    <s v="Heineken"/>
    <s v="|33/99/91|"/>
    <n v="120"/>
    <n v="1.07"/>
    <n v="1.24"/>
  </r>
  <r>
    <x v="3"/>
    <s v="Convenience stores"/>
    <x v="3"/>
    <s v="Heineken"/>
    <s v="|33/99/92|"/>
    <n v="204"/>
    <n v="1.03"/>
    <n v="1.31"/>
  </r>
  <r>
    <x v="3"/>
    <s v="Convenience stores"/>
    <x v="3"/>
    <s v="Heineken"/>
    <s v="|33/99/93|"/>
    <n v="120"/>
    <n v="1.1499999999999999"/>
    <n v="1.33"/>
  </r>
  <r>
    <x v="3"/>
    <s v="Convenience stores"/>
    <x v="3"/>
    <s v="Heineken"/>
    <s v="|33/99/94|"/>
    <n v="228"/>
    <n v="1.1000000000000001"/>
    <n v="1.37"/>
  </r>
  <r>
    <x v="3"/>
    <s v="Convenience stores"/>
    <x v="3"/>
    <s v="Heineken"/>
    <s v="|33/99/95|"/>
    <n v="60"/>
    <n v="1.03"/>
    <n v="1.24"/>
  </r>
  <r>
    <x v="3"/>
    <s v="Convenience stores"/>
    <x v="3"/>
    <s v="Heineken"/>
    <s v="|33/99/96|"/>
    <n v="144"/>
    <n v="1.01"/>
    <n v="1.36"/>
  </r>
  <r>
    <x v="3"/>
    <s v="Convenience stores"/>
    <x v="3"/>
    <s v="Heineken"/>
    <s v="|33/99/98|"/>
    <n v="60"/>
    <n v="1.0900000000000001"/>
    <n v="1.24"/>
  </r>
  <r>
    <x v="3"/>
    <s v="Convenience stores"/>
    <x v="3"/>
    <s v="Heineken"/>
    <s v="|33/99/99|"/>
    <n v="120"/>
    <n v="1.17"/>
    <n v="1.23"/>
  </r>
  <r>
    <x v="3"/>
    <s v="Convenience stores"/>
    <x v="3"/>
    <s v="Tuborg"/>
    <s v="|33/99/97|"/>
    <n v="132"/>
    <n v="1.18"/>
    <n v="1.36"/>
  </r>
  <r>
    <x v="3"/>
    <s v="Convenience stores"/>
    <x v="3"/>
    <s v="Tuborg"/>
    <s v="|97/01/01|"/>
    <n v="144"/>
    <n v="1.1200000000000001"/>
    <n v="1.37"/>
  </r>
  <r>
    <x v="3"/>
    <s v="Convenience stores"/>
    <x v="3"/>
    <s v="Tuborg"/>
    <s v="|97/01/02|"/>
    <n v="96"/>
    <n v="1.01"/>
    <n v="1.36"/>
  </r>
  <r>
    <x v="3"/>
    <s v="Convenience stores"/>
    <x v="3"/>
    <s v="Tuborg"/>
    <s v="|97/01/03|"/>
    <n v="168"/>
    <n v="1.07"/>
    <n v="1.2"/>
  </r>
  <r>
    <x v="3"/>
    <s v="Convenience stores"/>
    <x v="3"/>
    <s v="Tuborg"/>
    <s v="|97/02/01|"/>
    <n v="156"/>
    <n v="1.01"/>
    <n v="1.38"/>
  </r>
  <r>
    <x v="3"/>
    <s v="Convenience stores"/>
    <x v="3"/>
    <s v="Tuborg"/>
    <s v="|97/02/02|"/>
    <n v="228"/>
    <n v="1.04"/>
    <n v="1.28"/>
  </r>
  <r>
    <x v="3"/>
    <s v="Convenience stores"/>
    <x v="3"/>
    <s v="Tuborg"/>
    <s v="|97/02/03|"/>
    <n v="216"/>
    <n v="1.1299999999999999"/>
    <n v="1.38"/>
  </r>
  <r>
    <x v="3"/>
    <s v="Convenience stores"/>
    <x v="3"/>
    <s v="Tuborg"/>
    <s v="|97/02/05|"/>
    <n v="156"/>
    <n v="1.2"/>
    <n v="1.36"/>
  </r>
  <r>
    <x v="3"/>
    <s v="Convenience stores"/>
    <x v="6"/>
    <s v="Optima"/>
    <s v="|64/01/01|"/>
    <n v="2268"/>
    <n v="2.48"/>
    <n v="3.85"/>
  </r>
  <r>
    <x v="3"/>
    <s v="Convenience stores"/>
    <x v="6"/>
    <s v="Optima"/>
    <s v="|64/01/02|"/>
    <n v="1512"/>
    <n v="2.35"/>
    <n v="3.79"/>
  </r>
  <r>
    <x v="3"/>
    <s v="Convenience stores"/>
    <x v="6"/>
    <s v="Optima"/>
    <s v="|64/02/01|"/>
    <n v="2124"/>
    <n v="2.87"/>
    <n v="3.79"/>
  </r>
  <r>
    <x v="3"/>
    <s v="Convenience stores"/>
    <x v="6"/>
    <s v="Optima"/>
    <s v="|64/02/02|"/>
    <n v="1788"/>
    <n v="2.48"/>
    <n v="3.64"/>
  </r>
  <r>
    <x v="3"/>
    <s v="Convenience stores"/>
    <x v="6"/>
    <s v="Optima"/>
    <s v="|64/02/03|"/>
    <n v="2304"/>
    <n v="2.4"/>
    <n v="3.6"/>
  </r>
  <r>
    <x v="3"/>
    <s v="Convenience stores"/>
    <x v="6"/>
    <s v="Optima"/>
    <s v="|64/02/04|"/>
    <n v="2136"/>
    <n v="2.85"/>
    <n v="3.86"/>
  </r>
  <r>
    <x v="3"/>
    <s v="Convenience stores"/>
    <x v="6"/>
    <s v="Optima"/>
    <s v="|64/02/05|"/>
    <n v="1704"/>
    <n v="2.8"/>
    <n v="3.55"/>
  </r>
  <r>
    <x v="3"/>
    <s v="Convenience stores"/>
    <x v="4"/>
    <s v="Genco"/>
    <s v="|20/10/02|"/>
    <n v="468"/>
    <n v="4.93"/>
    <n v="5.1100000000000003"/>
  </r>
  <r>
    <x v="3"/>
    <s v="Convenience stores"/>
    <x v="4"/>
    <s v="Genco"/>
    <s v="|20/10/03|"/>
    <n v="348"/>
    <n v="4.25"/>
    <n v="5.32"/>
  </r>
  <r>
    <x v="3"/>
    <s v="Convenience stores"/>
    <x v="4"/>
    <s v="Genco"/>
    <s v="|20/10/04|"/>
    <n v="672"/>
    <n v="4.26"/>
    <n v="5.1100000000000003"/>
  </r>
  <r>
    <x v="3"/>
    <s v="Convenience stores"/>
    <x v="4"/>
    <s v="Genco"/>
    <s v="|20/10/05|"/>
    <n v="660"/>
    <n v="4.1500000000000004"/>
    <n v="5.09"/>
  </r>
  <r>
    <x v="3"/>
    <s v="Convenience stores"/>
    <x v="4"/>
    <s v="Genco"/>
    <s v="|20/10/06|"/>
    <n v="516"/>
    <n v="4.0199999999999996"/>
    <n v="5.2"/>
  </r>
  <r>
    <x v="3"/>
    <s v="Convenience stores"/>
    <x v="4"/>
    <s v="Genco"/>
    <s v="|20/10/07|"/>
    <n v="612"/>
    <n v="4.05"/>
    <n v="5.23"/>
  </r>
  <r>
    <x v="3"/>
    <s v="Convenience stores"/>
    <x v="4"/>
    <s v="Genco"/>
    <s v="|20/10/08|"/>
    <n v="588"/>
    <n v="5"/>
    <n v="5.21"/>
  </r>
  <r>
    <x v="3"/>
    <s v="Convenience stores"/>
    <x v="4"/>
    <s v="Genco"/>
    <s v="|20/10/09|"/>
    <n v="348"/>
    <n v="4.09"/>
    <n v="5.0599999999999996"/>
  </r>
  <r>
    <x v="3"/>
    <s v="Convenience stores"/>
    <x v="4"/>
    <s v="Genco"/>
    <s v="|20/10/10|"/>
    <n v="588"/>
    <n v="4.1900000000000004"/>
    <n v="5.27"/>
  </r>
  <r>
    <x v="3"/>
    <s v="Convenience stores"/>
    <x v="4"/>
    <s v="Genco"/>
    <s v="|20/10/11|"/>
    <n v="672"/>
    <n v="4.0999999999999996"/>
    <n v="5.05"/>
  </r>
  <r>
    <x v="3"/>
    <s v="Convenience stores"/>
    <x v="4"/>
    <s v="Genco"/>
    <s v="|20/10/12|"/>
    <n v="612"/>
    <n v="4.3899999999999997"/>
    <n v="5.31"/>
  </r>
  <r>
    <x v="3"/>
    <s v="Convenience stores"/>
    <x v="4"/>
    <s v="Genco"/>
    <s v="|20/13/01|"/>
    <n v="540"/>
    <n v="4.05"/>
    <n v="5.4"/>
  </r>
  <r>
    <x v="3"/>
    <s v="Convenience stores"/>
    <x v="4"/>
    <s v="Genco"/>
    <s v="|20/13/02|"/>
    <n v="432"/>
    <n v="4.09"/>
    <n v="5.14"/>
  </r>
  <r>
    <x v="3"/>
    <s v="Convenience stores"/>
    <x v="4"/>
    <s v="Genco"/>
    <s v="|20/13/03|"/>
    <n v="300"/>
    <n v="4.7"/>
    <n v="5.18"/>
  </r>
  <r>
    <x v="3"/>
    <s v="Convenience stores"/>
    <x v="4"/>
    <s v="Genco"/>
    <s v="|20/13/04|"/>
    <n v="240"/>
    <n v="4.1900000000000004"/>
    <n v="5.23"/>
  </r>
  <r>
    <x v="3"/>
    <s v="Convenience stores"/>
    <x v="4"/>
    <s v="Genco"/>
    <s v="|20/13/05|"/>
    <n v="252"/>
    <n v="4.0199999999999996"/>
    <n v="5.16"/>
  </r>
  <r>
    <x v="3"/>
    <s v="Convenience stores"/>
    <x v="4"/>
    <s v="Genco"/>
    <s v="|20/13/06|"/>
    <n v="648"/>
    <n v="4.3600000000000003"/>
    <n v="5.34"/>
  </r>
  <r>
    <x v="3"/>
    <s v="Convenience stores"/>
    <x v="4"/>
    <s v="Genco"/>
    <s v="|20/13/07|"/>
    <n v="648"/>
    <n v="4.59"/>
    <n v="5.03"/>
  </r>
  <r>
    <x v="3"/>
    <s v="Convenience stores"/>
    <x v="4"/>
    <s v="Genco"/>
    <s v="|20/13/08|"/>
    <n v="660"/>
    <n v="4.38"/>
    <n v="5.0599999999999996"/>
  </r>
  <r>
    <x v="3"/>
    <s v="Convenience stores"/>
    <x v="4"/>
    <s v="Genco"/>
    <s v="|20/13/09|"/>
    <n v="384"/>
    <n v="4.6399999999999997"/>
    <n v="5.31"/>
  </r>
  <r>
    <x v="3"/>
    <s v="Convenience stores"/>
    <x v="4"/>
    <s v="Genco"/>
    <s v="|20/13/10|"/>
    <n v="348"/>
    <n v="4.5199999999999996"/>
    <n v="5.31"/>
  </r>
  <r>
    <x v="3"/>
    <s v="Convenience stores"/>
    <x v="4"/>
    <s v="Genco"/>
    <s v="|20/13/11|"/>
    <n v="456"/>
    <n v="4.8600000000000003"/>
    <n v="5.29"/>
  </r>
  <r>
    <x v="3"/>
    <s v="Convenience stores"/>
    <x v="4"/>
    <s v="Genco"/>
    <s v="|20/13/12|"/>
    <n v="672"/>
    <n v="4.24"/>
    <n v="5.19"/>
  </r>
  <r>
    <x v="3"/>
    <s v="Convenience stores"/>
    <x v="4"/>
    <s v="Genco"/>
    <s v="|20/13/13|"/>
    <n v="384"/>
    <n v="4.83"/>
    <n v="5.27"/>
  </r>
  <r>
    <x v="3"/>
    <s v="Convenience stores"/>
    <x v="4"/>
    <s v="Genco"/>
    <s v="|20/13/14|"/>
    <n v="252"/>
    <n v="4.04"/>
    <n v="5.16"/>
  </r>
  <r>
    <x v="3"/>
    <s v="Convenience stores"/>
    <x v="4"/>
    <s v="Genco"/>
    <s v="|20/13/15|"/>
    <n v="384"/>
    <n v="4.28"/>
    <n v="5.39"/>
  </r>
  <r>
    <x v="3"/>
    <s v="Convenience stores"/>
    <x v="4"/>
    <s v="Genco"/>
    <s v="|20/13/16|"/>
    <n v="300"/>
    <n v="4.58"/>
    <n v="5.27"/>
  </r>
  <r>
    <x v="3"/>
    <s v="Convenience stores"/>
    <x v="4"/>
    <s v="Genco"/>
    <s v="|20/13/17|"/>
    <n v="372"/>
    <n v="4.5"/>
    <n v="5.0199999999999996"/>
  </r>
  <r>
    <x v="3"/>
    <s v="Convenience stores"/>
    <x v="4"/>
    <s v="Genco"/>
    <s v="|20/13/18|"/>
    <n v="588"/>
    <n v="4.92"/>
    <n v="5.18"/>
  </r>
  <r>
    <x v="3"/>
    <s v="Convenience stores"/>
    <x v="4"/>
    <s v="Genco"/>
    <s v="|20/13/19|"/>
    <n v="432"/>
    <n v="4.8099999999999996"/>
    <n v="5.35"/>
  </r>
  <r>
    <x v="3"/>
    <s v="Convenience stores"/>
    <x v="4"/>
    <s v="Genco"/>
    <s v="|20/13/20|"/>
    <n v="324"/>
    <n v="4"/>
    <n v="5.26"/>
  </r>
  <r>
    <x v="3"/>
    <s v="Convenience stores"/>
    <x v="4"/>
    <s v="Genco"/>
    <s v="|20/13/21|"/>
    <n v="336"/>
    <n v="4.71"/>
    <n v="5.26"/>
  </r>
  <r>
    <x v="3"/>
    <s v="Convenience stores"/>
    <x v="4"/>
    <s v="Genco"/>
    <s v="|20/13/22|"/>
    <n v="600"/>
    <n v="4.8899999999999997"/>
    <n v="5"/>
  </r>
  <r>
    <x v="3"/>
    <s v="Convenience stores"/>
    <x v="4"/>
    <s v="Genco"/>
    <s v="|20/13/23|"/>
    <n v="708"/>
    <n v="4.62"/>
    <n v="5.4"/>
  </r>
  <r>
    <x v="3"/>
    <s v="Convenience stores"/>
    <x v="4"/>
    <s v="Genco"/>
    <s v="|20/13/24|"/>
    <n v="648"/>
    <n v="4.25"/>
    <n v="5.14"/>
  </r>
  <r>
    <x v="3"/>
    <s v="Convenience stores"/>
    <x v="4"/>
    <s v="Genco"/>
    <s v="|20/13/28|"/>
    <n v="420"/>
    <n v="4.28"/>
    <n v="5.17"/>
  </r>
  <r>
    <x v="3"/>
    <s v="Convenience stores"/>
    <x v="4"/>
    <s v="Genco"/>
    <s v="|20/13/29|"/>
    <n v="324"/>
    <n v="4.53"/>
    <n v="5.17"/>
  </r>
  <r>
    <x v="3"/>
    <s v="Convenience stores"/>
    <x v="4"/>
    <s v="Genco"/>
    <s v="|20/13/30|"/>
    <n v="672"/>
    <n v="4.1500000000000004"/>
    <n v="5.13"/>
  </r>
  <r>
    <x v="3"/>
    <s v="Convenience stores"/>
    <x v="4"/>
    <s v="Genco"/>
    <s v="|20/13/31|"/>
    <n v="588"/>
    <n v="4.2"/>
    <n v="5.13"/>
  </r>
  <r>
    <x v="3"/>
    <s v="Convenience stores"/>
    <x v="4"/>
    <s v="Genco"/>
    <s v="|20/13/32|"/>
    <n v="660"/>
    <n v="4.92"/>
    <n v="5.08"/>
  </r>
  <r>
    <x v="3"/>
    <s v="Convenience stores"/>
    <x v="4"/>
    <s v="Genco"/>
    <s v="|20/13/33|"/>
    <n v="384"/>
    <n v="4.57"/>
    <n v="5.35"/>
  </r>
  <r>
    <x v="3"/>
    <s v="Convenience stores"/>
    <x v="4"/>
    <s v="Genco"/>
    <s v="|20/13/34|"/>
    <n v="504"/>
    <n v="4.33"/>
    <n v="5.4"/>
  </r>
  <r>
    <x v="3"/>
    <s v="Convenience stores"/>
    <x v="4"/>
    <s v="Genco"/>
    <s v="|20/13/35|"/>
    <n v="408"/>
    <n v="4.83"/>
    <n v="5.36"/>
  </r>
  <r>
    <x v="3"/>
    <s v="Convenience stores"/>
    <x v="4"/>
    <s v="Genco"/>
    <s v="|20/13/36|"/>
    <n v="444"/>
    <n v="4.47"/>
    <n v="5.08"/>
  </r>
  <r>
    <x v="3"/>
    <s v="Convenience stores"/>
    <x v="4"/>
    <s v="Genco"/>
    <s v="|20/13/37|"/>
    <n v="288"/>
    <n v="4.07"/>
    <n v="5.0599999999999996"/>
  </r>
  <r>
    <x v="3"/>
    <s v="Convenience stores"/>
    <x v="4"/>
    <s v="Genco"/>
    <s v="|20/13/38|"/>
    <n v="660"/>
    <n v="4.7699999999999996"/>
    <n v="5.18"/>
  </r>
  <r>
    <x v="3"/>
    <s v="Convenience stores"/>
    <x v="4"/>
    <s v="Genco"/>
    <s v="|20/13/39|"/>
    <n v="264"/>
    <n v="4.04"/>
    <n v="5.39"/>
  </r>
  <r>
    <x v="3"/>
    <s v="Convenience stores"/>
    <x v="4"/>
    <s v="Genco"/>
    <s v="|20/13/40|"/>
    <n v="288"/>
    <n v="4.5999999999999996"/>
    <n v="5.39"/>
  </r>
  <r>
    <x v="3"/>
    <s v="Convenience stores"/>
    <x v="4"/>
    <s v="Genco"/>
    <s v="|20/13/42|"/>
    <n v="432"/>
    <n v="4.6399999999999997"/>
    <n v="5.08"/>
  </r>
  <r>
    <x v="3"/>
    <s v="Convenience stores"/>
    <x v="4"/>
    <s v="Genco"/>
    <s v="|20/13/43|"/>
    <n v="456"/>
    <n v="4.33"/>
    <n v="5.28"/>
  </r>
  <r>
    <x v="3"/>
    <s v="Convenience stores"/>
    <x v="4"/>
    <s v="Genco"/>
    <s v="|20/13/44|"/>
    <n v="564"/>
    <n v="4.4400000000000004"/>
    <n v="5.08"/>
  </r>
  <r>
    <x v="3"/>
    <s v="Convenience stores"/>
    <x v="4"/>
    <s v="Genco"/>
    <s v="|20/13/45|"/>
    <n v="456"/>
    <n v="4.47"/>
    <n v="5.23"/>
  </r>
  <r>
    <x v="3"/>
    <s v="Convenience stores"/>
    <x v="4"/>
    <s v="Genco"/>
    <s v="|20/13/46|"/>
    <n v="492"/>
    <n v="4.18"/>
    <n v="5.36"/>
  </r>
  <r>
    <x v="3"/>
    <s v="Convenience stores"/>
    <x v="4"/>
    <s v="Genco"/>
    <s v="|20/13/47|"/>
    <n v="264"/>
    <n v="4.99"/>
    <n v="5.3"/>
  </r>
  <r>
    <x v="3"/>
    <s v="Convenience stores"/>
    <x v="4"/>
    <s v="Genco"/>
    <s v="|20/13/48|"/>
    <n v="372"/>
    <n v="4.93"/>
    <n v="5.32"/>
  </r>
  <r>
    <x v="3"/>
    <s v="Convenience stores"/>
    <x v="4"/>
    <s v="Genco"/>
    <s v="|20/13/49a|"/>
    <n v="696"/>
    <n v="5"/>
    <n v="5.32"/>
  </r>
  <r>
    <x v="3"/>
    <s v="Convenience stores"/>
    <x v="4"/>
    <s v="Genco"/>
    <s v="|20/13/49|"/>
    <n v="336"/>
    <n v="4.3"/>
    <n v="5.17"/>
  </r>
  <r>
    <x v="3"/>
    <s v="Convenience stores"/>
    <x v="4"/>
    <s v="Genco"/>
    <s v="|20/13/50|"/>
    <n v="708"/>
    <n v="4.0199999999999996"/>
    <n v="5.26"/>
  </r>
  <r>
    <x v="3"/>
    <s v="Convenience stores"/>
    <x v="4"/>
    <s v="Genco"/>
    <s v="|20/13/51|"/>
    <n v="504"/>
    <n v="4.2"/>
    <n v="5.05"/>
  </r>
  <r>
    <x v="3"/>
    <s v="Convenience stores"/>
    <x v="4"/>
    <s v="Genco"/>
    <s v="|20/13/52|"/>
    <n v="360"/>
    <n v="4.09"/>
    <n v="5.38"/>
  </r>
  <r>
    <x v="3"/>
    <s v="Convenience stores"/>
    <x v="4"/>
    <s v="Genco"/>
    <s v="|20/13/53|"/>
    <n v="288"/>
    <n v="4.71"/>
    <n v="5.19"/>
  </r>
  <r>
    <x v="3"/>
    <s v="Convenience stores"/>
    <x v="4"/>
    <s v="Genco"/>
    <s v="|20/13/54|"/>
    <n v="336"/>
    <n v="4.9400000000000004"/>
    <n v="5.2"/>
  </r>
  <r>
    <x v="3"/>
    <s v="Convenience stores"/>
    <x v="4"/>
    <s v="Genco"/>
    <s v="|20/13/55|"/>
    <n v="672"/>
    <n v="4.99"/>
    <n v="5.36"/>
  </r>
  <r>
    <x v="3"/>
    <s v="Convenience stores"/>
    <x v="4"/>
    <s v="Genco"/>
    <s v="|20/13/56|"/>
    <n v="540"/>
    <n v="4.53"/>
    <n v="5.38"/>
  </r>
  <r>
    <x v="3"/>
    <s v="Convenience stores"/>
    <x v="4"/>
    <s v="Genco"/>
    <s v="|20/13/57|"/>
    <n v="660"/>
    <n v="4.72"/>
    <n v="5.07"/>
  </r>
  <r>
    <x v="3"/>
    <s v="Convenience stores"/>
    <x v="4"/>
    <s v="Genco"/>
    <s v="|20/13/58|"/>
    <n v="312"/>
    <n v="4.8600000000000003"/>
    <n v="5.18"/>
  </r>
  <r>
    <x v="3"/>
    <s v="Convenience stores"/>
    <x v="4"/>
    <s v="Genco"/>
    <s v="|20/13/78|"/>
    <n v="300"/>
    <n v="4.0199999999999996"/>
    <n v="5.04"/>
  </r>
  <r>
    <x v="3"/>
    <s v="Convenience stores"/>
    <x v="4"/>
    <s v="Genco"/>
    <s v="|20/13/79|"/>
    <n v="252"/>
    <n v="4.5"/>
    <n v="5.35"/>
  </r>
  <r>
    <x v="3"/>
    <s v="Convenience stores"/>
    <x v="4"/>
    <s v="Genco"/>
    <s v="|20/13/80|"/>
    <n v="708"/>
    <n v="4.4800000000000004"/>
    <n v="5.01"/>
  </r>
  <r>
    <x v="3"/>
    <s v="Convenience stores"/>
    <x v="4"/>
    <s v="Genco"/>
    <s v="|20/13/91|"/>
    <n v="612"/>
    <n v="4.88"/>
    <n v="5.33"/>
  </r>
  <r>
    <x v="3"/>
    <s v="Convenience stores"/>
    <x v="4"/>
    <s v="Genco"/>
    <s v="|20/13/98|"/>
    <n v="444"/>
    <n v="4.42"/>
    <n v="5.31"/>
  </r>
  <r>
    <x v="3"/>
    <s v="Convenience stores"/>
    <x v="4"/>
    <s v="Genco"/>
    <s v="|20/13/99|"/>
    <n v="696"/>
    <n v="4.82"/>
    <n v="5.0199999999999996"/>
  </r>
  <r>
    <x v="3"/>
    <s v="Convenience stores"/>
    <x v="4"/>
    <s v="Genco"/>
    <s v="|20/13/100|"/>
    <n v="660"/>
    <n v="4.74"/>
    <n v="5.37"/>
  </r>
  <r>
    <x v="3"/>
    <s v="Convenience stores"/>
    <x v="4"/>
    <s v="Genco"/>
    <s v="|20/13/101|"/>
    <n v="480"/>
    <n v="4.6900000000000004"/>
    <n v="5.19"/>
  </r>
  <r>
    <x v="3"/>
    <s v="Convenience stores"/>
    <x v="4"/>
    <s v="Genco"/>
    <s v="|20/13/59|"/>
    <n v="576"/>
    <n v="4.57"/>
    <n v="5.29"/>
  </r>
  <r>
    <x v="3"/>
    <s v="Convenience stores"/>
    <x v="4"/>
    <s v="Genco"/>
    <s v="|20/13/60|"/>
    <n v="528"/>
    <n v="4.84"/>
    <n v="5.37"/>
  </r>
  <r>
    <x v="3"/>
    <s v="Convenience stores"/>
    <x v="3"/>
    <s v="Genco"/>
    <s v="|20/13/61|"/>
    <n v="60"/>
    <n v="1.1000000000000001"/>
    <n v="1.25"/>
  </r>
  <r>
    <x v="3"/>
    <s v="Convenience stores"/>
    <x v="3"/>
    <s v="Genco"/>
    <s v="|20/14/01|"/>
    <n v="216"/>
    <n v="1.2"/>
    <n v="1.27"/>
  </r>
  <r>
    <x v="3"/>
    <s v="Convenience stores"/>
    <x v="3"/>
    <s v="Genco"/>
    <s v="|20/14/02|"/>
    <n v="192"/>
    <n v="1.1599999999999999"/>
    <n v="1.2"/>
  </r>
  <r>
    <x v="3"/>
    <s v="Convenience stores"/>
    <x v="3"/>
    <s v="Genco"/>
    <s v="|20/14/03|"/>
    <n v="192"/>
    <n v="1.1200000000000001"/>
    <n v="1.28"/>
  </r>
  <r>
    <x v="3"/>
    <s v="Convenience stores"/>
    <x v="3"/>
    <s v="Genco"/>
    <s v="|20/14/04|"/>
    <n v="156"/>
    <n v="1"/>
    <n v="1.38"/>
  </r>
  <r>
    <x v="3"/>
    <s v="Convenience stores"/>
    <x v="3"/>
    <s v="Genco"/>
    <s v="|20/14/05|"/>
    <n v="204"/>
    <n v="1.03"/>
    <n v="1.3"/>
  </r>
  <r>
    <x v="3"/>
    <s v="Convenience stores"/>
    <x v="3"/>
    <s v="Genco"/>
    <s v="|20/14/06|"/>
    <n v="228"/>
    <n v="1.07"/>
    <n v="1.2"/>
  </r>
  <r>
    <x v="3"/>
    <s v="Convenience stores"/>
    <x v="3"/>
    <s v="Genco"/>
    <s v="|20/14/08|"/>
    <n v="132"/>
    <n v="1.19"/>
    <n v="1.31"/>
  </r>
  <r>
    <x v="3"/>
    <s v="Convenience stores"/>
    <x v="3"/>
    <s v="Genco"/>
    <s v="|20/14/09|"/>
    <n v="204"/>
    <n v="1.08"/>
    <n v="1.23"/>
  </r>
  <r>
    <x v="3"/>
    <s v="Convenience stores"/>
    <x v="3"/>
    <s v="Genco"/>
    <s v="|20/17/01|"/>
    <n v="204"/>
    <n v="1.03"/>
    <n v="1.37"/>
  </r>
  <r>
    <x v="3"/>
    <s v="Convenience stores"/>
    <x v="3"/>
    <s v="Genco"/>
    <s v="|20/17/02|"/>
    <n v="168"/>
    <n v="1.02"/>
    <n v="1.34"/>
  </r>
  <r>
    <x v="3"/>
    <s v="Convenience stores"/>
    <x v="3"/>
    <s v="Genco"/>
    <s v="|20/17/03|"/>
    <n v="180"/>
    <n v="1.04"/>
    <n v="1.34"/>
  </r>
  <r>
    <x v="3"/>
    <s v="Convenience stores"/>
    <x v="3"/>
    <s v="Genco"/>
    <s v="|20/99/91|"/>
    <n v="96"/>
    <n v="1.01"/>
    <n v="1.2"/>
  </r>
  <r>
    <x v="3"/>
    <s v="Convenience stores"/>
    <x v="6"/>
    <s v="Brembo"/>
    <s v="|46/01/01|"/>
    <n v="1404"/>
    <n v="2.57"/>
    <n v="3.42"/>
  </r>
  <r>
    <x v="3"/>
    <s v="Convenience stores"/>
    <x v="6"/>
    <s v="Brembo"/>
    <s v="|46/01/02|"/>
    <n v="2688"/>
    <n v="2.54"/>
    <n v="3.73"/>
  </r>
  <r>
    <x v="3"/>
    <s v="Convenience stores"/>
    <x v="6"/>
    <s v="Brembo"/>
    <s v="|46/01/03|"/>
    <n v="1488"/>
    <n v="2.62"/>
    <n v="3.73"/>
  </r>
  <r>
    <x v="3"/>
    <s v="Convenience stores"/>
    <x v="6"/>
    <s v="Brembo"/>
    <s v="|46/01/04|"/>
    <n v="2340"/>
    <n v="2.75"/>
    <n v="3.46"/>
  </r>
  <r>
    <x v="3"/>
    <s v="Convenience stores"/>
    <x v="6"/>
    <s v="Brembo"/>
    <s v="|46/01/05|"/>
    <n v="2220"/>
    <n v="2.81"/>
    <n v="3.36"/>
  </r>
  <r>
    <x v="3"/>
    <s v="Convenience stores"/>
    <x v="6"/>
    <s v="Brembo"/>
    <s v="|46/01/06|"/>
    <n v="2160"/>
    <n v="2.42"/>
    <n v="3.73"/>
  </r>
  <r>
    <x v="3"/>
    <s v="Convenience stores"/>
    <x v="6"/>
    <s v="Brembo"/>
    <s v="|46/01/07|"/>
    <n v="1392"/>
    <n v="2.36"/>
    <n v="3.38"/>
  </r>
  <r>
    <x v="3"/>
    <s v="Convenience stores"/>
    <x v="6"/>
    <s v="Brembo"/>
    <s v="|46/01/08|"/>
    <n v="1212"/>
    <n v="2.6"/>
    <n v="3.98"/>
  </r>
  <r>
    <x v="3"/>
    <s v="Convenience stores"/>
    <x v="6"/>
    <s v="Brembo"/>
    <s v="|46/01/09|"/>
    <n v="2652"/>
    <n v="2.69"/>
    <n v="3.73"/>
  </r>
  <r>
    <x v="3"/>
    <s v="Convenience stores"/>
    <x v="6"/>
    <s v="Brembo"/>
    <s v="|46/01/10|"/>
    <n v="2268"/>
    <n v="2.56"/>
    <n v="3.31"/>
  </r>
  <r>
    <x v="3"/>
    <s v="Convenience stores"/>
    <x v="6"/>
    <s v="Brembo"/>
    <s v="|46/01/11|"/>
    <n v="1968"/>
    <n v="2.2999999999999998"/>
    <n v="3.75"/>
  </r>
  <r>
    <x v="3"/>
    <s v="Convenience stores"/>
    <x v="6"/>
    <s v="Brembo"/>
    <s v="|46/01/12|"/>
    <n v="2760"/>
    <n v="2.77"/>
    <n v="3.77"/>
  </r>
  <r>
    <x v="3"/>
    <s v="Convenience stores"/>
    <x v="6"/>
    <s v="Brembo"/>
    <s v="|46/01/13|"/>
    <n v="1296"/>
    <n v="2.79"/>
    <n v="3.95"/>
  </r>
  <r>
    <x v="3"/>
    <s v="Convenience stores"/>
    <x v="6"/>
    <s v="Brembo"/>
    <s v="|46/01/14|"/>
    <n v="2160"/>
    <n v="2.63"/>
    <n v="3.55"/>
  </r>
  <r>
    <x v="3"/>
    <s v="Convenience stores"/>
    <x v="6"/>
    <s v="Brembo"/>
    <s v="|46/01/20|"/>
    <n v="2484"/>
    <n v="2.5"/>
    <n v="3.48"/>
  </r>
  <r>
    <x v="3"/>
    <s v="Convenience stores"/>
    <x v="2"/>
    <s v="Illy"/>
    <s v="|80/01/01|"/>
    <n v="8976"/>
    <n v="0.6"/>
    <n v="1.1599999999999999"/>
  </r>
  <r>
    <x v="3"/>
    <s v="Convenience stores"/>
    <x v="2"/>
    <s v="Illy"/>
    <s v="|80/01/02|"/>
    <n v="6288"/>
    <n v="0.72"/>
    <n v="1.17"/>
  </r>
  <r>
    <x v="3"/>
    <s v="Convenience stores"/>
    <x v="2"/>
    <s v="Illy"/>
    <s v="|80/01/03|"/>
    <n v="4956"/>
    <n v="1.1399999999999999"/>
    <n v="1.04"/>
  </r>
  <r>
    <x v="3"/>
    <s v="Convenience stores"/>
    <x v="2"/>
    <s v="Illy"/>
    <s v="|80/01/04|"/>
    <n v="7356"/>
    <n v="1.03"/>
    <n v="1.01"/>
  </r>
  <r>
    <x v="3"/>
    <s v="Convenience stores"/>
    <x v="2"/>
    <s v="Illy"/>
    <s v="|80/01/05|"/>
    <n v="5448"/>
    <n v="0.67"/>
    <n v="1.05"/>
  </r>
  <r>
    <x v="3"/>
    <s v="Convenience stores"/>
    <x v="2"/>
    <s v="Illy"/>
    <s v="|80/01/06|"/>
    <n v="8064"/>
    <n v="0.79"/>
    <n v="1.05"/>
  </r>
  <r>
    <x v="3"/>
    <s v="Convenience stores"/>
    <x v="2"/>
    <s v="Illy"/>
    <s v="|80/01/07|"/>
    <n v="8892"/>
    <n v="1.04"/>
    <n v="1.1599999999999999"/>
  </r>
  <r>
    <x v="3"/>
    <s v="Convenience stores"/>
    <x v="2"/>
    <s v="Illy"/>
    <s v="|80/01/08|"/>
    <n v="6312"/>
    <n v="0.7"/>
    <n v="1.1200000000000001"/>
  </r>
  <r>
    <x v="3"/>
    <s v="Convenience stores"/>
    <x v="2"/>
    <s v="Illy"/>
    <s v="|80/01/09|"/>
    <n v="6984"/>
    <n v="0.49"/>
    <n v="1.03"/>
  </r>
  <r>
    <x v="3"/>
    <s v="Convenience stores"/>
    <x v="2"/>
    <s v="Illy"/>
    <s v="|80/01/10|"/>
    <n v="6144"/>
    <n v="0.97"/>
    <n v="0.93"/>
  </r>
  <r>
    <x v="3"/>
    <s v="Convenience stores"/>
    <x v="2"/>
    <s v="Illy"/>
    <s v="|80/01/11|"/>
    <n v="7056"/>
    <n v="0.69"/>
    <n v="1.1499999999999999"/>
  </r>
  <r>
    <x v="3"/>
    <s v="Convenience stores"/>
    <x v="2"/>
    <s v="Illy"/>
    <s v="|80/01/12|"/>
    <n v="7848"/>
    <n v="0.85"/>
    <n v="0.91"/>
  </r>
  <r>
    <x v="3"/>
    <s v="Convenience stores"/>
    <x v="2"/>
    <s v="Illy"/>
    <s v="|80/01/13|"/>
    <n v="5760"/>
    <n v="0.63"/>
    <n v="1.0900000000000001"/>
  </r>
  <r>
    <x v="3"/>
    <s v="Convenience stores"/>
    <x v="2"/>
    <s v="Illy"/>
    <s v="|80/01/14|"/>
    <n v="5436"/>
    <n v="1.07"/>
    <n v="1.08"/>
  </r>
  <r>
    <x v="3"/>
    <s v="Convenience stores"/>
    <x v="2"/>
    <s v="Illy"/>
    <s v="|80/01/15|"/>
    <n v="9036"/>
    <n v="0.44"/>
    <n v="1.1399999999999999"/>
  </r>
  <r>
    <x v="3"/>
    <s v="Convenience stores"/>
    <x v="2"/>
    <s v="Illy"/>
    <s v="|80/01/16|"/>
    <n v="9132"/>
    <n v="1.1399999999999999"/>
    <n v="0.96"/>
  </r>
  <r>
    <x v="3"/>
    <s v="Convenience stores"/>
    <x v="2"/>
    <s v="Illy"/>
    <s v="|80/01/17|"/>
    <n v="6528"/>
    <n v="0.75"/>
    <n v="1.07"/>
  </r>
  <r>
    <x v="3"/>
    <s v="Convenience stores"/>
    <x v="2"/>
    <s v="Illy"/>
    <s v="|80/01/18|"/>
    <n v="8088"/>
    <n v="0.69"/>
    <n v="1.05"/>
  </r>
  <r>
    <x v="3"/>
    <s v="Convenience stores"/>
    <x v="2"/>
    <s v="Illy"/>
    <s v="|80/01/19|"/>
    <n v="7512"/>
    <n v="0.98"/>
    <n v="1.1599999999999999"/>
  </r>
  <r>
    <x v="3"/>
    <s v="Convenience stores"/>
    <x v="2"/>
    <s v="Illy"/>
    <s v="|80/01/20|"/>
    <n v="5100"/>
    <n v="1.05"/>
    <n v="0.96"/>
  </r>
  <r>
    <x v="3"/>
    <s v="Convenience stores"/>
    <x v="2"/>
    <s v="Illy"/>
    <s v="|80/01/21|"/>
    <n v="9216"/>
    <n v="0.9"/>
    <n v="0.9"/>
  </r>
  <r>
    <x v="3"/>
    <s v="Convenience stores"/>
    <x v="2"/>
    <s v="Illy"/>
    <s v="|80/01/22|"/>
    <n v="5484"/>
    <n v="0.71"/>
    <n v="1.1200000000000001"/>
  </r>
  <r>
    <x v="3"/>
    <s v="Convenience stores"/>
    <x v="2"/>
    <s v="Illy"/>
    <s v="|80/01/23|"/>
    <n v="6360"/>
    <n v="0.46"/>
    <n v="1.1599999999999999"/>
  </r>
  <r>
    <x v="3"/>
    <s v="Convenience stores"/>
    <x v="2"/>
    <s v="Illy"/>
    <s v="|80/01/24|"/>
    <n v="5220"/>
    <n v="0.49"/>
    <n v="1.18"/>
  </r>
  <r>
    <x v="3"/>
    <s v="Convenience stores"/>
    <x v="2"/>
    <s v="Illy"/>
    <s v="|80/01/25|"/>
    <n v="7056"/>
    <n v="0.49"/>
    <n v="0.98"/>
  </r>
  <r>
    <x v="3"/>
    <s v="Convenience stores"/>
    <x v="2"/>
    <s v="Illy"/>
    <s v="|80/01/26|"/>
    <n v="7896"/>
    <n v="0.53"/>
    <n v="1.08"/>
  </r>
  <r>
    <x v="3"/>
    <s v="Convenience stores"/>
    <x v="2"/>
    <s v="Illy"/>
    <s v="|80/01/27|"/>
    <n v="6708"/>
    <n v="0.56999999999999995"/>
    <n v="0.96"/>
  </r>
  <r>
    <x v="3"/>
    <s v="Convenience stores"/>
    <x v="2"/>
    <s v="Illy"/>
    <s v="|80/01/28|"/>
    <n v="6324"/>
    <n v="1"/>
    <n v="1.17"/>
  </r>
  <r>
    <x v="3"/>
    <s v="Convenience stores"/>
    <x v="2"/>
    <s v="Illy"/>
    <s v="|80/01/29|"/>
    <n v="9048"/>
    <n v="0.92"/>
    <n v="0.93"/>
  </r>
  <r>
    <x v="3"/>
    <s v="Convenience stores"/>
    <x v="2"/>
    <s v="Illy"/>
    <s v="|80/01/30|"/>
    <n v="7656"/>
    <n v="1.04"/>
    <n v="1.1599999999999999"/>
  </r>
  <r>
    <x v="3"/>
    <s v="Convenience stores"/>
    <x v="2"/>
    <s v="Illy"/>
    <s v="|80/01/31|"/>
    <n v="6360"/>
    <n v="1.05"/>
    <n v="1.18"/>
  </r>
  <r>
    <x v="3"/>
    <s v="Convenience stores"/>
    <x v="2"/>
    <s v="Illy"/>
    <s v="|80/01/32|"/>
    <n v="8892"/>
    <n v="1.1499999999999999"/>
    <n v="0.9"/>
  </r>
  <r>
    <x v="3"/>
    <s v="Convenience stores"/>
    <x v="2"/>
    <s v="Illy"/>
    <s v="|80/01/33|"/>
    <n v="4872"/>
    <n v="0.82"/>
    <n v="1.02"/>
  </r>
  <r>
    <x v="3"/>
    <s v="Convenience stores"/>
    <x v="2"/>
    <s v="Illy"/>
    <s v="|80/01/34|"/>
    <n v="5484"/>
    <n v="0.65"/>
    <n v="1.05"/>
  </r>
  <r>
    <x v="3"/>
    <s v="Convenience stores"/>
    <x v="2"/>
    <s v="Illy"/>
    <s v="|80/01/35|"/>
    <n v="8592"/>
    <n v="1.1499999999999999"/>
    <n v="1.02"/>
  </r>
  <r>
    <x v="3"/>
    <s v="Convenience stores"/>
    <x v="2"/>
    <s v="Illy"/>
    <s v="|80/01/36|"/>
    <n v="6528"/>
    <n v="0.53"/>
    <n v="0.99"/>
  </r>
  <r>
    <x v="3"/>
    <s v="Convenience stores"/>
    <x v="2"/>
    <s v="Illy"/>
    <s v="|80/01/37|"/>
    <n v="9216"/>
    <n v="0.51"/>
    <n v="1.1200000000000001"/>
  </r>
  <r>
    <x v="3"/>
    <s v="Convenience stores"/>
    <x v="2"/>
    <s v="Illy"/>
    <s v="|80/01/38|"/>
    <n v="7104"/>
    <n v="0.88"/>
    <n v="1.17"/>
  </r>
  <r>
    <x v="3"/>
    <s v="Convenience stores"/>
    <x v="2"/>
    <s v="Illy"/>
    <s v="|80/01/40|"/>
    <n v="8280"/>
    <n v="0.87"/>
    <n v="1.1000000000000001"/>
  </r>
  <r>
    <x v="3"/>
    <s v="Convenience stores"/>
    <x v="2"/>
    <s v="Illy"/>
    <s v="|80/01/41|"/>
    <n v="6672"/>
    <n v="0.81"/>
    <n v="1.07"/>
  </r>
  <r>
    <x v="3"/>
    <s v="Convenience stores"/>
    <x v="2"/>
    <s v="Illy"/>
    <s v="|80/01/42|"/>
    <n v="5148"/>
    <n v="0.59"/>
    <n v="1.17"/>
  </r>
  <r>
    <x v="3"/>
    <s v="Convenience stores"/>
    <x v="2"/>
    <s v="Illy"/>
    <s v="|80/01/43|"/>
    <n v="5604"/>
    <n v="1.2"/>
    <n v="0.97"/>
  </r>
  <r>
    <x v="3"/>
    <s v="Convenience stores"/>
    <x v="7"/>
    <s v="Kraus"/>
    <s v="|126/01/01|"/>
    <n v="1140"/>
    <n v="2.2799999999999998"/>
    <n v="3.24"/>
  </r>
  <r>
    <x v="3"/>
    <s v="Convenience stores"/>
    <x v="7"/>
    <s v="Kraus"/>
    <s v="|126/01/02|"/>
    <n v="1116"/>
    <n v="2.62"/>
    <n v="3.79"/>
  </r>
  <r>
    <x v="3"/>
    <s v="Convenience stores"/>
    <x v="7"/>
    <s v="Kraus"/>
    <s v="|126/01/03|"/>
    <n v="924"/>
    <n v="2.82"/>
    <n v="3.45"/>
  </r>
  <r>
    <x v="3"/>
    <s v="Convenience stores"/>
    <x v="7"/>
    <s v="Kraus"/>
    <s v="|126/01/04|"/>
    <n v="1152"/>
    <n v="2.4700000000000002"/>
    <n v="3.82"/>
  </r>
  <r>
    <x v="3"/>
    <s v="Convenience stores"/>
    <x v="7"/>
    <s v="Kraus"/>
    <s v="|126/01/05|"/>
    <n v="1188"/>
    <n v="2.15"/>
    <n v="3.99"/>
  </r>
  <r>
    <x v="3"/>
    <s v="Convenience stores"/>
    <x v="7"/>
    <s v="Kraus"/>
    <s v="|126/01/06|"/>
    <n v="864"/>
    <n v="2.87"/>
    <n v="3.7"/>
  </r>
  <r>
    <x v="3"/>
    <s v="Convenience stores"/>
    <x v="7"/>
    <s v="Kraus"/>
    <s v="|126/01/07|"/>
    <n v="1116"/>
    <n v="2.48"/>
    <n v="3.43"/>
  </r>
  <r>
    <x v="3"/>
    <s v="Convenience stores"/>
    <x v="7"/>
    <s v="Kraus"/>
    <s v="|126/01/08|"/>
    <n v="672"/>
    <n v="2.87"/>
    <n v="3.87"/>
  </r>
  <r>
    <x v="3"/>
    <s v="Convenience stores"/>
    <x v="7"/>
    <s v="Kraus"/>
    <s v="|126/01/09|"/>
    <n v="624"/>
    <n v="2.85"/>
    <n v="3.36"/>
  </r>
  <r>
    <x v="3"/>
    <s v="Convenience stores"/>
    <x v="7"/>
    <s v="Kraus"/>
    <s v="|126/02/01|"/>
    <n v="888"/>
    <n v="2.74"/>
    <n v="3.91"/>
  </r>
  <r>
    <x v="3"/>
    <s v="Convenience stores"/>
    <x v="7"/>
    <s v="Kraus"/>
    <s v="|126/02/02|"/>
    <n v="600"/>
    <n v="2.23"/>
    <n v="3.66"/>
  </r>
  <r>
    <x v="3"/>
    <s v="Convenience stores"/>
    <x v="7"/>
    <s v="Kraus"/>
    <s v="|126/02/03|"/>
    <n v="816"/>
    <n v="2.98"/>
    <n v="3.36"/>
  </r>
  <r>
    <x v="3"/>
    <s v="Convenience stores"/>
    <x v="7"/>
    <s v="Kraus"/>
    <s v="|126/02/04|"/>
    <n v="912"/>
    <n v="2.7"/>
    <n v="3.46"/>
  </r>
  <r>
    <x v="3"/>
    <s v="Convenience stores"/>
    <x v="7"/>
    <s v="Kraus"/>
    <s v="|126/02/05|"/>
    <n v="600"/>
    <n v="2.34"/>
    <n v="3.65"/>
  </r>
  <r>
    <x v="3"/>
    <s v="Convenience stores"/>
    <x v="7"/>
    <s v="Kraus"/>
    <s v="|126/02/06|"/>
    <n v="1068"/>
    <n v="2.13"/>
    <n v="3.96"/>
  </r>
  <r>
    <x v="3"/>
    <s v="Convenience stores"/>
    <x v="7"/>
    <s v="Kraus"/>
    <s v="|126/02/07|"/>
    <n v="804"/>
    <n v="2.57"/>
    <n v="3.96"/>
  </r>
  <r>
    <x v="3"/>
    <s v="Convenience stores"/>
    <x v="7"/>
    <s v="Kraus"/>
    <s v="|126/02/08|"/>
    <n v="984"/>
    <n v="2.79"/>
    <n v="3.84"/>
  </r>
  <r>
    <x v="3"/>
    <s v="Convenience stores"/>
    <x v="7"/>
    <s v="Kraus"/>
    <s v="|126/02/09|"/>
    <n v="1128"/>
    <n v="2.65"/>
    <n v="3.79"/>
  </r>
  <r>
    <x v="3"/>
    <s v="Convenience stores"/>
    <x v="7"/>
    <s v="Kraus"/>
    <s v="|126/02/10|"/>
    <n v="1116"/>
    <n v="2.33"/>
    <n v="3.69"/>
  </r>
  <r>
    <x v="3"/>
    <s v="Convenience stores"/>
    <x v="7"/>
    <s v="Kraus"/>
    <s v="|126/02/11|"/>
    <n v="1152"/>
    <n v="2.76"/>
    <n v="3.24"/>
  </r>
  <r>
    <x v="3"/>
    <s v="Convenience stores"/>
    <x v="7"/>
    <s v="Kraus"/>
    <s v="|126/02/12|"/>
    <n v="1116"/>
    <n v="2"/>
    <n v="3.99"/>
  </r>
  <r>
    <x v="3"/>
    <s v="Convenience stores"/>
    <x v="7"/>
    <s v="Kraus"/>
    <s v="|126/02/13|"/>
    <n v="996"/>
    <n v="2.06"/>
    <n v="3.49"/>
  </r>
  <r>
    <x v="3"/>
    <s v="Convenience stores"/>
    <x v="7"/>
    <s v="Kraus"/>
    <s v="|126/02/14|"/>
    <n v="900"/>
    <n v="2.63"/>
    <n v="3.76"/>
  </r>
  <r>
    <x v="3"/>
    <s v="Convenience stores"/>
    <x v="7"/>
    <s v="Kraus"/>
    <s v="|126/03/01|"/>
    <n v="864"/>
    <n v="2.5499999999999998"/>
    <n v="3.46"/>
  </r>
  <r>
    <x v="3"/>
    <s v="Convenience stores"/>
    <x v="7"/>
    <s v="Kraus"/>
    <s v="|126/03/02|"/>
    <n v="852"/>
    <n v="3"/>
    <n v="3.7"/>
  </r>
  <r>
    <x v="3"/>
    <s v="Convenience stores"/>
    <x v="7"/>
    <s v="Kraus"/>
    <s v="|126/03/03|"/>
    <n v="1008"/>
    <n v="2.54"/>
    <n v="3.97"/>
  </r>
  <r>
    <x v="3"/>
    <s v="Convenience stores"/>
    <x v="7"/>
    <s v="Kraus"/>
    <s v="|126/03/04|"/>
    <n v="756"/>
    <n v="2.58"/>
    <n v="3.72"/>
  </r>
  <r>
    <x v="3"/>
    <s v="Convenience stores"/>
    <x v="7"/>
    <s v="Kraus"/>
    <s v="|126/03/05|"/>
    <n v="648"/>
    <n v="2.5099999999999998"/>
    <n v="3.43"/>
  </r>
  <r>
    <x v="3"/>
    <s v="Convenience stores"/>
    <x v="4"/>
    <s v="Malizia"/>
    <s v="|01/02/01|"/>
    <n v="372"/>
    <n v="4.3600000000000003"/>
    <n v="5.39"/>
  </r>
  <r>
    <x v="3"/>
    <s v="Convenience stores"/>
    <x v="4"/>
    <s v="Malizia"/>
    <s v="|01/02/02|"/>
    <n v="360"/>
    <n v="4.33"/>
    <n v="5.35"/>
  </r>
  <r>
    <x v="3"/>
    <s v="Convenience stores"/>
    <x v="4"/>
    <s v="Malizia"/>
    <s v="|01/02/03|"/>
    <n v="432"/>
    <n v="4.74"/>
    <n v="5.03"/>
  </r>
  <r>
    <x v="3"/>
    <s v="Convenience stores"/>
    <x v="4"/>
    <s v="Malizia"/>
    <s v="|01/02/04|"/>
    <n v="708"/>
    <n v="4.09"/>
    <n v="5.33"/>
  </r>
  <r>
    <x v="3"/>
    <s v="Convenience stores"/>
    <x v="4"/>
    <s v="Malizia"/>
    <s v="|01/02/05|"/>
    <n v="600"/>
    <n v="4"/>
    <n v="5.23"/>
  </r>
  <r>
    <x v="3"/>
    <s v="Convenience stores"/>
    <x v="7"/>
    <s v="Fast&amp;Easy"/>
    <s v="|82/02/23|"/>
    <n v="900"/>
    <n v="2"/>
    <n v="3.4"/>
  </r>
  <r>
    <x v="3"/>
    <s v="Convenience stores"/>
    <x v="7"/>
    <s v="Fast&amp;Easy"/>
    <s v="|82/02/24|"/>
    <n v="828"/>
    <n v="2.23"/>
    <n v="3.91"/>
  </r>
  <r>
    <x v="3"/>
    <s v="Convenience stores"/>
    <x v="7"/>
    <s v="Fast&amp;Easy"/>
    <s v="|125/02/01|"/>
    <n v="708"/>
    <n v="2.81"/>
    <n v="3.86"/>
  </r>
  <r>
    <x v="3"/>
    <s v="Convenience stores"/>
    <x v="7"/>
    <s v="Fast&amp;Easy"/>
    <s v="|125/02/04|"/>
    <n v="792"/>
    <n v="2.64"/>
    <n v="3.37"/>
  </r>
  <r>
    <x v="3"/>
    <s v="Convenience stores"/>
    <x v="7"/>
    <s v="Fast&amp;Easy"/>
    <s v="|125/02/06|"/>
    <n v="600"/>
    <n v="2.42"/>
    <n v="3.94"/>
  </r>
  <r>
    <x v="3"/>
    <s v="Convenience stores"/>
    <x v="7"/>
    <s v="Fast&amp;Easy"/>
    <s v="|125/02/07|"/>
    <n v="612"/>
    <n v="2.58"/>
    <n v="3.8"/>
  </r>
  <r>
    <x v="3"/>
    <s v="Convenience stores"/>
    <x v="7"/>
    <s v="Fast&amp;Easy"/>
    <s v="|125/02/08|"/>
    <n v="1032"/>
    <n v="2.73"/>
    <n v="3.77"/>
  </r>
  <r>
    <x v="3"/>
    <s v="Convenience stores"/>
    <x v="7"/>
    <s v="Fast&amp;Easy"/>
    <s v="|125/04/01|"/>
    <n v="936"/>
    <n v="2.65"/>
    <n v="3.75"/>
  </r>
  <r>
    <x v="3"/>
    <s v="Convenience stores"/>
    <x v="7"/>
    <s v="Fast&amp;Easy"/>
    <s v="|125/04/16|"/>
    <n v="600"/>
    <n v="2.96"/>
    <n v="3.37"/>
  </r>
  <r>
    <x v="3"/>
    <s v="Convenience stores"/>
    <x v="7"/>
    <s v="Fast&amp;Easy"/>
    <s v="|125/04/17|"/>
    <n v="864"/>
    <n v="2.33"/>
    <n v="3.5"/>
  </r>
  <r>
    <x v="3"/>
    <s v="Convenience stores"/>
    <x v="7"/>
    <s v="Fast&amp;Easy"/>
    <s v="|125/05/02|"/>
    <n v="1128"/>
    <n v="2.95"/>
    <n v="3.47"/>
  </r>
  <r>
    <x v="3"/>
    <s v="Convenience stores"/>
    <x v="7"/>
    <s v="Fast&amp;Easy"/>
    <s v="|125/05/03|"/>
    <n v="984"/>
    <n v="2.5299999999999998"/>
    <n v="3.6"/>
  </r>
  <r>
    <x v="3"/>
    <s v="Convenience stores"/>
    <x v="7"/>
    <s v="Fast&amp;Easy"/>
    <s v="|125/05/04|"/>
    <n v="948"/>
    <n v="2.06"/>
    <n v="3.52"/>
  </r>
  <r>
    <x v="3"/>
    <s v="Convenience stores"/>
    <x v="7"/>
    <s v="Fast&amp;Easy"/>
    <s v="|125/05/06|"/>
    <n v="600"/>
    <n v="2.39"/>
    <n v="3.62"/>
  </r>
  <r>
    <x v="3"/>
    <s v="Convenience stores"/>
    <x v="7"/>
    <s v="Fast&amp;Easy"/>
    <s v="|125/05/07|"/>
    <n v="1128"/>
    <n v="2.87"/>
    <n v="3.43"/>
  </r>
  <r>
    <x v="3"/>
    <s v="Convenience stores"/>
    <x v="7"/>
    <s v="Fast&amp;Easy"/>
    <s v="|125/05/08|"/>
    <n v="1008"/>
    <n v="2.68"/>
    <n v="3.33"/>
  </r>
  <r>
    <x v="3"/>
    <s v="Convenience stores"/>
    <x v="7"/>
    <s v="Fast&amp;Easy"/>
    <s v="|125/05/09|"/>
    <n v="960"/>
    <n v="2.61"/>
    <n v="3.83"/>
  </r>
  <r>
    <x v="3"/>
    <s v="Convenience stores"/>
    <x v="7"/>
    <s v="Fast&amp;Easy"/>
    <s v="|125/05/15|"/>
    <n v="684"/>
    <n v="2.62"/>
    <n v="3.68"/>
  </r>
  <r>
    <x v="3"/>
    <s v="Convenience stores"/>
    <x v="7"/>
    <s v="Fast&amp;Easy"/>
    <s v="|125/05/17|"/>
    <n v="840"/>
    <n v="2.57"/>
    <n v="3.55"/>
  </r>
  <r>
    <x v="3"/>
    <s v="Convenience stores"/>
    <x v="7"/>
    <s v="Fast&amp;Easy"/>
    <s v="|125/05/18|"/>
    <n v="720"/>
    <n v="2.4900000000000002"/>
    <n v="3.25"/>
  </r>
  <r>
    <x v="3"/>
    <s v="Convenience stores"/>
    <x v="7"/>
    <s v="Fast&amp;Easy"/>
    <s v="|125/05/20|"/>
    <n v="1092"/>
    <n v="2.5099999999999998"/>
    <n v="3.41"/>
  </r>
  <r>
    <x v="3"/>
    <s v="Convenience stores"/>
    <x v="7"/>
    <s v="Fast&amp;Easy"/>
    <s v="|125/05/22|"/>
    <n v="816"/>
    <n v="2.68"/>
    <n v="3.29"/>
  </r>
  <r>
    <x v="3"/>
    <s v="Convenience stores"/>
    <x v="7"/>
    <s v="Fast&amp;Easy"/>
    <s v="|125/05/23|"/>
    <n v="1056"/>
    <n v="2.74"/>
    <n v="3.63"/>
  </r>
  <r>
    <x v="3"/>
    <s v="Convenience stores"/>
    <x v="7"/>
    <s v="Fast&amp;Easy"/>
    <s v="|125/05/28|"/>
    <n v="780"/>
    <n v="2.0099999999999998"/>
    <n v="3.34"/>
  </r>
  <r>
    <x v="3"/>
    <s v="Convenience stores"/>
    <x v="7"/>
    <s v="Fast&amp;Easy"/>
    <s v="|125/05/32|"/>
    <n v="1092"/>
    <n v="2.54"/>
    <n v="3.73"/>
  </r>
  <r>
    <x v="3"/>
    <s v="Convenience stores"/>
    <x v="7"/>
    <s v="Fast&amp;Easy"/>
    <s v="|125/05/37|"/>
    <n v="816"/>
    <n v="2.59"/>
    <n v="3.62"/>
  </r>
  <r>
    <x v="3"/>
    <s v="Convenience stores"/>
    <x v="7"/>
    <s v="Fast&amp;Easy"/>
    <s v="|125/05/42|"/>
    <n v="876"/>
    <n v="2.5"/>
    <n v="3.88"/>
  </r>
  <r>
    <x v="3"/>
    <s v="Convenience stores"/>
    <x v="7"/>
    <s v="Fast&amp;Easy"/>
    <s v="|125/05/50|"/>
    <n v="1200"/>
    <n v="2.2599999999999998"/>
    <n v="3.44"/>
  </r>
  <r>
    <x v="3"/>
    <s v="Convenience stores"/>
    <x v="7"/>
    <s v="Fast&amp;Easy"/>
    <s v="|125/05/58|"/>
    <n v="960"/>
    <n v="2.17"/>
    <n v="3.4"/>
  </r>
  <r>
    <x v="3"/>
    <s v="Convenience stores"/>
    <x v="7"/>
    <s v="Fast&amp;Easy"/>
    <s v="|125/05/59|"/>
    <n v="768"/>
    <n v="2.66"/>
    <n v="3.4"/>
  </r>
  <r>
    <x v="3"/>
    <s v="Convenience stores"/>
    <x v="6"/>
    <s v="Ice Allstars"/>
    <s v="|10/01/01|"/>
    <n v="2052"/>
    <n v="2.91"/>
    <n v="3.73"/>
  </r>
  <r>
    <x v="3"/>
    <s v="Convenience stores"/>
    <x v="6"/>
    <s v="Ice Allstars"/>
    <s v="|10/01/02|"/>
    <n v="2208"/>
    <n v="2.87"/>
    <n v="3.41"/>
  </r>
  <r>
    <x v="3"/>
    <s v="Convenience stores"/>
    <x v="6"/>
    <s v="Ice Allstars"/>
    <s v="|10/01/03|"/>
    <n v="1284"/>
    <n v="2.59"/>
    <n v="3.95"/>
  </r>
  <r>
    <x v="3"/>
    <s v="Convenience stores"/>
    <x v="6"/>
    <s v="Ice Allstars"/>
    <s v="|10/01/04|"/>
    <n v="1524"/>
    <n v="2.5099999999999998"/>
    <n v="3.59"/>
  </r>
  <r>
    <x v="3"/>
    <s v="Convenience stores"/>
    <x v="6"/>
    <s v="Ice Allstars"/>
    <s v="|10/01/05|"/>
    <n v="1740"/>
    <n v="2.77"/>
    <n v="3.49"/>
  </r>
  <r>
    <x v="3"/>
    <s v="Convenience stores"/>
    <x v="6"/>
    <s v="Ice Allstars"/>
    <s v="|10/01/06|"/>
    <n v="2172"/>
    <n v="2.95"/>
    <n v="3.6"/>
  </r>
  <r>
    <x v="3"/>
    <s v="Convenience stores"/>
    <x v="6"/>
    <s v="Ice Allstars"/>
    <s v="|10/01/07|"/>
    <n v="2376"/>
    <n v="2.88"/>
    <n v="3.67"/>
  </r>
  <r>
    <x v="3"/>
    <s v="Convenience stores"/>
    <x v="6"/>
    <s v="Ice Allstars"/>
    <s v="|10/01/08|"/>
    <n v="2460"/>
    <n v="2.4"/>
    <n v="3.51"/>
  </r>
  <r>
    <x v="3"/>
    <s v="Convenience stores"/>
    <x v="6"/>
    <s v="Ice Allstars"/>
    <s v="|10/01/09|"/>
    <n v="1848"/>
    <n v="2.58"/>
    <n v="3.5"/>
  </r>
  <r>
    <x v="3"/>
    <s v="Convenience stores"/>
    <x v="6"/>
    <s v="Ice Allstars"/>
    <s v="|10/01/12|"/>
    <n v="1200"/>
    <n v="2.9"/>
    <n v="3.7"/>
  </r>
  <r>
    <x v="3"/>
    <s v="Convenience stores"/>
    <x v="6"/>
    <s v="Ice Allstars"/>
    <s v="|10/01/21|"/>
    <n v="1308"/>
    <n v="2.65"/>
    <n v="3.32"/>
  </r>
  <r>
    <x v="3"/>
    <s v="Convenience stores"/>
    <x v="6"/>
    <s v="Ice Allstars"/>
    <s v="|10/01/22|"/>
    <n v="1632"/>
    <n v="2.5299999999999998"/>
    <n v="3.79"/>
  </r>
  <r>
    <x v="3"/>
    <s v="Convenience stores"/>
    <x v="6"/>
    <s v="Ice Allstars"/>
    <s v="|10/01/23|"/>
    <n v="1824"/>
    <n v="2.56"/>
    <n v="3.51"/>
  </r>
  <r>
    <x v="3"/>
    <s v="Convenience stores"/>
    <x v="6"/>
    <s v="Ice Allstars"/>
    <s v="|10/01/24|"/>
    <n v="2196"/>
    <n v="2.97"/>
    <n v="3.4"/>
  </r>
  <r>
    <x v="3"/>
    <s v="Convenience stores"/>
    <x v="7"/>
    <s v="Doleo"/>
    <s v="|113/01/01|"/>
    <n v="888"/>
    <n v="2.94"/>
    <n v="3.45"/>
  </r>
  <r>
    <x v="3"/>
    <s v="Convenience stores"/>
    <x v="7"/>
    <s v="Doleo"/>
    <s v="|113/01/04|"/>
    <n v="1068"/>
    <n v="2.41"/>
    <n v="3.82"/>
  </r>
  <r>
    <x v="3"/>
    <s v="Convenience stores"/>
    <x v="7"/>
    <s v="Doleo"/>
    <s v="|113/01/05|"/>
    <n v="672"/>
    <n v="2.4900000000000002"/>
    <n v="3.98"/>
  </r>
  <r>
    <x v="3"/>
    <s v="Convenience stores"/>
    <x v="7"/>
    <s v="Doleo"/>
    <s v="|113/01/09|"/>
    <n v="888"/>
    <n v="2.12"/>
    <n v="3.78"/>
  </r>
  <r>
    <x v="3"/>
    <s v="Convenience stores"/>
    <x v="7"/>
    <s v="Doleo"/>
    <s v="|113/01/23|"/>
    <n v="1032"/>
    <n v="2.0699999999999998"/>
    <n v="3.91"/>
  </r>
  <r>
    <x v="3"/>
    <s v="Convenience stores"/>
    <x v="7"/>
    <s v="Doleo"/>
    <s v="|113/01/30|"/>
    <n v="720"/>
    <n v="2.9"/>
    <n v="3.83"/>
  </r>
  <r>
    <x v="3"/>
    <s v="Convenience stores"/>
    <x v="7"/>
    <s v="Doleo"/>
    <s v="|113/01/31|"/>
    <n v="624"/>
    <n v="2.92"/>
    <n v="3.9"/>
  </r>
  <r>
    <x v="3"/>
    <s v="Convenience stores"/>
    <x v="7"/>
    <s v="Doleo"/>
    <s v="|113/01/33|"/>
    <n v="744"/>
    <n v="2.58"/>
    <n v="3.39"/>
  </r>
  <r>
    <x v="3"/>
    <s v="Convenience stores"/>
    <x v="7"/>
    <s v="Doleo"/>
    <s v="|113/01/34|"/>
    <n v="780"/>
    <n v="2.2999999999999998"/>
    <n v="3.87"/>
  </r>
  <r>
    <x v="3"/>
    <s v="Convenience stores"/>
    <x v="7"/>
    <s v="Doleo"/>
    <s v="|113/01/36|"/>
    <n v="792"/>
    <n v="2.92"/>
    <n v="3.62"/>
  </r>
  <r>
    <x v="3"/>
    <s v="Convenience stores"/>
    <x v="7"/>
    <s v="Doleo"/>
    <s v="|113/01/59|"/>
    <n v="1044"/>
    <n v="2.83"/>
    <n v="3.59"/>
  </r>
  <r>
    <x v="3"/>
    <s v="Convenience stores"/>
    <x v="7"/>
    <s v="Doleo"/>
    <s v="|113/01/76|"/>
    <n v="636"/>
    <n v="2.58"/>
    <n v="3.69"/>
  </r>
  <r>
    <x v="3"/>
    <s v="Convenience stores"/>
    <x v="6"/>
    <s v="Real ice"/>
    <s v="|112/01/01|"/>
    <n v="2088"/>
    <n v="2.33"/>
    <n v="4"/>
  </r>
  <r>
    <x v="3"/>
    <s v="Convenience stores"/>
    <x v="6"/>
    <s v="Real ice"/>
    <s v="|112/01/02|"/>
    <n v="1572"/>
    <n v="2.88"/>
    <n v="3.89"/>
  </r>
  <r>
    <x v="3"/>
    <s v="Convenience stores"/>
    <x v="6"/>
    <s v="Real ice"/>
    <s v="|112/01/03|"/>
    <n v="1608"/>
    <n v="2.63"/>
    <n v="3.79"/>
  </r>
  <r>
    <x v="3"/>
    <s v="Convenience stores"/>
    <x v="6"/>
    <s v="Real ice"/>
    <s v="|112/01/05|"/>
    <n v="2100"/>
    <n v="2.89"/>
    <n v="3.65"/>
  </r>
  <r>
    <x v="3"/>
    <s v="Convenience stores"/>
    <x v="6"/>
    <s v="Real ice"/>
    <s v="|112/01/20|"/>
    <n v="1836"/>
    <n v="2.97"/>
    <n v="3.69"/>
  </r>
  <r>
    <x v="3"/>
    <s v="Convenience stores"/>
    <x v="6"/>
    <s v="Real ice"/>
    <s v="|112/01/21|"/>
    <n v="2268"/>
    <n v="2.84"/>
    <n v="3.93"/>
  </r>
  <r>
    <x v="3"/>
    <s v="Convenience stores"/>
    <x v="6"/>
    <s v="Real ice"/>
    <s v="|112/01/22|"/>
    <n v="1344"/>
    <n v="2.36"/>
    <n v="3.73"/>
  </r>
  <r>
    <x v="3"/>
    <s v="Convenience stores"/>
    <x v="4"/>
    <s v="L'Oreal"/>
    <s v="|116/01/01|"/>
    <n v="612"/>
    <n v="4.57"/>
    <n v="5.34"/>
  </r>
  <r>
    <x v="3"/>
    <s v="Convenience stores"/>
    <x v="4"/>
    <s v="L'Oreal"/>
    <s v="|116/01/02|"/>
    <n v="348"/>
    <n v="4.57"/>
    <n v="5.31"/>
  </r>
  <r>
    <x v="3"/>
    <s v="Convenience stores"/>
    <x v="4"/>
    <s v="L'Oreal"/>
    <s v="|116/01/03|"/>
    <n v="468"/>
    <n v="4.96"/>
    <n v="5.17"/>
  </r>
  <r>
    <x v="3"/>
    <s v="Convenience stores"/>
    <x v="4"/>
    <s v="L'Oreal"/>
    <s v="|116/01/04|"/>
    <n v="564"/>
    <n v="4.84"/>
    <n v="5.19"/>
  </r>
  <r>
    <x v="3"/>
    <s v="Convenience stores"/>
    <x v="7"/>
    <s v="Green stars"/>
    <s v="|62/10/01|"/>
    <n v="876"/>
    <n v="2.56"/>
    <n v="3.65"/>
  </r>
  <r>
    <x v="3"/>
    <s v="Convenience stores"/>
    <x v="7"/>
    <s v="Green stars"/>
    <s v="|62/11/15|"/>
    <n v="744"/>
    <n v="2.4900000000000002"/>
    <n v="3.24"/>
  </r>
  <r>
    <x v="3"/>
    <s v="Convenience stores"/>
    <x v="7"/>
    <s v="Green stars"/>
    <s v="|82/01/03|"/>
    <n v="852"/>
    <n v="2.17"/>
    <n v="3.94"/>
  </r>
  <r>
    <x v="3"/>
    <s v="Convenience stores"/>
    <x v="7"/>
    <s v="Green stars"/>
    <s v="|82/01/04|"/>
    <n v="780"/>
    <n v="2.89"/>
    <n v="3.57"/>
  </r>
  <r>
    <x v="3"/>
    <s v="Convenience stores"/>
    <x v="7"/>
    <s v="Green stars"/>
    <s v="|82/01/05|"/>
    <n v="1188"/>
    <n v="2.59"/>
    <n v="3.65"/>
  </r>
  <r>
    <x v="3"/>
    <s v="Convenience stores"/>
    <x v="7"/>
    <s v="Green stars"/>
    <s v="|82/01/06|"/>
    <n v="768"/>
    <n v="2.82"/>
    <n v="3.23"/>
  </r>
  <r>
    <x v="3"/>
    <s v="Convenience stores"/>
    <x v="7"/>
    <s v="Green stars"/>
    <s v="|82/01/07|"/>
    <n v="744"/>
    <n v="2.48"/>
    <n v="3.22"/>
  </r>
  <r>
    <x v="3"/>
    <s v="Convenience stores"/>
    <x v="7"/>
    <s v="Green stars"/>
    <s v="|82/01/08|"/>
    <n v="912"/>
    <n v="2.1"/>
    <n v="3.78"/>
  </r>
  <r>
    <x v="3"/>
    <s v="Convenience stores"/>
    <x v="7"/>
    <s v="Green stars"/>
    <s v="|82/01/09|"/>
    <n v="648"/>
    <n v="2.12"/>
    <n v="3.75"/>
  </r>
  <r>
    <x v="3"/>
    <s v="Convenience stores"/>
    <x v="7"/>
    <s v="Green stars"/>
    <s v="|82/01/11|"/>
    <n v="1188"/>
    <n v="2.34"/>
    <n v="3.77"/>
  </r>
  <r>
    <x v="3"/>
    <s v="Convenience stores"/>
    <x v="7"/>
    <s v="Green stars"/>
    <s v="|82/01/12|"/>
    <n v="792"/>
    <n v="2.9"/>
    <n v="3.63"/>
  </r>
  <r>
    <x v="3"/>
    <s v="Convenience stores"/>
    <x v="7"/>
    <s v="Green stars"/>
    <s v="|82/01/13|"/>
    <n v="828"/>
    <n v="2.44"/>
    <n v="3.33"/>
  </r>
  <r>
    <x v="3"/>
    <s v="Convenience stores"/>
    <x v="7"/>
    <s v="Green stars"/>
    <s v="|82/01/16|"/>
    <n v="1080"/>
    <n v="2.66"/>
    <n v="4"/>
  </r>
  <r>
    <x v="3"/>
    <s v="Convenience stores"/>
    <x v="7"/>
    <s v="Green stars"/>
    <s v="|82/01/17|"/>
    <n v="1056"/>
    <n v="2.5299999999999998"/>
    <n v="3.69"/>
  </r>
  <r>
    <x v="3"/>
    <s v="Convenience stores"/>
    <x v="7"/>
    <s v="Green stars"/>
    <s v="|82/01/18|"/>
    <n v="1200"/>
    <n v="2.81"/>
    <n v="3.23"/>
  </r>
  <r>
    <x v="3"/>
    <s v="Convenience stores"/>
    <x v="7"/>
    <s v="Green stars"/>
    <s v="|82/01/19|"/>
    <n v="792"/>
    <n v="2.52"/>
    <n v="3.58"/>
  </r>
  <r>
    <x v="3"/>
    <s v="Convenience stores"/>
    <x v="7"/>
    <s v="Green stars"/>
    <s v="|82/01/20|"/>
    <n v="972"/>
    <n v="2.29"/>
    <n v="3.93"/>
  </r>
  <r>
    <x v="3"/>
    <s v="Convenience stores"/>
    <x v="7"/>
    <s v="Green stars"/>
    <s v="|82/01/21|"/>
    <n v="684"/>
    <n v="2.41"/>
    <n v="3.9"/>
  </r>
  <r>
    <x v="3"/>
    <s v="Convenience stores"/>
    <x v="7"/>
    <s v="Green stars"/>
    <s v="|82/01/22|"/>
    <n v="960"/>
    <n v="2.74"/>
    <n v="3.37"/>
  </r>
  <r>
    <x v="3"/>
    <s v="Convenience stores"/>
    <x v="7"/>
    <s v="Green stars"/>
    <s v="|82/01/23|"/>
    <n v="924"/>
    <n v="2.5499999999999998"/>
    <n v="3.75"/>
  </r>
  <r>
    <x v="3"/>
    <s v="Convenience stores"/>
    <x v="7"/>
    <s v="Green stars"/>
    <s v="|82/01/24|"/>
    <n v="1152"/>
    <n v="2.21"/>
    <n v="3.9"/>
  </r>
  <r>
    <x v="3"/>
    <s v="Convenience stores"/>
    <x v="7"/>
    <s v="Green stars"/>
    <s v="|82/01/25|"/>
    <n v="732"/>
    <n v="2.02"/>
    <n v="3.62"/>
  </r>
  <r>
    <x v="3"/>
    <s v="Convenience stores"/>
    <x v="7"/>
    <s v="Green stars"/>
    <s v="|82/01/26|"/>
    <n v="1008"/>
    <n v="2.02"/>
    <n v="3.47"/>
  </r>
  <r>
    <x v="3"/>
    <s v="Convenience stores"/>
    <x v="7"/>
    <s v="Green stars"/>
    <s v="|82/01/27|"/>
    <n v="1164"/>
    <n v="2.88"/>
    <n v="3.57"/>
  </r>
  <r>
    <x v="3"/>
    <s v="Convenience stores"/>
    <x v="7"/>
    <s v="Green stars"/>
    <s v="|82/01/28|"/>
    <n v="768"/>
    <n v="2.27"/>
    <n v="3.67"/>
  </r>
  <r>
    <x v="3"/>
    <s v="Convenience stores"/>
    <x v="7"/>
    <s v="Green stars"/>
    <s v="|82/01/29|"/>
    <n v="1140"/>
    <n v="2.5"/>
    <n v="3.23"/>
  </r>
  <r>
    <x v="3"/>
    <s v="Convenience stores"/>
    <x v="7"/>
    <s v="Green stars"/>
    <s v="|82/01/30|"/>
    <n v="768"/>
    <n v="2.34"/>
    <n v="3.23"/>
  </r>
  <r>
    <x v="3"/>
    <s v="Convenience stores"/>
    <x v="7"/>
    <s v="Green stars"/>
    <s v="|82/01/31|"/>
    <n v="888"/>
    <n v="2.73"/>
    <n v="3.36"/>
  </r>
  <r>
    <x v="3"/>
    <s v="Convenience stores"/>
    <x v="7"/>
    <s v="Green stars"/>
    <s v="|82/01/32|"/>
    <n v="600"/>
    <n v="3"/>
    <n v="3.61"/>
  </r>
  <r>
    <x v="3"/>
    <s v="Convenience stores"/>
    <x v="7"/>
    <s v="Green stars"/>
    <s v="|82/01/33|"/>
    <n v="1200"/>
    <n v="2.44"/>
    <n v="3.71"/>
  </r>
  <r>
    <x v="3"/>
    <s v="Convenience stores"/>
    <x v="7"/>
    <s v="Green stars"/>
    <s v="|82/01/34|"/>
    <n v="840"/>
    <n v="2.58"/>
    <n v="3.66"/>
  </r>
  <r>
    <x v="3"/>
    <s v="Convenience stores"/>
    <x v="7"/>
    <s v="Green stars"/>
    <s v="|82/01/35|"/>
    <n v="720"/>
    <n v="2.87"/>
    <n v="3.77"/>
  </r>
  <r>
    <x v="3"/>
    <s v="Convenience stores"/>
    <x v="7"/>
    <s v="Green stars"/>
    <s v="|82/01/36|"/>
    <n v="660"/>
    <n v="2.34"/>
    <n v="3.52"/>
  </r>
  <r>
    <x v="3"/>
    <s v="Convenience stores"/>
    <x v="7"/>
    <s v="Green stars"/>
    <s v="|82/01/37|"/>
    <n v="960"/>
    <n v="2.93"/>
    <n v="3.96"/>
  </r>
  <r>
    <x v="3"/>
    <s v="Convenience stores"/>
    <x v="7"/>
    <s v="Green stars"/>
    <s v="|82/01/38|"/>
    <n v="912"/>
    <n v="2.54"/>
    <n v="3.65"/>
  </r>
  <r>
    <x v="3"/>
    <s v="Convenience stores"/>
    <x v="7"/>
    <s v="Green stars"/>
    <s v="|82/01/39|"/>
    <n v="1140"/>
    <n v="2.44"/>
    <n v="3.92"/>
  </r>
  <r>
    <x v="3"/>
    <s v="Convenience stores"/>
    <x v="7"/>
    <s v="Green stars"/>
    <s v="|82/01/40|"/>
    <n v="972"/>
    <n v="2.4500000000000002"/>
    <n v="3.6"/>
  </r>
  <r>
    <x v="3"/>
    <s v="Convenience stores"/>
    <x v="7"/>
    <s v="Green stars"/>
    <s v="|82/01/41|"/>
    <n v="924"/>
    <n v="2.2000000000000002"/>
    <n v="3.87"/>
  </r>
  <r>
    <x v="3"/>
    <s v="Convenience stores"/>
    <x v="7"/>
    <s v="Green stars"/>
    <s v="|82/01/42|"/>
    <n v="1116"/>
    <n v="2.57"/>
    <n v="3.26"/>
  </r>
  <r>
    <x v="3"/>
    <s v="Convenience stores"/>
    <x v="7"/>
    <s v="Green stars"/>
    <s v="|82/01/43|"/>
    <n v="1200"/>
    <n v="2.66"/>
    <n v="3.63"/>
  </r>
  <r>
    <x v="3"/>
    <s v="Convenience stores"/>
    <x v="7"/>
    <s v="Green stars"/>
    <s v="|82/01/44|"/>
    <n v="1140"/>
    <n v="2.1800000000000002"/>
    <n v="3.66"/>
  </r>
  <r>
    <x v="3"/>
    <s v="Convenience stores"/>
    <x v="7"/>
    <s v="Green stars"/>
    <s v="|82/01/45|"/>
    <n v="792"/>
    <n v="2.9"/>
    <n v="3.45"/>
  </r>
  <r>
    <x v="3"/>
    <s v="Convenience stores"/>
    <x v="7"/>
    <s v="Green stars"/>
    <s v="|82/01/46|"/>
    <n v="900"/>
    <n v="2.79"/>
    <n v="3.89"/>
  </r>
  <r>
    <x v="3"/>
    <s v="Convenience stores"/>
    <x v="7"/>
    <s v="Green stars"/>
    <s v="|82/01/47|"/>
    <n v="732"/>
    <n v="2.4"/>
    <n v="3.2"/>
  </r>
  <r>
    <x v="3"/>
    <s v="Convenience stores"/>
    <x v="7"/>
    <s v="Green stars"/>
    <s v="|82/01/48|"/>
    <n v="864"/>
    <n v="2.4500000000000002"/>
    <n v="3.59"/>
  </r>
  <r>
    <x v="3"/>
    <s v="Convenience stores"/>
    <x v="7"/>
    <s v="Green stars"/>
    <s v="|82/01/49|"/>
    <n v="1032"/>
    <n v="2.1800000000000002"/>
    <n v="3.61"/>
  </r>
  <r>
    <x v="3"/>
    <s v="Convenience stores"/>
    <x v="7"/>
    <s v="Green stars"/>
    <s v="|82/01/50|"/>
    <n v="780"/>
    <n v="2.8"/>
    <n v="3.59"/>
  </r>
  <r>
    <x v="3"/>
    <s v="Convenience stores"/>
    <x v="7"/>
    <s v="Green stars"/>
    <s v="|82/01/51|"/>
    <n v="840"/>
    <n v="2.38"/>
    <n v="3.21"/>
  </r>
  <r>
    <x v="3"/>
    <s v="Convenience stores"/>
    <x v="7"/>
    <s v="Green stars"/>
    <s v="|82/01/52|"/>
    <n v="696"/>
    <n v="2.65"/>
    <n v="3.65"/>
  </r>
  <r>
    <x v="3"/>
    <s v="Convenience stores"/>
    <x v="7"/>
    <s v="Green stars"/>
    <s v="|82/01/53|"/>
    <n v="756"/>
    <n v="2.08"/>
    <n v="3.56"/>
  </r>
  <r>
    <x v="3"/>
    <s v="Convenience stores"/>
    <x v="7"/>
    <s v="Green stars"/>
    <s v="|82/01/54|"/>
    <n v="1092"/>
    <n v="2.5499999999999998"/>
    <n v="3.53"/>
  </r>
  <r>
    <x v="3"/>
    <s v="Convenience stores"/>
    <x v="7"/>
    <s v="Green stars"/>
    <s v="|82/01/55|"/>
    <n v="660"/>
    <n v="2.0699999999999998"/>
    <n v="3.48"/>
  </r>
  <r>
    <x v="3"/>
    <s v="Convenience stores"/>
    <x v="7"/>
    <s v="Green stars"/>
    <s v="|82/01/57|"/>
    <n v="1068"/>
    <n v="2.54"/>
    <n v="3.41"/>
  </r>
  <r>
    <x v="3"/>
    <s v="Convenience stores"/>
    <x v="7"/>
    <s v="Green stars"/>
    <s v="|82/02/01|"/>
    <n v="888"/>
    <n v="2.84"/>
    <n v="3.81"/>
  </r>
  <r>
    <x v="3"/>
    <s v="Convenience stores"/>
    <x v="7"/>
    <s v="Green stars"/>
    <s v="|82/02/02|"/>
    <n v="708"/>
    <n v="2.36"/>
    <n v="3.35"/>
  </r>
  <r>
    <x v="3"/>
    <s v="Convenience stores"/>
    <x v="7"/>
    <s v="Green stars"/>
    <s v="|82/02/03|"/>
    <n v="1188"/>
    <n v="2.33"/>
    <n v="3.47"/>
  </r>
  <r>
    <x v="3"/>
    <s v="Convenience stores"/>
    <x v="7"/>
    <s v="Green stars"/>
    <s v="|82/02/05|"/>
    <n v="804"/>
    <n v="2.4700000000000002"/>
    <n v="3.77"/>
  </r>
  <r>
    <x v="3"/>
    <s v="Convenience stores"/>
    <x v="7"/>
    <s v="Green stars"/>
    <s v="|82/02/06|"/>
    <n v="852"/>
    <n v="2.13"/>
    <n v="3.94"/>
  </r>
  <r>
    <x v="3"/>
    <s v="Convenience stores"/>
    <x v="7"/>
    <s v="Green stars"/>
    <s v="|82/03/01|"/>
    <n v="840"/>
    <n v="2.16"/>
    <n v="3.5"/>
  </r>
  <r>
    <x v="3"/>
    <s v="Convenience stores"/>
    <x v="3"/>
    <s v="Turgsbro"/>
    <s v="|26/99/99|"/>
    <n v="84"/>
    <n v="1.05"/>
    <n v="1.25"/>
  </r>
  <r>
    <x v="3"/>
    <s v="Convenience stores"/>
    <x v="7"/>
    <s v="Bonduelle"/>
    <s v="|26/04/18|"/>
    <n v="1188"/>
    <n v="2.83"/>
    <n v="3.62"/>
  </r>
  <r>
    <x v="3"/>
    <s v="Convenience stores"/>
    <x v="7"/>
    <s v="Bonduelle"/>
    <s v="|62/01/01|"/>
    <n v="1128"/>
    <n v="2.6"/>
    <n v="3.56"/>
  </r>
  <r>
    <x v="3"/>
    <s v="Convenience stores"/>
    <x v="7"/>
    <s v="Bonduelle"/>
    <s v="|62/01/02|"/>
    <n v="696"/>
    <n v="2.21"/>
    <n v="3.42"/>
  </r>
  <r>
    <x v="3"/>
    <s v="Convenience stores"/>
    <x v="7"/>
    <s v="Bonduelle"/>
    <s v="|62/01/03|"/>
    <n v="1116"/>
    <n v="2.82"/>
    <n v="3.85"/>
  </r>
  <r>
    <x v="3"/>
    <s v="Convenience stores"/>
    <x v="7"/>
    <s v="Bonduelle"/>
    <s v="|62/01/04|"/>
    <n v="696"/>
    <n v="2.52"/>
    <n v="3.73"/>
  </r>
  <r>
    <x v="3"/>
    <s v="Convenience stores"/>
    <x v="7"/>
    <s v="Bonduelle"/>
    <s v="|62/01/05|"/>
    <n v="1008"/>
    <n v="2.06"/>
    <n v="3.55"/>
  </r>
  <r>
    <x v="3"/>
    <s v="Convenience stores"/>
    <x v="7"/>
    <s v="Bonduelle"/>
    <s v="|62/01/06|"/>
    <n v="720"/>
    <n v="2.99"/>
    <n v="3.35"/>
  </r>
  <r>
    <x v="3"/>
    <s v="Convenience stores"/>
    <x v="7"/>
    <s v="Bonduelle"/>
    <s v="|62/01/07|"/>
    <n v="1128"/>
    <n v="2.58"/>
    <n v="3.64"/>
  </r>
  <r>
    <x v="3"/>
    <s v="Convenience stores"/>
    <x v="7"/>
    <s v="Bonduelle"/>
    <s v="|62/01/08|"/>
    <n v="1056"/>
    <n v="2.0699999999999998"/>
    <n v="3.62"/>
  </r>
  <r>
    <x v="3"/>
    <s v="Convenience stores"/>
    <x v="7"/>
    <s v="Bonduelle"/>
    <s v="|62/01/09|"/>
    <n v="744"/>
    <n v="2.4700000000000002"/>
    <n v="3.65"/>
  </r>
  <r>
    <x v="3"/>
    <s v="Convenience stores"/>
    <x v="7"/>
    <s v="Bonduelle"/>
    <s v="|62/01/10|"/>
    <n v="672"/>
    <n v="2.0299999999999998"/>
    <n v="3.43"/>
  </r>
  <r>
    <x v="3"/>
    <s v="Convenience stores"/>
    <x v="7"/>
    <s v="Bonduelle"/>
    <s v="|62/01/11|"/>
    <n v="696"/>
    <n v="2.6"/>
    <n v="3.45"/>
  </r>
  <r>
    <x v="3"/>
    <s v="Convenience stores"/>
    <x v="7"/>
    <s v="Bonduelle"/>
    <s v="|62/01/12|"/>
    <n v="732"/>
    <n v="2"/>
    <n v="3.59"/>
  </r>
  <r>
    <x v="3"/>
    <s v="Convenience stores"/>
    <x v="7"/>
    <s v="Bonduelle"/>
    <s v="|62/01/13|"/>
    <n v="1128"/>
    <n v="2.11"/>
    <n v="3.69"/>
  </r>
  <r>
    <x v="3"/>
    <s v="Convenience stores"/>
    <x v="7"/>
    <s v="Bonduelle"/>
    <s v="|62/01/14|"/>
    <n v="624"/>
    <n v="2.37"/>
    <n v="3.79"/>
  </r>
  <r>
    <x v="3"/>
    <s v="Convenience stores"/>
    <x v="7"/>
    <s v="Bonduelle"/>
    <s v="|62/01/15|"/>
    <n v="780"/>
    <n v="2.21"/>
    <n v="3.97"/>
  </r>
  <r>
    <x v="3"/>
    <s v="Convenience stores"/>
    <x v="7"/>
    <s v="Bonduelle"/>
    <s v="|62/01/16|"/>
    <n v="804"/>
    <n v="2.2200000000000002"/>
    <n v="3.3"/>
  </r>
  <r>
    <x v="3"/>
    <s v="Convenience stores"/>
    <x v="7"/>
    <s v="Bonduelle"/>
    <s v="|62/01/17|"/>
    <n v="804"/>
    <n v="2.92"/>
    <n v="3.22"/>
  </r>
  <r>
    <x v="3"/>
    <s v="Convenience stores"/>
    <x v="7"/>
    <s v="Bonduelle"/>
    <s v="|62/01/18|"/>
    <n v="828"/>
    <n v="2.9"/>
    <n v="3.32"/>
  </r>
  <r>
    <x v="3"/>
    <s v="Convenience stores"/>
    <x v="7"/>
    <s v="Bonduelle"/>
    <s v="|62/01/19|"/>
    <n v="1140"/>
    <n v="2.19"/>
    <n v="3.34"/>
  </r>
  <r>
    <x v="3"/>
    <s v="Convenience stores"/>
    <x v="7"/>
    <s v="Bonduelle"/>
    <s v="|62/01/20|"/>
    <n v="804"/>
    <n v="2.81"/>
    <n v="3.77"/>
  </r>
  <r>
    <x v="3"/>
    <s v="Convenience stores"/>
    <x v="7"/>
    <s v="Bonduelle"/>
    <s v="|62/01/21|"/>
    <n v="996"/>
    <n v="2.54"/>
    <n v="3.31"/>
  </r>
  <r>
    <x v="3"/>
    <s v="Convenience stores"/>
    <x v="7"/>
    <s v="Bonduelle"/>
    <s v="|62/01/22|"/>
    <n v="636"/>
    <n v="2.2400000000000002"/>
    <n v="3.35"/>
  </r>
  <r>
    <x v="3"/>
    <s v="Convenience stores"/>
    <x v="7"/>
    <s v="Bonduelle"/>
    <s v="|62/01/23|"/>
    <n v="900"/>
    <n v="2.2999999999999998"/>
    <n v="3.78"/>
  </r>
  <r>
    <x v="3"/>
    <s v="Convenience stores"/>
    <x v="7"/>
    <s v="Bonduelle"/>
    <s v="|62/01/24|"/>
    <n v="720"/>
    <n v="2.76"/>
    <n v="3.78"/>
  </r>
  <r>
    <x v="3"/>
    <s v="Convenience stores"/>
    <x v="7"/>
    <s v="Bonduelle"/>
    <s v="|62/01/25|"/>
    <n v="612"/>
    <n v="2.6"/>
    <n v="3.65"/>
  </r>
  <r>
    <x v="3"/>
    <s v="Convenience stores"/>
    <x v="7"/>
    <s v="Bonduelle"/>
    <s v="|62/01/26|"/>
    <n v="684"/>
    <n v="2.93"/>
    <n v="3.69"/>
  </r>
  <r>
    <x v="3"/>
    <s v="Convenience stores"/>
    <x v="7"/>
    <s v="Bonduelle"/>
    <s v="|62/01/27|"/>
    <n v="684"/>
    <n v="2.75"/>
    <n v="3.65"/>
  </r>
  <r>
    <x v="3"/>
    <s v="Convenience stores"/>
    <x v="7"/>
    <s v="Bonduelle"/>
    <s v="|62/01/28|"/>
    <n v="1080"/>
    <n v="2.72"/>
    <n v="3.33"/>
  </r>
  <r>
    <x v="3"/>
    <s v="Convenience stores"/>
    <x v="7"/>
    <s v="Bonduelle"/>
    <s v="|62/01/29|"/>
    <n v="672"/>
    <n v="2.93"/>
    <n v="3.31"/>
  </r>
  <r>
    <x v="3"/>
    <s v="Convenience stores"/>
    <x v="7"/>
    <s v="Bonduelle"/>
    <s v="|62/01/30|"/>
    <n v="1092"/>
    <n v="2.52"/>
    <n v="3.4"/>
  </r>
  <r>
    <x v="3"/>
    <s v="Convenience stores"/>
    <x v="7"/>
    <s v="Bonduelle"/>
    <s v="|62/01/31|"/>
    <n v="600"/>
    <n v="2.68"/>
    <n v="3.94"/>
  </r>
  <r>
    <x v="3"/>
    <s v="Convenience stores"/>
    <x v="7"/>
    <s v="Bonduelle"/>
    <s v="|62/01/32|"/>
    <n v="720"/>
    <n v="2.16"/>
    <n v="3.39"/>
  </r>
  <r>
    <x v="3"/>
    <s v="Convenience stores"/>
    <x v="7"/>
    <s v="Bonduelle"/>
    <s v="|62/01/33|"/>
    <n v="1116"/>
    <n v="2.44"/>
    <n v="3.89"/>
  </r>
  <r>
    <x v="3"/>
    <s v="Convenience stores"/>
    <x v="7"/>
    <s v="Bonduelle"/>
    <s v="|62/01/34|"/>
    <n v="972"/>
    <n v="2.88"/>
    <n v="3.41"/>
  </r>
  <r>
    <x v="3"/>
    <s v="Convenience stores"/>
    <x v="7"/>
    <s v="Bonduelle"/>
    <s v="|62/01/35|"/>
    <n v="792"/>
    <n v="2.41"/>
    <n v="3.31"/>
  </r>
  <r>
    <x v="3"/>
    <s v="Convenience stores"/>
    <x v="7"/>
    <s v="Bonduelle"/>
    <s v="|62/01/36|"/>
    <n v="756"/>
    <n v="2.57"/>
    <n v="3.69"/>
  </r>
  <r>
    <x v="3"/>
    <s v="Convenience stores"/>
    <x v="7"/>
    <s v="Bonduelle"/>
    <s v="|62/01/37|"/>
    <n v="924"/>
    <n v="2.89"/>
    <n v="3.63"/>
  </r>
  <r>
    <x v="3"/>
    <s v="Convenience stores"/>
    <x v="7"/>
    <s v="Bonduelle"/>
    <s v="|62/01/38|"/>
    <n v="624"/>
    <n v="2.58"/>
    <n v="3.54"/>
  </r>
  <r>
    <x v="3"/>
    <s v="Convenience stores"/>
    <x v="7"/>
    <s v="Bonduelle"/>
    <s v="|62/01/39|"/>
    <n v="972"/>
    <n v="2.2200000000000002"/>
    <n v="3.93"/>
  </r>
  <r>
    <x v="3"/>
    <s v="Convenience stores"/>
    <x v="7"/>
    <s v="Bonduelle"/>
    <s v="|62/01/40|"/>
    <n v="1032"/>
    <n v="2.58"/>
    <n v="3.38"/>
  </r>
  <r>
    <x v="3"/>
    <s v="Convenience stores"/>
    <x v="7"/>
    <s v="Bonduelle"/>
    <s v="|62/01/41|"/>
    <n v="1008"/>
    <n v="2.27"/>
    <n v="3.24"/>
  </r>
  <r>
    <x v="3"/>
    <s v="Convenience stores"/>
    <x v="7"/>
    <s v="Bonduelle"/>
    <s v="|62/01/42|"/>
    <n v="804"/>
    <n v="2.4900000000000002"/>
    <n v="3.53"/>
  </r>
  <r>
    <x v="3"/>
    <s v="Convenience stores"/>
    <x v="7"/>
    <s v="Bonduelle"/>
    <s v="|62/01/43|"/>
    <n v="660"/>
    <n v="2.59"/>
    <n v="3.21"/>
  </r>
  <r>
    <x v="3"/>
    <s v="Convenience stores"/>
    <x v="7"/>
    <s v="Bonduelle"/>
    <s v="|62/01/44|"/>
    <n v="1104"/>
    <n v="2.5299999999999998"/>
    <n v="3.59"/>
  </r>
  <r>
    <x v="3"/>
    <s v="Convenience stores"/>
    <x v="7"/>
    <s v="Bonduelle"/>
    <s v="|62/01/45|"/>
    <n v="840"/>
    <n v="2.31"/>
    <n v="3.77"/>
  </r>
  <r>
    <x v="3"/>
    <s v="Convenience stores"/>
    <x v="7"/>
    <s v="Bonduelle"/>
    <s v="|62/01/46|"/>
    <n v="1200"/>
    <n v="2.0499999999999998"/>
    <n v="3.49"/>
  </r>
  <r>
    <x v="3"/>
    <s v="Convenience stores"/>
    <x v="7"/>
    <s v="Bonduelle"/>
    <s v="|62/01/99|"/>
    <n v="972"/>
    <n v="2.88"/>
    <n v="3.65"/>
  </r>
  <r>
    <x v="3"/>
    <s v="Convenience stores"/>
    <x v="7"/>
    <s v="Bonduelle"/>
    <s v="|62/02/01|"/>
    <n v="1080"/>
    <n v="2.68"/>
    <n v="3.29"/>
  </r>
  <r>
    <x v="3"/>
    <s v="Convenience stores"/>
    <x v="7"/>
    <s v="Bonduelle"/>
    <s v="|62/02/02|"/>
    <n v="1200"/>
    <n v="2.2000000000000002"/>
    <n v="3.68"/>
  </r>
  <r>
    <x v="3"/>
    <s v="Convenience stores"/>
    <x v="7"/>
    <s v="Bonduelle"/>
    <s v="|62/02/03|"/>
    <n v="1092"/>
    <n v="2.08"/>
    <n v="3.44"/>
  </r>
  <r>
    <x v="3"/>
    <s v="Convenience stores"/>
    <x v="7"/>
    <s v="Bonduelle"/>
    <s v="|62/02/04|"/>
    <n v="708"/>
    <n v="2.4300000000000002"/>
    <n v="3.79"/>
  </r>
  <r>
    <x v="3"/>
    <s v="Convenience stores"/>
    <x v="7"/>
    <s v="Bonduelle"/>
    <s v="|62/02/05|"/>
    <n v="1152"/>
    <n v="2.2400000000000002"/>
    <n v="3.2"/>
  </r>
  <r>
    <x v="3"/>
    <s v="Convenience stores"/>
    <x v="7"/>
    <s v="Bonduelle"/>
    <s v="|62/02/06|"/>
    <n v="852"/>
    <n v="2.65"/>
    <n v="3.72"/>
  </r>
  <r>
    <x v="3"/>
    <s v="Convenience stores"/>
    <x v="7"/>
    <s v="Bonduelle"/>
    <s v="|62/02/07|"/>
    <n v="756"/>
    <n v="2.69"/>
    <n v="3.59"/>
  </r>
  <r>
    <x v="3"/>
    <s v="Convenience stores"/>
    <x v="7"/>
    <s v="Bonduelle"/>
    <s v="|62/02/08|"/>
    <n v="780"/>
    <n v="2.36"/>
    <n v="3.88"/>
  </r>
  <r>
    <x v="3"/>
    <s v="Convenience stores"/>
    <x v="7"/>
    <s v="Bonduelle"/>
    <s v="|62/02/09|"/>
    <n v="612"/>
    <n v="2.9"/>
    <n v="3.38"/>
  </r>
  <r>
    <x v="3"/>
    <s v="Convenience stores"/>
    <x v="7"/>
    <s v="Bonduelle"/>
    <s v="|62/02/10|"/>
    <n v="912"/>
    <n v="2.91"/>
    <n v="3.53"/>
  </r>
  <r>
    <x v="3"/>
    <s v="Convenience stores"/>
    <x v="7"/>
    <s v="Bonduelle"/>
    <s v="|62/02/11|"/>
    <n v="912"/>
    <n v="2.02"/>
    <n v="3.82"/>
  </r>
  <r>
    <x v="3"/>
    <s v="Convenience stores"/>
    <x v="7"/>
    <s v="Bonduelle"/>
    <s v="|62/02/13|"/>
    <n v="828"/>
    <n v="2.11"/>
    <n v="3.77"/>
  </r>
  <r>
    <x v="3"/>
    <s v="Convenience stores"/>
    <x v="7"/>
    <s v="Bonduelle"/>
    <s v="|62/02/14|"/>
    <n v="768"/>
    <n v="2.98"/>
    <n v="3.89"/>
  </r>
  <r>
    <x v="3"/>
    <s v="Convenience stores"/>
    <x v="7"/>
    <s v="Bonduelle"/>
    <s v="|62/02/15|"/>
    <n v="600"/>
    <n v="2.95"/>
    <n v="3.71"/>
  </r>
  <r>
    <x v="3"/>
    <s v="Convenience stores"/>
    <x v="7"/>
    <s v="Bonduelle"/>
    <s v="|62/03/01|"/>
    <n v="1092"/>
    <n v="2.75"/>
    <n v="3.5"/>
  </r>
  <r>
    <x v="3"/>
    <s v="Convenience stores"/>
    <x v="7"/>
    <s v="Bonduelle"/>
    <s v="|62/03/02|"/>
    <n v="780"/>
    <n v="2.73"/>
    <n v="3.82"/>
  </r>
  <r>
    <x v="3"/>
    <s v="Convenience stores"/>
    <x v="7"/>
    <s v="Bonduelle"/>
    <s v="|62/03/03|"/>
    <n v="792"/>
    <n v="2.61"/>
    <n v="3.73"/>
  </r>
  <r>
    <x v="3"/>
    <s v="Convenience stores"/>
    <x v="7"/>
    <s v="Bonduelle"/>
    <s v="|62/03/04|"/>
    <n v="684"/>
    <n v="2.82"/>
    <n v="3.41"/>
  </r>
  <r>
    <x v="3"/>
    <s v="Convenience stores"/>
    <x v="7"/>
    <s v="Bonduelle"/>
    <s v="|62/03/05|"/>
    <n v="732"/>
    <n v="2.12"/>
    <n v="3.69"/>
  </r>
  <r>
    <x v="3"/>
    <s v="Convenience stores"/>
    <x v="7"/>
    <s v="Bonduelle"/>
    <s v="|62/03/06|"/>
    <n v="612"/>
    <n v="2.11"/>
    <n v="3.92"/>
  </r>
  <r>
    <x v="3"/>
    <s v="Convenience stores"/>
    <x v="7"/>
    <s v="Bonduelle"/>
    <s v="|62/03/07|"/>
    <n v="1200"/>
    <n v="2.2599999999999998"/>
    <n v="3.37"/>
  </r>
  <r>
    <x v="3"/>
    <s v="Convenience stores"/>
    <x v="7"/>
    <s v="Bonduelle"/>
    <s v="|62/03/08|"/>
    <n v="648"/>
    <n v="2.35"/>
    <n v="3.87"/>
  </r>
  <r>
    <x v="3"/>
    <s v="Convenience stores"/>
    <x v="7"/>
    <s v="Bonduelle"/>
    <s v="|62/03/09|"/>
    <n v="636"/>
    <n v="2.94"/>
    <n v="3.89"/>
  </r>
  <r>
    <x v="3"/>
    <s v="Convenience stores"/>
    <x v="7"/>
    <s v="Bonduelle"/>
    <s v="|62/03/10|"/>
    <n v="1164"/>
    <n v="2.5499999999999998"/>
    <n v="3.82"/>
  </r>
  <r>
    <x v="3"/>
    <s v="Convenience stores"/>
    <x v="7"/>
    <s v="Bonduelle"/>
    <s v="|62/03/11|"/>
    <n v="1152"/>
    <n v="2.8"/>
    <n v="3.7"/>
  </r>
  <r>
    <x v="3"/>
    <s v="Convenience stores"/>
    <x v="7"/>
    <s v="Bonduelle"/>
    <s v="|62/03/12|"/>
    <n v="1104"/>
    <n v="2.71"/>
    <n v="3.51"/>
  </r>
  <r>
    <x v="3"/>
    <s v="Convenience stores"/>
    <x v="7"/>
    <s v="Bonduelle"/>
    <s v="|62/03/13|"/>
    <n v="840"/>
    <n v="2.64"/>
    <n v="3.48"/>
  </r>
  <r>
    <x v="3"/>
    <s v="Convenience stores"/>
    <x v="7"/>
    <s v="Bonduelle"/>
    <s v="|62/03/14|"/>
    <n v="960"/>
    <n v="2.02"/>
    <n v="3.95"/>
  </r>
  <r>
    <x v="3"/>
    <s v="Convenience stores"/>
    <x v="7"/>
    <s v="Bonduelle"/>
    <s v="|62/03/15|"/>
    <n v="1080"/>
    <n v="2.36"/>
    <n v="3.59"/>
  </r>
  <r>
    <x v="3"/>
    <s v="Convenience stores"/>
    <x v="7"/>
    <s v="Bonduelle"/>
    <s v="|62/03/16|"/>
    <n v="684"/>
    <n v="2.58"/>
    <n v="3.49"/>
  </r>
  <r>
    <x v="3"/>
    <s v="Convenience stores"/>
    <x v="7"/>
    <s v="Bonduelle"/>
    <s v="|62/03/17|"/>
    <n v="1128"/>
    <n v="2.5499999999999998"/>
    <n v="3.24"/>
  </r>
  <r>
    <x v="3"/>
    <s v="Convenience stores"/>
    <x v="7"/>
    <s v="Bonduelle"/>
    <s v="|62/03/18|"/>
    <n v="984"/>
    <n v="2.35"/>
    <n v="3.86"/>
  </r>
  <r>
    <x v="3"/>
    <s v="Convenience stores"/>
    <x v="7"/>
    <s v="Bonduelle"/>
    <s v="|62/03/19|"/>
    <n v="1080"/>
    <n v="2.6"/>
    <n v="3.37"/>
  </r>
  <r>
    <x v="3"/>
    <s v="Convenience stores"/>
    <x v="7"/>
    <s v="Bonduelle"/>
    <s v="|62/03/20|"/>
    <n v="672"/>
    <n v="2.79"/>
    <n v="4"/>
  </r>
  <r>
    <x v="3"/>
    <s v="Convenience stores"/>
    <x v="7"/>
    <s v="Bonduelle"/>
    <s v="|62/03/21|"/>
    <n v="936"/>
    <n v="2.4"/>
    <n v="3.42"/>
  </r>
  <r>
    <x v="3"/>
    <s v="Convenience stores"/>
    <x v="7"/>
    <s v="Bonduelle"/>
    <s v="|62/03/22|"/>
    <n v="900"/>
    <n v="2.5299999999999998"/>
    <n v="3.7"/>
  </r>
  <r>
    <x v="3"/>
    <s v="Convenience stores"/>
    <x v="7"/>
    <s v="Bonduelle"/>
    <s v="|62/03/23|"/>
    <n v="864"/>
    <n v="2.95"/>
    <n v="3.22"/>
  </r>
  <r>
    <x v="3"/>
    <s v="Convenience stores"/>
    <x v="7"/>
    <s v="Bonduelle"/>
    <s v="|62/03/24|"/>
    <n v="804"/>
    <n v="2.52"/>
    <n v="3.62"/>
  </r>
  <r>
    <x v="3"/>
    <s v="Convenience stores"/>
    <x v="7"/>
    <s v="Bonduelle"/>
    <s v="|62/03/25|"/>
    <n v="660"/>
    <n v="2.42"/>
    <n v="3.71"/>
  </r>
  <r>
    <x v="3"/>
    <s v="Convenience stores"/>
    <x v="7"/>
    <s v="Bonduelle"/>
    <s v="|62/03/26|"/>
    <n v="936"/>
    <n v="2.23"/>
    <n v="3.7"/>
  </r>
  <r>
    <x v="3"/>
    <s v="Convenience stores"/>
    <x v="7"/>
    <s v="Bonduelle"/>
    <s v="|62/03/27|"/>
    <n v="948"/>
    <n v="2.97"/>
    <n v="3.32"/>
  </r>
  <r>
    <x v="3"/>
    <s v="Convenience stores"/>
    <x v="7"/>
    <s v="Bonduelle"/>
    <s v="|62/03/28|"/>
    <n v="660"/>
    <n v="2.2799999999999998"/>
    <n v="3.42"/>
  </r>
  <r>
    <x v="3"/>
    <s v="Convenience stores"/>
    <x v="7"/>
    <s v="Bonduelle"/>
    <s v="|62/03/29|"/>
    <n v="780"/>
    <n v="2.27"/>
    <n v="3.31"/>
  </r>
  <r>
    <x v="3"/>
    <s v="Convenience stores"/>
    <x v="7"/>
    <s v="Bonduelle"/>
    <s v="|62/03/30|"/>
    <n v="684"/>
    <n v="3"/>
    <n v="3.95"/>
  </r>
  <r>
    <x v="3"/>
    <s v="Convenience stores"/>
    <x v="7"/>
    <s v="Bonduelle"/>
    <s v="|62/03/31|"/>
    <n v="864"/>
    <n v="2.76"/>
    <n v="3.57"/>
  </r>
  <r>
    <x v="3"/>
    <s v="Convenience stores"/>
    <x v="7"/>
    <s v="Bonduelle"/>
    <s v="|62/03/32|"/>
    <n v="924"/>
    <n v="2.12"/>
    <n v="3.41"/>
  </r>
  <r>
    <x v="3"/>
    <s v="Convenience stores"/>
    <x v="7"/>
    <s v="Bonduelle"/>
    <s v="|62/03/33|"/>
    <n v="1080"/>
    <n v="2.72"/>
    <n v="3.52"/>
  </r>
  <r>
    <x v="3"/>
    <s v="Convenience stores"/>
    <x v="7"/>
    <s v="Bonduelle"/>
    <s v="|62/03/34|"/>
    <n v="744"/>
    <n v="2.2999999999999998"/>
    <n v="3.65"/>
  </r>
  <r>
    <x v="3"/>
    <s v="Convenience stores"/>
    <x v="7"/>
    <s v="Bonduelle"/>
    <s v="|62/03/35|"/>
    <n v="1152"/>
    <n v="2.44"/>
    <n v="3.42"/>
  </r>
  <r>
    <x v="3"/>
    <s v="Convenience stores"/>
    <x v="7"/>
    <s v="Bonduelle"/>
    <s v="|62/03/36|"/>
    <n v="1116"/>
    <n v="2.64"/>
    <n v="3.53"/>
  </r>
  <r>
    <x v="3"/>
    <s v="Convenience stores"/>
    <x v="7"/>
    <s v="Bonduelle"/>
    <s v="|62/03/37|"/>
    <n v="888"/>
    <n v="2.4300000000000002"/>
    <n v="3.77"/>
  </r>
  <r>
    <x v="3"/>
    <s v="Convenience stores"/>
    <x v="7"/>
    <s v="Bonduelle"/>
    <s v="|62/03/38|"/>
    <n v="816"/>
    <n v="2.5299999999999998"/>
    <n v="3.34"/>
  </r>
  <r>
    <x v="3"/>
    <s v="Convenience stores"/>
    <x v="7"/>
    <s v="Bonduelle"/>
    <s v="|62/03/39|"/>
    <n v="756"/>
    <n v="2.54"/>
    <n v="3.89"/>
  </r>
  <r>
    <x v="3"/>
    <s v="Convenience stores"/>
    <x v="7"/>
    <s v="Bonduelle"/>
    <s v="|62/03/40|"/>
    <n v="900"/>
    <n v="2.2400000000000002"/>
    <n v="3.63"/>
  </r>
  <r>
    <x v="3"/>
    <s v="Convenience stores"/>
    <x v="7"/>
    <s v="Bonduelle"/>
    <s v="|62/03/41|"/>
    <n v="636"/>
    <n v="2.87"/>
    <n v="3.38"/>
  </r>
  <r>
    <x v="3"/>
    <s v="Convenience stores"/>
    <x v="7"/>
    <s v="Bonduelle"/>
    <s v="|62/03/42|"/>
    <n v="1092"/>
    <n v="2.11"/>
    <n v="3.63"/>
  </r>
  <r>
    <x v="3"/>
    <s v="Convenience stores"/>
    <x v="7"/>
    <s v="Bonduelle"/>
    <s v="|62/03/43|"/>
    <n v="972"/>
    <n v="2.0499999999999998"/>
    <n v="3.25"/>
  </r>
  <r>
    <x v="3"/>
    <s v="Convenience stores"/>
    <x v="7"/>
    <s v="Bonduelle"/>
    <s v="|62/03/44|"/>
    <n v="636"/>
    <n v="2.44"/>
    <n v="3.22"/>
  </r>
  <r>
    <x v="3"/>
    <s v="Convenience stores"/>
    <x v="7"/>
    <s v="Bonduelle"/>
    <s v="|62/03/45|"/>
    <n v="1176"/>
    <n v="2.93"/>
    <n v="3.93"/>
  </r>
  <r>
    <x v="3"/>
    <s v="Convenience stores"/>
    <x v="7"/>
    <s v="Bonduelle"/>
    <s v="|62/03/46|"/>
    <n v="972"/>
    <n v="2.04"/>
    <n v="3.52"/>
  </r>
  <r>
    <x v="3"/>
    <s v="Convenience stores"/>
    <x v="7"/>
    <s v="Bonduelle"/>
    <s v="|62/03/47|"/>
    <n v="1044"/>
    <n v="2.39"/>
    <n v="3.47"/>
  </r>
  <r>
    <x v="3"/>
    <s v="Convenience stores"/>
    <x v="7"/>
    <s v="Bonduelle"/>
    <s v="|62/03/48|"/>
    <n v="1200"/>
    <n v="2.0499999999999998"/>
    <n v="3.28"/>
  </r>
  <r>
    <x v="3"/>
    <s v="Convenience stores"/>
    <x v="7"/>
    <s v="Bonduelle"/>
    <s v="|62/03/49|"/>
    <n v="1140"/>
    <n v="2.64"/>
    <n v="3.87"/>
  </r>
  <r>
    <x v="3"/>
    <s v="Convenience stores"/>
    <x v="7"/>
    <s v="Bonduelle"/>
    <s v="|62/03/50|"/>
    <n v="660"/>
    <n v="3"/>
    <n v="3.66"/>
  </r>
  <r>
    <x v="3"/>
    <s v="Convenience stores"/>
    <x v="7"/>
    <s v="Bonduelle"/>
    <s v="|62/03/51|"/>
    <n v="1032"/>
    <n v="2.4700000000000002"/>
    <n v="3.48"/>
  </r>
  <r>
    <x v="3"/>
    <s v="Convenience stores"/>
    <x v="7"/>
    <s v="Bonduelle"/>
    <s v="|62/03/52|"/>
    <n v="1044"/>
    <n v="2.39"/>
    <n v="3.24"/>
  </r>
  <r>
    <x v="3"/>
    <s v="Convenience stores"/>
    <x v="7"/>
    <s v="Bonduelle"/>
    <s v="|62/03/53|"/>
    <n v="804"/>
    <n v="2.95"/>
    <n v="3.84"/>
  </r>
  <r>
    <x v="3"/>
    <s v="Convenience stores"/>
    <x v="7"/>
    <s v="Bonduelle"/>
    <s v="|62/03/54|"/>
    <n v="864"/>
    <n v="2.88"/>
    <n v="3.24"/>
  </r>
  <r>
    <x v="3"/>
    <s v="Convenience stores"/>
    <x v="7"/>
    <s v="Bonduelle"/>
    <s v="|62/03/55|"/>
    <n v="936"/>
    <n v="2.0099999999999998"/>
    <n v="3.39"/>
  </r>
  <r>
    <x v="3"/>
    <s v="Convenience stores"/>
    <x v="7"/>
    <s v="Bonduelle"/>
    <s v="|62/03/56|"/>
    <n v="852"/>
    <n v="2.88"/>
    <n v="3.34"/>
  </r>
  <r>
    <x v="3"/>
    <s v="Convenience stores"/>
    <x v="7"/>
    <s v="Bonduelle"/>
    <s v="|62/03/57|"/>
    <n v="828"/>
    <n v="2.99"/>
    <n v="3.6"/>
  </r>
  <r>
    <x v="3"/>
    <s v="Convenience stores"/>
    <x v="7"/>
    <s v="Bonduelle"/>
    <s v="|62/03/58|"/>
    <n v="972"/>
    <n v="2.41"/>
    <n v="3.96"/>
  </r>
  <r>
    <x v="3"/>
    <s v="Convenience stores"/>
    <x v="7"/>
    <s v="Bonduelle"/>
    <s v="|62/03/59|"/>
    <n v="1020"/>
    <n v="2.2200000000000002"/>
    <n v="3.41"/>
  </r>
  <r>
    <x v="3"/>
    <s v="Convenience stores"/>
    <x v="7"/>
    <s v="Bonduelle"/>
    <s v="|62/03/60|"/>
    <n v="708"/>
    <n v="2.62"/>
    <n v="3.61"/>
  </r>
  <r>
    <x v="3"/>
    <s v="Convenience stores"/>
    <x v="7"/>
    <s v="Bonduelle"/>
    <s v="|62/03/61|"/>
    <n v="1044"/>
    <n v="2.48"/>
    <n v="3.21"/>
  </r>
  <r>
    <x v="3"/>
    <s v="Convenience stores"/>
    <x v="7"/>
    <s v="Bonduelle"/>
    <s v="|62/03/62|"/>
    <n v="1188"/>
    <n v="2.4300000000000002"/>
    <n v="3.98"/>
  </r>
  <r>
    <x v="3"/>
    <s v="Convenience stores"/>
    <x v="7"/>
    <s v="Bonduelle"/>
    <s v="|62/03/63|"/>
    <n v="756"/>
    <n v="2.11"/>
    <n v="3.89"/>
  </r>
  <r>
    <x v="3"/>
    <s v="Convenience stores"/>
    <x v="7"/>
    <s v="Bonduelle"/>
    <s v="|62/03/64|"/>
    <n v="948"/>
    <n v="2.1"/>
    <n v="3.24"/>
  </r>
  <r>
    <x v="3"/>
    <s v="Convenience stores"/>
    <x v="7"/>
    <s v="Bonduelle"/>
    <s v="|62/03/66|"/>
    <n v="996"/>
    <n v="2.06"/>
    <n v="3.89"/>
  </r>
  <r>
    <x v="3"/>
    <s v="Convenience stores"/>
    <x v="7"/>
    <s v="Bonduelle"/>
    <s v="|62/03/68|"/>
    <n v="972"/>
    <n v="2.06"/>
    <n v="3.56"/>
  </r>
  <r>
    <x v="3"/>
    <s v="Convenience stores"/>
    <x v="7"/>
    <s v="Bonduelle"/>
    <s v="|62/03/69|"/>
    <n v="972"/>
    <n v="2.14"/>
    <n v="3.23"/>
  </r>
  <r>
    <x v="3"/>
    <s v="Convenience stores"/>
    <x v="7"/>
    <s v="Bonduelle"/>
    <s v="|62/03/72|"/>
    <n v="840"/>
    <n v="2.95"/>
    <n v="3.38"/>
  </r>
  <r>
    <x v="3"/>
    <s v="Convenience stores"/>
    <x v="7"/>
    <s v="Bonduelle"/>
    <s v="|62/03/73|"/>
    <n v="912"/>
    <n v="2.79"/>
    <n v="3.53"/>
  </r>
  <r>
    <x v="3"/>
    <s v="Convenience stores"/>
    <x v="7"/>
    <s v="Bonduelle"/>
    <s v="|62/03/74|"/>
    <n v="732"/>
    <n v="2.2999999999999998"/>
    <n v="3.39"/>
  </r>
  <r>
    <x v="3"/>
    <s v="Convenience stores"/>
    <x v="7"/>
    <s v="Bonduelle"/>
    <s v="|62/03/75|"/>
    <n v="1008"/>
    <n v="2.02"/>
    <n v="3.89"/>
  </r>
  <r>
    <x v="3"/>
    <s v="Convenience stores"/>
    <x v="7"/>
    <s v="Bonduelle"/>
    <s v="|62/03/76|"/>
    <n v="684"/>
    <n v="2.86"/>
    <n v="3.76"/>
  </r>
  <r>
    <x v="3"/>
    <s v="Convenience stores"/>
    <x v="7"/>
    <s v="Bonduelle"/>
    <s v="|62/03/77|"/>
    <n v="1188"/>
    <n v="2.0699999999999998"/>
    <n v="3.56"/>
  </r>
  <r>
    <x v="3"/>
    <s v="Convenience stores"/>
    <x v="7"/>
    <s v="Bonduelle"/>
    <s v="|62/03/78|"/>
    <n v="1140"/>
    <n v="2.25"/>
    <n v="3.21"/>
  </r>
  <r>
    <x v="3"/>
    <s v="Convenience stores"/>
    <x v="7"/>
    <s v="Bonduelle"/>
    <s v="|62/03/79|"/>
    <n v="996"/>
    <n v="2.14"/>
    <n v="3.94"/>
  </r>
  <r>
    <x v="3"/>
    <s v="Convenience stores"/>
    <x v="7"/>
    <s v="Bonduelle"/>
    <s v="|62/03/82|"/>
    <n v="684"/>
    <n v="2.2799999999999998"/>
    <n v="3.41"/>
  </r>
  <r>
    <x v="3"/>
    <s v="Convenience stores"/>
    <x v="7"/>
    <s v="Bonduelle"/>
    <s v="|62/04/01|"/>
    <n v="936"/>
    <n v="2.48"/>
    <n v="3.97"/>
  </r>
  <r>
    <x v="3"/>
    <s v="Convenience stores"/>
    <x v="7"/>
    <s v="Bonduelle"/>
    <s v="|62/04/02|"/>
    <n v="1152"/>
    <n v="2.25"/>
    <n v="3.56"/>
  </r>
  <r>
    <x v="3"/>
    <s v="Convenience stores"/>
    <x v="7"/>
    <s v="Bonduelle"/>
    <s v="|62/04/03|"/>
    <n v="888"/>
    <n v="2.08"/>
    <n v="3.62"/>
  </r>
  <r>
    <x v="3"/>
    <s v="Convenience stores"/>
    <x v="7"/>
    <s v="Bonduelle"/>
    <s v="|62/04/04|"/>
    <n v="672"/>
    <n v="2.04"/>
    <n v="3.32"/>
  </r>
  <r>
    <x v="3"/>
    <s v="Convenience stores"/>
    <x v="7"/>
    <s v="Bonduelle"/>
    <s v="|62/04/05|"/>
    <n v="660"/>
    <n v="2.96"/>
    <n v="3.82"/>
  </r>
  <r>
    <x v="3"/>
    <s v="Convenience stores"/>
    <x v="7"/>
    <s v="Bonduelle"/>
    <s v="|62/04/06|"/>
    <n v="684"/>
    <n v="2.36"/>
    <n v="3.36"/>
  </r>
  <r>
    <x v="3"/>
    <s v="Convenience stores"/>
    <x v="7"/>
    <s v="Bonduelle"/>
    <s v="|62/04/07|"/>
    <n v="1068"/>
    <n v="2.7"/>
    <n v="3.28"/>
  </r>
  <r>
    <x v="3"/>
    <s v="Convenience stores"/>
    <x v="7"/>
    <s v="Bonduelle"/>
    <s v="|62/04/08|"/>
    <n v="936"/>
    <n v="2.1"/>
    <n v="3.51"/>
  </r>
  <r>
    <x v="3"/>
    <s v="Convenience stores"/>
    <x v="7"/>
    <s v="Bonduelle"/>
    <s v="|62/04/09|"/>
    <n v="1104"/>
    <n v="2.5"/>
    <n v="4"/>
  </r>
  <r>
    <x v="3"/>
    <s v="Convenience stores"/>
    <x v="7"/>
    <s v="Bonduelle"/>
    <s v="|62/04/10|"/>
    <n v="672"/>
    <n v="2.89"/>
    <n v="3.77"/>
  </r>
  <r>
    <x v="3"/>
    <s v="Convenience stores"/>
    <x v="7"/>
    <s v="Bonduelle"/>
    <s v="|62/04/11|"/>
    <n v="804"/>
    <n v="2.14"/>
    <n v="3.2"/>
  </r>
  <r>
    <x v="3"/>
    <s v="Convenience stores"/>
    <x v="7"/>
    <s v="Bonduelle"/>
    <s v="|62/04/13|"/>
    <n v="996"/>
    <n v="2.15"/>
    <n v="3.69"/>
  </r>
  <r>
    <x v="3"/>
    <s v="Convenience stores"/>
    <x v="7"/>
    <s v="Bonduelle"/>
    <s v="|62/04/14|"/>
    <n v="1020"/>
    <n v="2.36"/>
    <n v="3.8"/>
  </r>
  <r>
    <x v="3"/>
    <s v="Convenience stores"/>
    <x v="7"/>
    <s v="Bonduelle"/>
    <s v="|62/04/15|"/>
    <n v="1032"/>
    <n v="2.1800000000000002"/>
    <n v="3.26"/>
  </r>
  <r>
    <x v="3"/>
    <s v="Convenience stores"/>
    <x v="7"/>
    <s v="Bonduelle"/>
    <s v="|62/04/16|"/>
    <n v="720"/>
    <n v="2.21"/>
    <n v="3.7"/>
  </r>
  <r>
    <x v="3"/>
    <s v="Convenience stores"/>
    <x v="7"/>
    <s v="Bonduelle"/>
    <s v="|62/04/17|"/>
    <n v="660"/>
    <n v="2.41"/>
    <n v="3.89"/>
  </r>
  <r>
    <x v="3"/>
    <s v="Convenience stores"/>
    <x v="7"/>
    <s v="Bonduelle"/>
    <s v="|62/04/18|"/>
    <n v="1188"/>
    <n v="2.0299999999999998"/>
    <n v="3.5"/>
  </r>
  <r>
    <x v="3"/>
    <s v="Convenience stores"/>
    <x v="7"/>
    <s v="Bonduelle"/>
    <s v="|62/04/19|"/>
    <n v="1140"/>
    <n v="2.15"/>
    <n v="3.34"/>
  </r>
  <r>
    <x v="3"/>
    <s v="Convenience stores"/>
    <x v="7"/>
    <s v="Bonduelle"/>
    <s v="|62/04/20|"/>
    <n v="636"/>
    <n v="2.33"/>
    <n v="3.24"/>
  </r>
  <r>
    <x v="3"/>
    <s v="Convenience stores"/>
    <x v="7"/>
    <s v="Bonduelle"/>
    <s v="|62/04/21|"/>
    <n v="756"/>
    <n v="2.69"/>
    <n v="3.54"/>
  </r>
  <r>
    <x v="3"/>
    <s v="Convenience stores"/>
    <x v="7"/>
    <s v="Bonduelle"/>
    <s v="|62/04/23|"/>
    <n v="888"/>
    <n v="2.67"/>
    <n v="3.35"/>
  </r>
  <r>
    <x v="3"/>
    <s v="Convenience stores"/>
    <x v="7"/>
    <s v="Bonduelle"/>
    <s v="|62/04/25|"/>
    <n v="1032"/>
    <n v="2.89"/>
    <n v="3.65"/>
  </r>
  <r>
    <x v="3"/>
    <s v="Convenience stores"/>
    <x v="7"/>
    <s v="Bonduelle"/>
    <s v="|62/04/26|"/>
    <n v="888"/>
    <n v="2.7"/>
    <n v="3.63"/>
  </r>
  <r>
    <x v="3"/>
    <s v="Convenience stores"/>
    <x v="7"/>
    <s v="Bonduelle"/>
    <s v="|62/04/27|"/>
    <n v="984"/>
    <n v="2.4700000000000002"/>
    <n v="3.23"/>
  </r>
  <r>
    <x v="3"/>
    <s v="Convenience stores"/>
    <x v="7"/>
    <s v="Bonduelle"/>
    <s v="|62/05/01|"/>
    <n v="1068"/>
    <n v="2.76"/>
    <n v="3.3"/>
  </r>
  <r>
    <x v="3"/>
    <s v="Convenience stores"/>
    <x v="7"/>
    <s v="Bonduelle"/>
    <s v="|62/05/02|"/>
    <n v="1104"/>
    <n v="2.46"/>
    <n v="3.51"/>
  </r>
  <r>
    <x v="3"/>
    <s v="Convenience stores"/>
    <x v="7"/>
    <s v="Bonduelle"/>
    <s v="|62/05/03|"/>
    <n v="804"/>
    <n v="2.44"/>
    <n v="3.47"/>
  </r>
  <r>
    <x v="3"/>
    <s v="Convenience stores"/>
    <x v="7"/>
    <s v="Bonduelle"/>
    <s v="|62/05/04|"/>
    <n v="1056"/>
    <n v="2.71"/>
    <n v="3.85"/>
  </r>
  <r>
    <x v="3"/>
    <s v="Convenience stores"/>
    <x v="7"/>
    <s v="Bonduelle"/>
    <s v="|62/05/05|"/>
    <n v="744"/>
    <n v="2.29"/>
    <n v="3.85"/>
  </r>
  <r>
    <x v="3"/>
    <s v="Convenience stores"/>
    <x v="7"/>
    <s v="Bonduelle"/>
    <s v="|62/05/06|"/>
    <n v="684"/>
    <n v="2.5499999999999998"/>
    <n v="3.64"/>
  </r>
  <r>
    <x v="3"/>
    <s v="Convenience stores"/>
    <x v="7"/>
    <s v="Bonduelle"/>
    <s v="|62/05/08|"/>
    <n v="1008"/>
    <n v="2.2999999999999998"/>
    <n v="3.58"/>
  </r>
  <r>
    <x v="3"/>
    <s v="Convenience stores"/>
    <x v="7"/>
    <s v="Bonduelle"/>
    <s v="|62/09/01|"/>
    <n v="612"/>
    <n v="2.91"/>
    <n v="3.88"/>
  </r>
  <r>
    <x v="3"/>
    <s v="Convenience stores"/>
    <x v="4"/>
    <s v="Veet"/>
    <s v="|55/01/01|"/>
    <n v="552"/>
    <n v="4.62"/>
    <n v="5.27"/>
  </r>
  <r>
    <x v="3"/>
    <s v="Convenience stores"/>
    <x v="4"/>
    <s v="Veet"/>
    <s v="|55/01/02|"/>
    <n v="396"/>
    <n v="4.8099999999999996"/>
    <n v="5.4"/>
  </r>
  <r>
    <x v="3"/>
    <s v="Convenience stores"/>
    <x v="4"/>
    <s v="Veet"/>
    <s v="|55/01/03|"/>
    <n v="468"/>
    <n v="4.8600000000000003"/>
    <n v="5.4"/>
  </r>
  <r>
    <x v="3"/>
    <s v="Convenience stores"/>
    <x v="4"/>
    <s v="Veet"/>
    <s v="|55/01/04|"/>
    <n v="396"/>
    <n v="4.8499999999999996"/>
    <n v="5.13"/>
  </r>
  <r>
    <x v="3"/>
    <s v="Convenience stores"/>
    <x v="4"/>
    <s v="Veet"/>
    <s v="|55/01/05|"/>
    <n v="276"/>
    <n v="4.8600000000000003"/>
    <n v="5.07"/>
  </r>
  <r>
    <x v="3"/>
    <s v="Convenience stores"/>
    <x v="4"/>
    <s v="Veet"/>
    <s v="|55/01/06|"/>
    <n v="456"/>
    <n v="4.8099999999999996"/>
    <n v="5.26"/>
  </r>
  <r>
    <x v="3"/>
    <s v="Convenience stores"/>
    <x v="4"/>
    <s v="Veet"/>
    <s v="|55/01/07|"/>
    <n v="324"/>
    <n v="4.7300000000000004"/>
    <n v="5.05"/>
  </r>
  <r>
    <x v="3"/>
    <s v="Convenience stores"/>
    <x v="4"/>
    <s v="Veet"/>
    <s v="|55/01/08|"/>
    <n v="468"/>
    <n v="4.96"/>
    <n v="5.07"/>
  </r>
  <r>
    <x v="3"/>
    <s v="Convenience stores"/>
    <x v="4"/>
    <s v="Veet"/>
    <s v="|55/01/09|"/>
    <n v="636"/>
    <n v="4.6500000000000004"/>
    <n v="5.14"/>
  </r>
  <r>
    <x v="3"/>
    <s v="Convenience stores"/>
    <x v="4"/>
    <s v="Veet"/>
    <s v="|55/01/10|"/>
    <n v="396"/>
    <n v="4.57"/>
    <n v="5.14"/>
  </r>
  <r>
    <x v="3"/>
    <s v="Convenience stores"/>
    <x v="4"/>
    <s v="Veet"/>
    <s v="|55/01/11|"/>
    <n v="336"/>
    <n v="4.25"/>
    <n v="5.26"/>
  </r>
  <r>
    <x v="3"/>
    <s v="Convenience stores"/>
    <x v="4"/>
    <s v="Veet"/>
    <s v="|55/01/12|"/>
    <n v="372"/>
    <n v="4.2699999999999996"/>
    <n v="5.01"/>
  </r>
  <r>
    <x v="3"/>
    <s v="Convenience stores"/>
    <x v="4"/>
    <s v="Veet"/>
    <s v="|55/01/13|"/>
    <n v="564"/>
    <n v="4.45"/>
    <n v="5.15"/>
  </r>
  <r>
    <x v="3"/>
    <s v="Convenience stores"/>
    <x v="4"/>
    <s v="Veet"/>
    <s v="|55/01/14|"/>
    <n v="336"/>
    <n v="4.6399999999999997"/>
    <n v="5.27"/>
  </r>
  <r>
    <x v="3"/>
    <s v="Convenience stores"/>
    <x v="4"/>
    <s v="Veet"/>
    <s v="|55/01/15|"/>
    <n v="624"/>
    <n v="4.8099999999999996"/>
    <n v="5.33"/>
  </r>
  <r>
    <x v="3"/>
    <s v="Convenience stores"/>
    <x v="4"/>
    <s v="Veet"/>
    <s v="|55/01/16|"/>
    <n v="372"/>
    <n v="4.0599999999999996"/>
    <n v="5.28"/>
  </r>
  <r>
    <x v="3"/>
    <s v="Convenience stores"/>
    <x v="4"/>
    <s v="Veet"/>
    <s v="|55/01/17|"/>
    <n v="300"/>
    <n v="4.6399999999999997"/>
    <n v="5.34"/>
  </r>
  <r>
    <x v="3"/>
    <s v="Convenience stores"/>
    <x v="4"/>
    <s v="Veet"/>
    <s v="|55/01/18|"/>
    <n v="528"/>
    <n v="4.1399999999999997"/>
    <n v="5.29"/>
  </r>
  <r>
    <x v="3"/>
    <s v="Convenience stores"/>
    <x v="4"/>
    <s v="Veet"/>
    <s v="|55/01/19|"/>
    <n v="636"/>
    <n v="4.2300000000000004"/>
    <n v="5.17"/>
  </r>
  <r>
    <x v="3"/>
    <s v="Convenience stores"/>
    <x v="4"/>
    <s v="Veet"/>
    <s v="|55/01/20|"/>
    <n v="240"/>
    <n v="4.9000000000000004"/>
    <n v="5.28"/>
  </r>
  <r>
    <x v="3"/>
    <s v="Convenience stores"/>
    <x v="4"/>
    <s v="Veet"/>
    <s v="|55/01/21|"/>
    <n v="480"/>
    <n v="4.07"/>
    <n v="5.21"/>
  </r>
  <r>
    <x v="3"/>
    <s v="Convenience stores"/>
    <x v="4"/>
    <s v="Veet"/>
    <s v="|55/01/22|"/>
    <n v="576"/>
    <n v="4.3899999999999997"/>
    <n v="5.31"/>
  </r>
  <r>
    <x v="3"/>
    <s v="Convenience stores"/>
    <x v="4"/>
    <s v="Veet"/>
    <s v="|55/01/23|"/>
    <n v="492"/>
    <n v="4.3899999999999997"/>
    <n v="5.3"/>
  </r>
  <r>
    <x v="3"/>
    <s v="Convenience stores"/>
    <x v="4"/>
    <s v="Veet"/>
    <s v="|55/01/24|"/>
    <n v="636"/>
    <n v="4.49"/>
    <n v="5.36"/>
  </r>
  <r>
    <x v="3"/>
    <s v="Convenience stores"/>
    <x v="4"/>
    <s v="Veet"/>
    <s v="|55/01/25|"/>
    <n v="564"/>
    <n v="4.47"/>
    <n v="5.22"/>
  </r>
  <r>
    <x v="3"/>
    <s v="Convenience stores"/>
    <x v="4"/>
    <s v="Veet"/>
    <s v="|55/01/26|"/>
    <n v="600"/>
    <n v="4.24"/>
    <n v="5.3"/>
  </r>
  <r>
    <x v="3"/>
    <s v="Convenience stores"/>
    <x v="4"/>
    <s v="Veet"/>
    <s v="|55/01/27|"/>
    <n v="336"/>
    <n v="4.32"/>
    <n v="5.34"/>
  </r>
  <r>
    <x v="3"/>
    <s v="Convenience stores"/>
    <x v="4"/>
    <s v="Veet"/>
    <s v="|55/01/28|"/>
    <n v="708"/>
    <n v="4.84"/>
    <n v="5.13"/>
  </r>
  <r>
    <x v="3"/>
    <s v="Convenience stores"/>
    <x v="4"/>
    <s v="Veet"/>
    <s v="|55/01/29|"/>
    <n v="636"/>
    <n v="4.7300000000000004"/>
    <n v="5.12"/>
  </r>
  <r>
    <x v="3"/>
    <s v="Convenience stores"/>
    <x v="4"/>
    <s v="Veet"/>
    <s v="|55/01/30|"/>
    <n v="360"/>
    <n v="4.3099999999999996"/>
    <n v="5.0199999999999996"/>
  </r>
  <r>
    <x v="3"/>
    <s v="Convenience stores"/>
    <x v="4"/>
    <s v="Veet"/>
    <s v="|55/01/31|"/>
    <n v="372"/>
    <n v="4.37"/>
    <n v="5.0999999999999996"/>
  </r>
  <r>
    <x v="3"/>
    <s v="Convenience stores"/>
    <x v="4"/>
    <s v="Veet"/>
    <s v="|55/01/32|"/>
    <n v="360"/>
    <n v="4.49"/>
    <n v="5.0199999999999996"/>
  </r>
  <r>
    <x v="3"/>
    <s v="Convenience stores"/>
    <x v="4"/>
    <s v="Veet"/>
    <s v="|55/01/33|"/>
    <n v="684"/>
    <n v="4.37"/>
    <n v="5.21"/>
  </r>
  <r>
    <x v="3"/>
    <s v="Convenience stores"/>
    <x v="4"/>
    <s v="Veet"/>
    <s v="|55/01/34|"/>
    <n v="504"/>
    <n v="4.32"/>
    <n v="5.0599999999999996"/>
  </r>
  <r>
    <x v="3"/>
    <s v="Convenience stores"/>
    <x v="4"/>
    <s v="Veet"/>
    <s v="|55/01/35|"/>
    <n v="552"/>
    <n v="4.5"/>
    <n v="5.16"/>
  </r>
  <r>
    <x v="3"/>
    <s v="Convenience stores"/>
    <x v="4"/>
    <s v="Veet"/>
    <s v="|55/01/36|"/>
    <n v="552"/>
    <n v="4.3600000000000003"/>
    <n v="5.13"/>
  </r>
  <r>
    <x v="3"/>
    <s v="Convenience stores"/>
    <x v="4"/>
    <s v="Veet"/>
    <s v="|55/01/37|"/>
    <n v="720"/>
    <n v="4.16"/>
    <n v="5.0199999999999996"/>
  </r>
  <r>
    <x v="3"/>
    <s v="Convenience stores"/>
    <x v="4"/>
    <s v="Veet"/>
    <s v="|55/01/38|"/>
    <n v="516"/>
    <n v="4.62"/>
    <n v="5.25"/>
  </r>
  <r>
    <x v="3"/>
    <s v="Convenience stores"/>
    <x v="4"/>
    <s v="Veet"/>
    <s v="|55/01/39|"/>
    <n v="444"/>
    <n v="4.72"/>
    <n v="5.0199999999999996"/>
  </r>
  <r>
    <x v="3"/>
    <s v="Convenience stores"/>
    <x v="4"/>
    <s v="Veet"/>
    <s v="|55/01/40|"/>
    <n v="360"/>
    <n v="4.45"/>
    <n v="5.19"/>
  </r>
  <r>
    <x v="3"/>
    <s v="Convenience stores"/>
    <x v="4"/>
    <s v="Veet"/>
    <s v="|55/01/41|"/>
    <n v="720"/>
    <n v="4.51"/>
    <n v="5.09"/>
  </r>
  <r>
    <x v="3"/>
    <s v="Convenience stores"/>
    <x v="4"/>
    <s v="Veet"/>
    <s v="|55/01/42|"/>
    <n v="408"/>
    <n v="4.82"/>
    <n v="5.01"/>
  </r>
  <r>
    <x v="3"/>
    <s v="Convenience stores"/>
    <x v="4"/>
    <s v="Veet"/>
    <s v="|55/01/43|"/>
    <n v="504"/>
    <n v="4.6100000000000003"/>
    <n v="5.17"/>
  </r>
  <r>
    <x v="3"/>
    <s v="Convenience stores"/>
    <x v="4"/>
    <s v="Veet"/>
    <s v="|55/01/44|"/>
    <n v="576"/>
    <n v="4.46"/>
    <n v="5.01"/>
  </r>
  <r>
    <x v="3"/>
    <s v="Convenience stores"/>
    <x v="4"/>
    <s v="Veet"/>
    <s v="|55/01/45|"/>
    <n v="576"/>
    <n v="4.2699999999999996"/>
    <n v="5.18"/>
  </r>
  <r>
    <x v="3"/>
    <s v="Convenience stores"/>
    <x v="4"/>
    <s v="Veet"/>
    <s v="|55/01/46|"/>
    <n v="696"/>
    <n v="4.37"/>
    <n v="5.23"/>
  </r>
  <r>
    <x v="3"/>
    <s v="Convenience stores"/>
    <x v="4"/>
    <s v="Veet"/>
    <s v="|55/01/47|"/>
    <n v="612"/>
    <n v="4.28"/>
    <n v="5.22"/>
  </r>
  <r>
    <x v="3"/>
    <s v="Convenience stores"/>
    <x v="4"/>
    <s v="Veet"/>
    <s v="|55/01/48|"/>
    <n v="480"/>
    <n v="4.8099999999999996"/>
    <n v="5.15"/>
  </r>
  <r>
    <x v="3"/>
    <s v="Convenience stores"/>
    <x v="4"/>
    <s v="Veet"/>
    <s v="|55/01/60|"/>
    <n v="360"/>
    <n v="4.7699999999999996"/>
    <n v="5.09"/>
  </r>
  <r>
    <x v="3"/>
    <s v="Convenience stores"/>
    <x v="4"/>
    <s v="Veet"/>
    <s v="|55/01/61|"/>
    <n v="684"/>
    <n v="4.1100000000000003"/>
    <n v="5.17"/>
  </r>
  <r>
    <x v="3"/>
    <s v="Convenience stores"/>
    <x v="4"/>
    <s v="Veet"/>
    <s v="|55/01/62|"/>
    <n v="492"/>
    <n v="4.67"/>
    <n v="5.24"/>
  </r>
  <r>
    <x v="3"/>
    <s v="Convenience stores"/>
    <x v="4"/>
    <s v="Veet"/>
    <s v="|55/01/63|"/>
    <n v="600"/>
    <n v="4.54"/>
    <n v="5.35"/>
  </r>
  <r>
    <x v="3"/>
    <s v="Convenience stores"/>
    <x v="4"/>
    <s v="Veet"/>
    <s v="|55/01/64|"/>
    <n v="588"/>
    <n v="4.47"/>
    <n v="5.0199999999999996"/>
  </r>
  <r>
    <x v="3"/>
    <s v="Convenience stores"/>
    <x v="1"/>
    <s v="North Cascade"/>
    <s v="|45/08/01|"/>
    <n v="552"/>
    <n v="5.84"/>
    <n v="8.0266666666666673"/>
  </r>
  <r>
    <x v="3"/>
    <s v="Convenience stores"/>
    <x v="1"/>
    <s v="North Cascade"/>
    <s v="|45/30/01|"/>
    <n v="576"/>
    <n v="6.16"/>
    <n v="8.1333333333333329"/>
  </r>
  <r>
    <x v="3"/>
    <s v="Convenience stores"/>
    <x v="1"/>
    <s v="North Cascade"/>
    <s v="|45/50/01|"/>
    <n v="492"/>
    <n v="5.5333333333333332"/>
    <n v="7.44"/>
  </r>
  <r>
    <x v="3"/>
    <s v="Convenience stores"/>
    <x v="1"/>
    <s v="North Cascade"/>
    <s v="|45/50/02|"/>
    <n v="492"/>
    <n v="5.7133333333333329"/>
    <n v="8.2733333333333334"/>
  </r>
  <r>
    <x v="3"/>
    <s v="Convenience stores"/>
    <x v="1"/>
    <s v="North Cascade"/>
    <s v="|45/50/03|"/>
    <n v="492"/>
    <n v="6.0066666666666668"/>
    <n v="7.3733333333333331"/>
  </r>
  <r>
    <x v="3"/>
    <s v="Convenience stores"/>
    <x v="1"/>
    <s v="North Cascade"/>
    <s v="|45/50/04|"/>
    <n v="540"/>
    <n v="6.2266666666666666"/>
    <n v="8.5933333333333337"/>
  </r>
  <r>
    <x v="3"/>
    <s v="Convenience stores"/>
    <x v="1"/>
    <s v="North Cascade"/>
    <s v="|45/50/05|"/>
    <n v="576"/>
    <n v="5.7"/>
    <n v="8.413333333333334"/>
  </r>
  <r>
    <x v="3"/>
    <s v="Convenience stores"/>
    <x v="1"/>
    <s v="North Cascade"/>
    <s v="|45/50/06|"/>
    <n v="504"/>
    <n v="5.56"/>
    <n v="7.92"/>
  </r>
  <r>
    <x v="3"/>
    <s v="Convenience stores"/>
    <x v="1"/>
    <s v="North Cascade"/>
    <s v="|45/50/07|"/>
    <n v="576"/>
    <n v="6.4666666666666668"/>
    <n v="7.9666666666666668"/>
  </r>
  <r>
    <x v="3"/>
    <s v="Convenience stores"/>
    <x v="1"/>
    <s v="North Cascade"/>
    <s v="|45/50/08|"/>
    <n v="600"/>
    <n v="6.06"/>
    <n v="7.48"/>
  </r>
  <r>
    <x v="3"/>
    <s v="Convenience stores"/>
    <x v="1"/>
    <s v="North Cascade"/>
    <s v="|45/50/09|"/>
    <n v="540"/>
    <n v="5.96"/>
    <n v="7.6"/>
  </r>
  <r>
    <x v="3"/>
    <s v="Convenience stores"/>
    <x v="1"/>
    <s v="North Cascade"/>
    <s v="|45/50/10|"/>
    <n v="600"/>
    <n v="6.34"/>
    <n v="7.5066666666666668"/>
  </r>
  <r>
    <x v="3"/>
    <s v="Convenience stores"/>
    <x v="1"/>
    <s v="North Cascade"/>
    <s v="|45/50/11|"/>
    <n v="408"/>
    <n v="5.4066666666666663"/>
    <n v="7.88"/>
  </r>
  <r>
    <x v="3"/>
    <s v="Convenience stores"/>
    <x v="1"/>
    <s v="North Cascade"/>
    <s v="|45/50/12|"/>
    <n v="480"/>
    <n v="6.52"/>
    <n v="7.66"/>
  </r>
  <r>
    <x v="3"/>
    <s v="Convenience stores"/>
    <x v="1"/>
    <s v="North Cascade"/>
    <s v="|45/50/13|"/>
    <n v="624"/>
    <n v="5.5666666666666664"/>
    <n v="8.64"/>
  </r>
  <r>
    <x v="3"/>
    <s v="Convenience stores"/>
    <x v="1"/>
    <s v="North Cascade"/>
    <s v="|45/50/14|"/>
    <n v="636"/>
    <n v="5.4"/>
    <n v="8.4666666666666668"/>
  </r>
  <r>
    <x v="3"/>
    <s v="Convenience stores"/>
    <x v="1"/>
    <s v="North Cascade"/>
    <s v="|45/50/15|"/>
    <n v="636"/>
    <n v="6.52"/>
    <n v="7.9466666666666663"/>
  </r>
  <r>
    <x v="3"/>
    <s v="Convenience stores"/>
    <x v="1"/>
    <s v="North Cascade"/>
    <s v="|45/50/16|"/>
    <n v="444"/>
    <n v="5.7133333333333329"/>
    <n v="8.4666666666666668"/>
  </r>
  <r>
    <x v="3"/>
    <s v="Convenience stores"/>
    <x v="1"/>
    <s v="North Cascade"/>
    <s v="|45/50/17|"/>
    <n v="564"/>
    <n v="5.9933333333333332"/>
    <n v="8.6266666666666669"/>
  </r>
  <r>
    <x v="3"/>
    <s v="Convenience stores"/>
    <x v="1"/>
    <s v="North Cascade"/>
    <s v="|45/50/19|"/>
    <n v="444"/>
    <n v="6.1466666666666665"/>
    <n v="8.3866666666666667"/>
  </r>
  <r>
    <x v="3"/>
    <s v="Convenience stores"/>
    <x v="1"/>
    <s v="North Cascade"/>
    <s v="|45/50/20|"/>
    <n v="480"/>
    <n v="5.38"/>
    <n v="7.76"/>
  </r>
  <r>
    <x v="3"/>
    <s v="Convenience stores"/>
    <x v="1"/>
    <s v="North Cascade"/>
    <s v="|45/50/21|"/>
    <n v="540"/>
    <n v="5.52"/>
    <n v="7.5266666666666664"/>
  </r>
  <r>
    <x v="3"/>
    <s v="Convenience stores"/>
    <x v="1"/>
    <s v="North Cascade"/>
    <s v="|45/50/22|"/>
    <n v="492"/>
    <n v="6.166666666666667"/>
    <n v="7.5866666666666669"/>
  </r>
  <r>
    <x v="3"/>
    <s v="Convenience stores"/>
    <x v="1"/>
    <s v="North Cascade"/>
    <s v="|45/50/23|"/>
    <n v="588"/>
    <n v="5.8266666666666671"/>
    <n v="7.54"/>
  </r>
  <r>
    <x v="3"/>
    <s v="Convenience stores"/>
    <x v="1"/>
    <s v="North Cascade"/>
    <s v="|45/50/24|"/>
    <n v="552"/>
    <n v="6.5466666666666669"/>
    <n v="7.9333333333333336"/>
  </r>
  <r>
    <x v="3"/>
    <s v="Convenience stores"/>
    <x v="1"/>
    <s v="North Cascade"/>
    <s v="|45/50/25|"/>
    <n v="528"/>
    <n v="5.8933333333333335"/>
    <n v="7.3466666666666667"/>
  </r>
  <r>
    <x v="3"/>
    <s v="Convenience stores"/>
    <x v="1"/>
    <s v="North Cascade"/>
    <s v="|45/50/26|"/>
    <n v="612"/>
    <n v="6.4866666666666664"/>
    <n v="8.18"/>
  </r>
  <r>
    <x v="3"/>
    <s v="Convenience stores"/>
    <x v="1"/>
    <s v="North Cascade"/>
    <s v="|45/50/27|"/>
    <n v="456"/>
    <n v="6.34"/>
    <n v="7.84"/>
  </r>
  <r>
    <x v="3"/>
    <s v="Convenience stores"/>
    <x v="1"/>
    <s v="North Cascade"/>
    <s v="|45/50/28|"/>
    <n v="600"/>
    <n v="5.6333333333333337"/>
    <n v="7.4266666666666667"/>
  </r>
  <r>
    <x v="3"/>
    <s v="Convenience stores"/>
    <x v="1"/>
    <s v="North Cascade"/>
    <s v="|45/50/29|"/>
    <n v="516"/>
    <n v="6.4533333333333331"/>
    <n v="7.8866666666666667"/>
  </r>
  <r>
    <x v="3"/>
    <s v="Convenience stores"/>
    <x v="1"/>
    <s v="North Cascade"/>
    <s v="|45/50/30|"/>
    <n v="540"/>
    <n v="6.16"/>
    <n v="8.3066666666666666"/>
  </r>
  <r>
    <x v="3"/>
    <s v="Convenience stores"/>
    <x v="1"/>
    <s v="North Cascade"/>
    <s v="|45/50/31|"/>
    <n v="636"/>
    <n v="6.2866666666666671"/>
    <n v="8.0066666666666659"/>
  </r>
  <r>
    <x v="3"/>
    <s v="Convenience stores"/>
    <x v="1"/>
    <s v="North Cascade"/>
    <s v="|45/50/32|"/>
    <n v="528"/>
    <n v="6.5133333333333336"/>
    <n v="8.32"/>
  </r>
  <r>
    <x v="3"/>
    <s v="Convenience stores"/>
    <x v="1"/>
    <s v="North Cascade"/>
    <s v="|45/50/33|"/>
    <n v="528"/>
    <n v="6.666666666666667"/>
    <n v="8.26"/>
  </r>
  <r>
    <x v="3"/>
    <s v="Convenience stores"/>
    <x v="1"/>
    <s v="North Cascade"/>
    <s v="|45/50/34|"/>
    <n v="420"/>
    <n v="5.706666666666667"/>
    <n v="8.3933333333333326"/>
  </r>
  <r>
    <x v="3"/>
    <s v="Convenience stores"/>
    <x v="1"/>
    <s v="North Cascade"/>
    <s v="|45/50/35|"/>
    <n v="588"/>
    <n v="6.2"/>
    <n v="7.6066666666666665"/>
  </r>
  <r>
    <x v="3"/>
    <s v="Convenience stores"/>
    <x v="1"/>
    <s v="North Cascade"/>
    <s v="|45/50/36|"/>
    <n v="480"/>
    <n v="5.6733333333333329"/>
    <n v="7.333333333333333"/>
  </r>
  <r>
    <x v="3"/>
    <s v="Convenience stores"/>
    <x v="1"/>
    <s v="North Cascade"/>
    <s v="|45/50/37|"/>
    <n v="504"/>
    <n v="5.6533333333333333"/>
    <n v="7.9666666666666668"/>
  </r>
  <r>
    <x v="3"/>
    <s v="Convenience stores"/>
    <x v="1"/>
    <s v="North Cascade"/>
    <s v="|45/50/38|"/>
    <n v="504"/>
    <n v="6.22"/>
    <n v="8.293333333333333"/>
  </r>
  <r>
    <x v="3"/>
    <s v="Convenience stores"/>
    <x v="1"/>
    <s v="North Cascade"/>
    <s v="|45/50/39|"/>
    <n v="564"/>
    <n v="6.1"/>
    <n v="7.64"/>
  </r>
  <r>
    <x v="3"/>
    <s v="Convenience stores"/>
    <x v="1"/>
    <s v="North Cascade"/>
    <s v="|45/50/40|"/>
    <n v="516"/>
    <n v="5.3"/>
    <n v="7.94"/>
  </r>
  <r>
    <x v="3"/>
    <s v="Convenience stores"/>
    <x v="1"/>
    <s v="North Cascade"/>
    <s v="|45/50/40a|"/>
    <n v="576"/>
    <n v="6.1466666666666665"/>
    <n v="8.413333333333334"/>
  </r>
  <r>
    <x v="3"/>
    <s v="Convenience stores"/>
    <x v="1"/>
    <s v="North Cascade"/>
    <s v="|45/50/40b|"/>
    <n v="612"/>
    <n v="6.18"/>
    <n v="8.0066666666666659"/>
  </r>
  <r>
    <x v="3"/>
    <s v="Convenience stores"/>
    <x v="1"/>
    <s v="North Cascade"/>
    <s v="|45/50/40c|"/>
    <n v="552"/>
    <n v="6.56"/>
    <n v="8.3466666666666658"/>
  </r>
  <r>
    <x v="3"/>
    <s v="Convenience stores"/>
    <x v="1"/>
    <s v="North Cascade"/>
    <s v="|45/50/40d|"/>
    <n v="588"/>
    <n v="5.38"/>
    <n v="8.3533333333333335"/>
  </r>
  <r>
    <x v="3"/>
    <s v="Convenience stores"/>
    <x v="1"/>
    <s v="North Cascade"/>
    <s v="|45/50/41|"/>
    <n v="588"/>
    <n v="6.4466666666666663"/>
    <n v="8.08"/>
  </r>
  <r>
    <x v="3"/>
    <s v="Convenience stores"/>
    <x v="1"/>
    <s v="North Cascade"/>
    <s v="|45/50/42|"/>
    <n v="636"/>
    <n v="6.2266666666666666"/>
    <n v="7.42"/>
  </r>
  <r>
    <x v="3"/>
    <s v="Convenience stores"/>
    <x v="1"/>
    <s v="North Cascade"/>
    <s v="|45/50/98|"/>
    <n v="456"/>
    <n v="6.4333333333333336"/>
    <n v="8.3266666666666662"/>
  </r>
  <r>
    <x v="3"/>
    <s v="Convenience stores"/>
    <x v="1"/>
    <s v="North Cascade"/>
    <s v="|45/50/99|"/>
    <n v="444"/>
    <n v="6.2666666666666666"/>
    <n v="8"/>
  </r>
  <r>
    <x v="3"/>
    <s v="Convenience stores"/>
    <x v="8"/>
    <s v="North Cascade"/>
    <s v="|45/01/01|"/>
    <n v="1992"/>
    <n v="4"/>
    <n v="7"/>
  </r>
  <r>
    <x v="3"/>
    <s v="Convenience stores"/>
    <x v="8"/>
    <s v="North Cascade"/>
    <s v="|45/01/02|"/>
    <n v="2064"/>
    <n v="4"/>
    <n v="7"/>
  </r>
  <r>
    <x v="3"/>
    <s v="Convenience stores"/>
    <x v="8"/>
    <s v="North Cascade"/>
    <s v="|45/01/03|"/>
    <n v="2088"/>
    <n v="4"/>
    <n v="7"/>
  </r>
  <r>
    <x v="3"/>
    <s v="Convenience stores"/>
    <x v="8"/>
    <s v="North Cascade"/>
    <s v="|45/01/04|"/>
    <n v="1800"/>
    <n v="4"/>
    <n v="7"/>
  </r>
  <r>
    <x v="3"/>
    <s v="Convenience stores"/>
    <x v="8"/>
    <s v="North Cascade"/>
    <s v="|45/01/05|"/>
    <n v="1956"/>
    <n v="5"/>
    <n v="6"/>
  </r>
  <r>
    <x v="3"/>
    <s v="Convenience stores"/>
    <x v="8"/>
    <s v="North Cascade"/>
    <s v="|45/01/11|"/>
    <n v="2124"/>
    <n v="5"/>
    <n v="6"/>
  </r>
  <r>
    <x v="3"/>
    <s v="Convenience stores"/>
    <x v="8"/>
    <s v="North Cascade"/>
    <s v="|45/01/12|"/>
    <n v="1884"/>
    <n v="4"/>
    <n v="7"/>
  </r>
  <r>
    <x v="3"/>
    <s v="Convenience stores"/>
    <x v="8"/>
    <s v="North Cascade"/>
    <s v="|45/01/13|"/>
    <n v="1896"/>
    <n v="4"/>
    <n v="6"/>
  </r>
  <r>
    <x v="3"/>
    <s v="Convenience stores"/>
    <x v="8"/>
    <s v="North Cascade"/>
    <s v="|45/01/14|"/>
    <n v="1980"/>
    <n v="5"/>
    <n v="7"/>
  </r>
  <r>
    <x v="3"/>
    <s v="Convenience stores"/>
    <x v="8"/>
    <s v="North Cascade"/>
    <s v="|45/01/15|"/>
    <n v="1824"/>
    <n v="4"/>
    <n v="7"/>
  </r>
  <r>
    <x v="3"/>
    <s v="Convenience stores"/>
    <x v="8"/>
    <s v="North Cascade"/>
    <s v="|45/01/16|"/>
    <n v="1800"/>
    <n v="5"/>
    <n v="7"/>
  </r>
  <r>
    <x v="3"/>
    <s v="Convenience stores"/>
    <x v="8"/>
    <s v="North Cascade"/>
    <s v="|45/01/20|"/>
    <n v="2076"/>
    <n v="5"/>
    <n v="6"/>
  </r>
  <r>
    <x v="3"/>
    <s v="Convenience stores"/>
    <x v="8"/>
    <s v="North Cascade"/>
    <s v="|45/01/21|"/>
    <n v="2064"/>
    <n v="5"/>
    <n v="7"/>
  </r>
  <r>
    <x v="3"/>
    <s v="Convenience stores"/>
    <x v="8"/>
    <s v="North Cascade"/>
    <s v="|45/01/22|"/>
    <n v="2052"/>
    <n v="5"/>
    <n v="7"/>
  </r>
  <r>
    <x v="3"/>
    <s v="Convenience stores"/>
    <x v="8"/>
    <s v="North Cascade"/>
    <s v="|45/02/01|"/>
    <n v="1944"/>
    <n v="4"/>
    <n v="6"/>
  </r>
  <r>
    <x v="3"/>
    <s v="Convenience stores"/>
    <x v="8"/>
    <s v="North Cascade"/>
    <s v="|45/02/02|"/>
    <n v="1800"/>
    <n v="4"/>
    <n v="6"/>
  </r>
  <r>
    <x v="3"/>
    <s v="Convenience stores"/>
    <x v="8"/>
    <s v="North Cascade"/>
    <s v="|45/02/03|"/>
    <n v="2028"/>
    <n v="5"/>
    <n v="6"/>
  </r>
  <r>
    <x v="3"/>
    <s v="Convenience stores"/>
    <x v="8"/>
    <s v="North Cascade"/>
    <s v="|45/02/04|"/>
    <n v="2148"/>
    <n v="4"/>
    <n v="6"/>
  </r>
  <r>
    <x v="3"/>
    <s v="Convenience stores"/>
    <x v="8"/>
    <s v="North Cascade"/>
    <s v="|45/02/05|"/>
    <n v="1944"/>
    <n v="5"/>
    <n v="6"/>
  </r>
  <r>
    <x v="3"/>
    <s v="Convenience stores"/>
    <x v="8"/>
    <s v="North Cascade"/>
    <s v="|45/02/11|"/>
    <n v="1896"/>
    <n v="4"/>
    <n v="6"/>
  </r>
  <r>
    <x v="3"/>
    <s v="Convenience stores"/>
    <x v="8"/>
    <s v="North Cascade"/>
    <s v="|45/02/12|"/>
    <n v="1824"/>
    <n v="5"/>
    <n v="7"/>
  </r>
  <r>
    <x v="3"/>
    <s v="Convenience stores"/>
    <x v="8"/>
    <s v="North Cascade"/>
    <s v="|45/02/13|"/>
    <n v="1848"/>
    <n v="5"/>
    <n v="6"/>
  </r>
  <r>
    <x v="3"/>
    <s v="Convenience stores"/>
    <x v="8"/>
    <s v="North Cascade"/>
    <s v="|45/02/21|"/>
    <n v="2148"/>
    <n v="5"/>
    <n v="6"/>
  </r>
  <r>
    <x v="3"/>
    <s v="Convenience stores"/>
    <x v="8"/>
    <s v="North Cascade"/>
    <s v="|45/02/22|"/>
    <n v="2076"/>
    <n v="5"/>
    <n v="7"/>
  </r>
  <r>
    <x v="3"/>
    <s v="Convenience stores"/>
    <x v="8"/>
    <s v="North Cascade"/>
    <s v="|45/02/23|"/>
    <n v="1980"/>
    <n v="4"/>
    <n v="6"/>
  </r>
  <r>
    <x v="3"/>
    <s v="Convenience stores"/>
    <x v="8"/>
    <s v="North Cascade"/>
    <s v="|45/02/31|"/>
    <n v="1800"/>
    <n v="4"/>
    <n v="7"/>
  </r>
  <r>
    <x v="3"/>
    <s v="Convenience stores"/>
    <x v="8"/>
    <s v="North Cascade"/>
    <s v="|45/03/01|"/>
    <n v="2028"/>
    <n v="5"/>
    <n v="6"/>
  </r>
  <r>
    <x v="3"/>
    <s v="Convenience stores"/>
    <x v="8"/>
    <s v="North Cascade"/>
    <s v="|45/03/03|"/>
    <n v="2160"/>
    <n v="4"/>
    <n v="6"/>
  </r>
  <r>
    <x v="3"/>
    <s v="Convenience stores"/>
    <x v="8"/>
    <s v="North Cascade"/>
    <s v="|45/03/04|"/>
    <n v="2136"/>
    <n v="5"/>
    <n v="6"/>
  </r>
  <r>
    <x v="3"/>
    <s v="Convenience stores"/>
    <x v="8"/>
    <s v="North Cascade"/>
    <s v="|45/03/05|"/>
    <n v="1824"/>
    <n v="4"/>
    <n v="7"/>
  </r>
  <r>
    <x v="3"/>
    <s v="Convenience stores"/>
    <x v="8"/>
    <s v="North Cascade"/>
    <s v="|45/04/01|"/>
    <n v="1872"/>
    <n v="4"/>
    <n v="6"/>
  </r>
  <r>
    <x v="3"/>
    <s v="Convenience stores"/>
    <x v="8"/>
    <s v="North Cascade"/>
    <s v="|45/04/02|"/>
    <n v="1908"/>
    <n v="4"/>
    <n v="7"/>
  </r>
  <r>
    <x v="3"/>
    <s v="Convenience stores"/>
    <x v="8"/>
    <s v="North Cascade"/>
    <s v="|45/04/03|"/>
    <n v="2040"/>
    <n v="4"/>
    <n v="6"/>
  </r>
  <r>
    <x v="3"/>
    <s v="Convenience stores"/>
    <x v="8"/>
    <s v="North Cascade"/>
    <s v="|45/04/04|"/>
    <n v="1860"/>
    <n v="5"/>
    <n v="6"/>
  </r>
  <r>
    <x v="3"/>
    <s v="Convenience stores"/>
    <x v="8"/>
    <s v="North Cascade"/>
    <s v="|45/04/08|"/>
    <n v="1896"/>
    <n v="4"/>
    <n v="6"/>
  </r>
  <r>
    <x v="3"/>
    <s v="Convenience stores"/>
    <x v="8"/>
    <s v="North Cascade"/>
    <s v="|45/04/09|"/>
    <n v="2148"/>
    <n v="4"/>
    <n v="7"/>
  </r>
  <r>
    <x v="3"/>
    <s v="Convenience stores"/>
    <x v="8"/>
    <s v="North Cascade"/>
    <s v="|45/04/10|"/>
    <n v="1944"/>
    <n v="5"/>
    <n v="6"/>
  </r>
  <r>
    <x v="3"/>
    <s v="Convenience stores"/>
    <x v="8"/>
    <s v="North Cascade"/>
    <s v="|45/04/11|"/>
    <n v="2076"/>
    <n v="5"/>
    <n v="7"/>
  </r>
  <r>
    <x v="3"/>
    <s v="Convenience stores"/>
    <x v="8"/>
    <s v="North Cascade"/>
    <s v="|45/04/12|"/>
    <n v="1860"/>
    <n v="4"/>
    <n v="6"/>
  </r>
  <r>
    <x v="3"/>
    <s v="Convenience stores"/>
    <x v="8"/>
    <s v="North Cascade"/>
    <s v="|45/04/13|"/>
    <n v="2016"/>
    <n v="5"/>
    <n v="6"/>
  </r>
  <r>
    <x v="3"/>
    <s v="Convenience stores"/>
    <x v="8"/>
    <s v="North Cascade"/>
    <s v="|45/04/14|"/>
    <n v="1860"/>
    <n v="5"/>
    <n v="7"/>
  </r>
  <r>
    <x v="3"/>
    <s v="Convenience stores"/>
    <x v="8"/>
    <s v="North Cascade"/>
    <s v="|45/04/21|"/>
    <n v="2076"/>
    <n v="5"/>
    <n v="7"/>
  </r>
  <r>
    <x v="3"/>
    <s v="Convenience stores"/>
    <x v="8"/>
    <s v="North Cascade"/>
    <s v="|45/04/22|"/>
    <n v="2124"/>
    <n v="5"/>
    <n v="7"/>
  </r>
  <r>
    <x v="3"/>
    <s v="Convenience stores"/>
    <x v="8"/>
    <s v="North Cascade"/>
    <s v="|45/04/23|"/>
    <n v="1992"/>
    <n v="5"/>
    <n v="6"/>
  </r>
  <r>
    <x v="3"/>
    <s v="Convenience stores"/>
    <x v="8"/>
    <s v="North Cascade"/>
    <s v="|45/04/31|"/>
    <n v="1800"/>
    <n v="5"/>
    <n v="7"/>
  </r>
  <r>
    <x v="3"/>
    <s v="Convenience stores"/>
    <x v="8"/>
    <s v="North Cascade"/>
    <s v="|45/04/32|"/>
    <n v="1956"/>
    <n v="5"/>
    <n v="6"/>
  </r>
  <r>
    <x v="3"/>
    <s v="Convenience stores"/>
    <x v="8"/>
    <s v="North Cascade"/>
    <s v="|45/04/33|"/>
    <n v="2004"/>
    <n v="5"/>
    <n v="7"/>
  </r>
  <r>
    <x v="3"/>
    <s v="Convenience stores"/>
    <x v="8"/>
    <s v="North Cascade"/>
    <s v="|45/04/88|"/>
    <n v="2136"/>
    <n v="4"/>
    <n v="7"/>
  </r>
  <r>
    <x v="3"/>
    <s v="Convenience stores"/>
    <x v="8"/>
    <s v="North Cascade"/>
    <s v="|45/04/90|"/>
    <n v="1824"/>
    <n v="5"/>
    <n v="7"/>
  </r>
  <r>
    <x v="3"/>
    <s v="Convenience stores"/>
    <x v="8"/>
    <s v="North Cascade"/>
    <s v="|45/04/91|"/>
    <n v="2076"/>
    <n v="5"/>
    <n v="6"/>
  </r>
  <r>
    <x v="3"/>
    <s v="Convenience stores"/>
    <x v="8"/>
    <s v="North Cascade"/>
    <s v="|45/04/92|"/>
    <n v="1992"/>
    <n v="5"/>
    <n v="7"/>
  </r>
  <r>
    <x v="3"/>
    <s v="Convenience stores"/>
    <x v="8"/>
    <s v="North Cascade"/>
    <s v="|45/04/93|"/>
    <n v="2064"/>
    <n v="4"/>
    <n v="6"/>
  </r>
  <r>
    <x v="3"/>
    <s v="Convenience stores"/>
    <x v="8"/>
    <s v="North Cascade"/>
    <s v="|45/04/94|"/>
    <n v="1884"/>
    <n v="4"/>
    <n v="6"/>
  </r>
  <r>
    <x v="3"/>
    <s v="Convenience stores"/>
    <x v="8"/>
    <s v="North Cascade"/>
    <s v="|45/04/95|"/>
    <n v="2076"/>
    <n v="5"/>
    <n v="7"/>
  </r>
  <r>
    <x v="3"/>
    <s v="Convenience stores"/>
    <x v="8"/>
    <s v="North Cascade"/>
    <s v="|45/04/99|"/>
    <n v="1848"/>
    <n v="4"/>
    <n v="7"/>
  </r>
  <r>
    <x v="3"/>
    <s v="Convenience stores"/>
    <x v="8"/>
    <s v="North Cascade"/>
    <s v="|45/05/01|"/>
    <n v="2112"/>
    <n v="5"/>
    <n v="6"/>
  </r>
  <r>
    <x v="3"/>
    <s v="Convenience stores"/>
    <x v="8"/>
    <s v="North Cascade"/>
    <s v="|45/05/02|"/>
    <n v="2064"/>
    <n v="4"/>
    <n v="7"/>
  </r>
  <r>
    <x v="3"/>
    <s v="Convenience stores"/>
    <x v="8"/>
    <s v="North Cascade"/>
    <s v="|45/05/03|"/>
    <n v="2016"/>
    <n v="4"/>
    <n v="7"/>
  </r>
  <r>
    <x v="3"/>
    <s v="Convenience stores"/>
    <x v="8"/>
    <s v="North Cascade"/>
    <s v="|45/05/04|"/>
    <n v="2028"/>
    <n v="4"/>
    <n v="6"/>
  </r>
  <r>
    <x v="3"/>
    <s v="Convenience stores"/>
    <x v="8"/>
    <s v="North Cascade"/>
    <s v="|45/05/05|"/>
    <n v="1944"/>
    <n v="5"/>
    <n v="7"/>
  </r>
  <r>
    <x v="3"/>
    <s v="Convenience stores"/>
    <x v="8"/>
    <s v="North Cascade"/>
    <s v="|45/05/06|"/>
    <n v="2124"/>
    <n v="4"/>
    <n v="7"/>
  </r>
  <r>
    <x v="3"/>
    <s v="Convenience stores"/>
    <x v="8"/>
    <s v="North Cascade"/>
    <s v="|45/05/07|"/>
    <n v="2016"/>
    <n v="5"/>
    <n v="6"/>
  </r>
  <r>
    <x v="3"/>
    <s v="Convenience stores"/>
    <x v="8"/>
    <s v="North Cascade"/>
    <s v="|45/06/01|"/>
    <n v="2112"/>
    <n v="4"/>
    <n v="6"/>
  </r>
  <r>
    <x v="3"/>
    <s v="Convenience stores"/>
    <x v="8"/>
    <s v="North Cascade"/>
    <s v="|45/06/03|"/>
    <n v="1992"/>
    <n v="5"/>
    <n v="7"/>
  </r>
  <r>
    <x v="3"/>
    <s v="Convenience stores"/>
    <x v="8"/>
    <s v="North Cascade"/>
    <s v="|45/06/04|"/>
    <n v="2028"/>
    <n v="4"/>
    <n v="7"/>
  </r>
  <r>
    <x v="3"/>
    <s v="Convenience stores"/>
    <x v="8"/>
    <s v="North Cascade"/>
    <s v="|45/06/05|"/>
    <n v="1896"/>
    <n v="4"/>
    <n v="6"/>
  </r>
  <r>
    <x v="3"/>
    <s v="Convenience stores"/>
    <x v="8"/>
    <s v="North Cascade"/>
    <s v="|45/07/01|"/>
    <n v="1860"/>
    <n v="5"/>
    <n v="6"/>
  </r>
  <r>
    <x v="3"/>
    <s v="Convenience stores"/>
    <x v="8"/>
    <s v="North Cascade"/>
    <s v="|45/07/02|"/>
    <n v="2076"/>
    <n v="4"/>
    <n v="6"/>
  </r>
  <r>
    <x v="3"/>
    <s v="Convenience stores"/>
    <x v="8"/>
    <s v="North Cascade"/>
    <s v="|45/07/03|"/>
    <n v="1848"/>
    <n v="4"/>
    <n v="7"/>
  </r>
  <r>
    <x v="3"/>
    <s v="Convenience stores"/>
    <x v="8"/>
    <s v="North Cascade"/>
    <s v="|45/07/04|"/>
    <n v="2040"/>
    <n v="5"/>
    <n v="7"/>
  </r>
  <r>
    <x v="3"/>
    <s v="Convenience stores"/>
    <x v="8"/>
    <s v="North Cascade"/>
    <s v="|45/07/05|"/>
    <n v="2088"/>
    <n v="5"/>
    <n v="6"/>
  </r>
  <r>
    <x v="3"/>
    <s v="Convenience stores"/>
    <x v="8"/>
    <s v="North Cascade"/>
    <s v="|45/07/06|"/>
    <n v="2016"/>
    <n v="4"/>
    <n v="7"/>
  </r>
  <r>
    <x v="3"/>
    <s v="Convenience stores"/>
    <x v="8"/>
    <s v="North Cascade"/>
    <s v="|45/07/07|"/>
    <n v="1956"/>
    <n v="4"/>
    <n v="6"/>
  </r>
  <r>
    <x v="3"/>
    <s v="Convenience stores"/>
    <x v="8"/>
    <s v="North Cascade"/>
    <s v="|45/07/08|"/>
    <n v="1860"/>
    <n v="5"/>
    <n v="6"/>
  </r>
  <r>
    <x v="3"/>
    <s v="Convenience stores"/>
    <x v="8"/>
    <s v="North Cascade"/>
    <s v="|45/07/09|"/>
    <n v="2052"/>
    <n v="5"/>
    <n v="6"/>
  </r>
  <r>
    <x v="3"/>
    <s v="Convenience stores"/>
    <x v="8"/>
    <s v="North Cascade"/>
    <s v="|45/07/10|"/>
    <n v="1812"/>
    <n v="4"/>
    <n v="6"/>
  </r>
  <r>
    <x v="3"/>
    <s v="Convenience stores"/>
    <x v="8"/>
    <s v="North Cascade"/>
    <s v="|45/20/01|"/>
    <n v="2004"/>
    <n v="4"/>
    <n v="6"/>
  </r>
  <r>
    <x v="3"/>
    <s v="Convenience stores"/>
    <x v="8"/>
    <s v="North Cascade"/>
    <s v="|45/20/02|"/>
    <n v="1908"/>
    <n v="4"/>
    <n v="6"/>
  </r>
  <r>
    <x v="3"/>
    <s v="Convenience stores"/>
    <x v="8"/>
    <s v="North Cascade"/>
    <s v="|45/20/03|"/>
    <n v="2112"/>
    <n v="4"/>
    <n v="6"/>
  </r>
  <r>
    <x v="3"/>
    <s v="Convenience stores"/>
    <x v="8"/>
    <s v="North Cascade"/>
    <s v="|45/20/04|"/>
    <n v="2112"/>
    <n v="4"/>
    <n v="6"/>
  </r>
  <r>
    <x v="3"/>
    <s v="Convenience stores"/>
    <x v="8"/>
    <s v="North Cascade"/>
    <s v="|45/20/05|"/>
    <n v="2016"/>
    <n v="5"/>
    <n v="7"/>
  </r>
  <r>
    <x v="3"/>
    <s v="Convenience stores"/>
    <x v="8"/>
    <s v="North Cascade"/>
    <s v="|45/20/06|"/>
    <n v="1992"/>
    <n v="5"/>
    <n v="6"/>
  </r>
  <r>
    <x v="3"/>
    <s v="Convenience stores"/>
    <x v="8"/>
    <s v="North Cascade"/>
    <s v="|45/20/07|"/>
    <n v="1980"/>
    <n v="4"/>
    <n v="6"/>
  </r>
  <r>
    <x v="3"/>
    <s v="Convenience stores"/>
    <x v="8"/>
    <s v="North Cascade"/>
    <s v="|45/20/08|"/>
    <n v="1896"/>
    <n v="4"/>
    <n v="7"/>
  </r>
  <r>
    <x v="3"/>
    <s v="Convenience stores"/>
    <x v="8"/>
    <s v="North Cascade"/>
    <s v="|45/20/09|"/>
    <n v="2076"/>
    <n v="4"/>
    <n v="7"/>
  </r>
  <r>
    <x v="3"/>
    <s v="Convenience stores"/>
    <x v="8"/>
    <s v="North Cascade"/>
    <s v="|45/20/10|"/>
    <n v="2136"/>
    <n v="4"/>
    <n v="6"/>
  </r>
  <r>
    <x v="3"/>
    <s v="Convenience stores"/>
    <x v="8"/>
    <s v="North Cascade"/>
    <s v="|45/20/11|"/>
    <n v="2028"/>
    <n v="4"/>
    <n v="6"/>
  </r>
  <r>
    <x v="3"/>
    <s v="Convenience stores"/>
    <x v="8"/>
    <s v="North Cascade"/>
    <s v="|45/20/12|"/>
    <n v="2076"/>
    <n v="4"/>
    <n v="7"/>
  </r>
  <r>
    <x v="3"/>
    <s v="Convenience stores"/>
    <x v="8"/>
    <s v="North Cascade"/>
    <s v="|45/20/13|"/>
    <n v="1944"/>
    <n v="5"/>
    <n v="6"/>
  </r>
  <r>
    <x v="3"/>
    <s v="Convenience stores"/>
    <x v="8"/>
    <s v="North Cascade"/>
    <s v="|45/20/14|"/>
    <n v="2052"/>
    <n v="5"/>
    <n v="7"/>
  </r>
  <r>
    <x v="3"/>
    <s v="Convenience stores"/>
    <x v="8"/>
    <s v="North Cascade"/>
    <s v="|45/20/15|"/>
    <n v="2016"/>
    <n v="4"/>
    <n v="7"/>
  </r>
  <r>
    <x v="3"/>
    <s v="Convenience stores"/>
    <x v="8"/>
    <s v="North Cascade"/>
    <s v="|45/20/16|"/>
    <n v="1884"/>
    <n v="5"/>
    <n v="6"/>
  </r>
  <r>
    <x v="3"/>
    <s v="Convenience stores"/>
    <x v="8"/>
    <s v="North Cascade"/>
    <s v="|45/20/17|"/>
    <n v="1944"/>
    <n v="4"/>
    <n v="7"/>
  </r>
  <r>
    <x v="3"/>
    <s v="Convenience stores"/>
    <x v="8"/>
    <s v="North Cascade"/>
    <s v="|45/20/18|"/>
    <n v="1992"/>
    <n v="4"/>
    <n v="6"/>
  </r>
  <r>
    <x v="3"/>
    <s v="Convenience stores"/>
    <x v="8"/>
    <s v="North Cascade"/>
    <s v="|45/20/19|"/>
    <n v="1908"/>
    <n v="4"/>
    <n v="6"/>
  </r>
  <r>
    <x v="3"/>
    <s v="Convenience stores"/>
    <x v="8"/>
    <s v="North Cascade"/>
    <s v="|45/20/20|"/>
    <n v="2040"/>
    <n v="4"/>
    <n v="7"/>
  </r>
  <r>
    <x v="3"/>
    <s v="Convenience stores"/>
    <x v="8"/>
    <s v="North Cascade"/>
    <s v="|45/20/21|"/>
    <n v="2088"/>
    <n v="4"/>
    <n v="6"/>
  </r>
  <r>
    <x v="3"/>
    <s v="Convenience stores"/>
    <x v="8"/>
    <s v="North Cascade"/>
    <s v="|45/20/22|"/>
    <n v="1980"/>
    <n v="4"/>
    <n v="6"/>
  </r>
  <r>
    <x v="3"/>
    <s v="Convenience stores"/>
    <x v="8"/>
    <s v="North Cascade"/>
    <s v="|45/20/23|"/>
    <n v="2112"/>
    <n v="5"/>
    <n v="6"/>
  </r>
  <r>
    <x v="3"/>
    <s v="Convenience stores"/>
    <x v="8"/>
    <s v="North Cascade"/>
    <s v="|45/20/24|"/>
    <n v="1812"/>
    <n v="5"/>
    <n v="7"/>
  </r>
  <r>
    <x v="3"/>
    <s v="Convenience stores"/>
    <x v="8"/>
    <s v="North Cascade"/>
    <s v="|45/20/25|"/>
    <n v="1980"/>
    <n v="4"/>
    <n v="6"/>
  </r>
  <r>
    <x v="3"/>
    <s v="Convenience stores"/>
    <x v="8"/>
    <s v="North Cascade"/>
    <s v="|45/20/26|"/>
    <n v="1956"/>
    <n v="4"/>
    <n v="6"/>
  </r>
  <r>
    <x v="3"/>
    <s v="Convenience stores"/>
    <x v="8"/>
    <s v="North Cascade"/>
    <s v="|45/20/27|"/>
    <n v="2100"/>
    <n v="4"/>
    <n v="6"/>
  </r>
  <r>
    <x v="3"/>
    <s v="Convenience stores"/>
    <x v="8"/>
    <s v="North Cascade"/>
    <s v="|45/20/28|"/>
    <n v="2004"/>
    <n v="5"/>
    <n v="7"/>
  </r>
  <r>
    <x v="3"/>
    <s v="Convenience stores"/>
    <x v="8"/>
    <s v="North Cascade"/>
    <s v="|45/20/29|"/>
    <n v="1860"/>
    <n v="4"/>
    <n v="7"/>
  </r>
  <r>
    <x v="3"/>
    <s v="Convenience stores"/>
    <x v="8"/>
    <s v="North Cascade"/>
    <s v="|45/20/30|"/>
    <n v="1944"/>
    <n v="4"/>
    <n v="7"/>
  </r>
  <r>
    <x v="3"/>
    <s v="Convenience stores"/>
    <x v="8"/>
    <s v="North Cascade"/>
    <s v="|45/20/31|"/>
    <n v="1824"/>
    <n v="5"/>
    <n v="6"/>
  </r>
  <r>
    <x v="3"/>
    <s v="Convenience stores"/>
    <x v="8"/>
    <s v="North Cascade"/>
    <s v="|45/20/32|"/>
    <n v="2100"/>
    <n v="5"/>
    <n v="6"/>
  </r>
  <r>
    <x v="3"/>
    <s v="Convenience stores"/>
    <x v="8"/>
    <s v="North Cascade"/>
    <s v="|45/20/33|"/>
    <n v="2004"/>
    <n v="4"/>
    <n v="7"/>
  </r>
  <r>
    <x v="3"/>
    <s v="Convenience stores"/>
    <x v="8"/>
    <s v="North Cascade"/>
    <s v="|45/20/34|"/>
    <n v="2052"/>
    <n v="4"/>
    <n v="6"/>
  </r>
  <r>
    <x v="3"/>
    <s v="Convenience stores"/>
    <x v="8"/>
    <s v="North Cascade"/>
    <s v="|45/20/36|"/>
    <n v="1848"/>
    <n v="4"/>
    <n v="6"/>
  </r>
  <r>
    <x v="3"/>
    <s v="Convenience stores"/>
    <x v="8"/>
    <s v="North Cascade"/>
    <s v="|45/20/37|"/>
    <n v="2064"/>
    <n v="5"/>
    <n v="7"/>
  </r>
  <r>
    <x v="3"/>
    <s v="Convenience stores"/>
    <x v="8"/>
    <s v="North Cascade"/>
    <s v="|45/20/38|"/>
    <n v="1992"/>
    <n v="4"/>
    <n v="6"/>
  </r>
  <r>
    <x v="3"/>
    <s v="Convenience stores"/>
    <x v="8"/>
    <s v="North Cascade"/>
    <s v="|45/20/39|"/>
    <n v="1824"/>
    <n v="4"/>
    <n v="7"/>
  </r>
  <r>
    <x v="3"/>
    <s v="Convenience stores"/>
    <x v="8"/>
    <s v="North Cascade"/>
    <s v="|45/20/40|"/>
    <n v="1812"/>
    <n v="5"/>
    <n v="6"/>
  </r>
  <r>
    <x v="3"/>
    <s v="Convenience stores"/>
    <x v="8"/>
    <s v="North Cascade"/>
    <s v="|45/20/41|"/>
    <n v="2028"/>
    <n v="5"/>
    <n v="6"/>
  </r>
  <r>
    <x v="3"/>
    <s v="Convenience stores"/>
    <x v="8"/>
    <s v="North Cascade"/>
    <s v="|45/20/42|"/>
    <n v="2160"/>
    <n v="5"/>
    <n v="6"/>
  </r>
  <r>
    <x v="3"/>
    <s v="Convenience stores"/>
    <x v="8"/>
    <s v="North Cascade"/>
    <s v="|45/20/43|"/>
    <n v="1920"/>
    <n v="4"/>
    <n v="7"/>
  </r>
  <r>
    <x v="3"/>
    <s v="Convenience stores"/>
    <x v="8"/>
    <s v="North Cascade"/>
    <s v="|45/20/45|"/>
    <n v="1824"/>
    <n v="4"/>
    <n v="6"/>
  </r>
  <r>
    <x v="3"/>
    <s v="Convenience stores"/>
    <x v="8"/>
    <s v="North Cascade"/>
    <s v="|45/20/46|"/>
    <n v="1932"/>
    <n v="5"/>
    <n v="6"/>
  </r>
  <r>
    <x v="3"/>
    <s v="Convenience stores"/>
    <x v="8"/>
    <s v="North Cascade"/>
    <s v="|45/20/47|"/>
    <n v="2040"/>
    <n v="5"/>
    <n v="6"/>
  </r>
  <r>
    <x v="3"/>
    <s v="Convenience stores"/>
    <x v="8"/>
    <s v="North Cascade"/>
    <s v="|45/20/48|"/>
    <n v="2100"/>
    <n v="4"/>
    <n v="7"/>
  </r>
  <r>
    <x v="3"/>
    <s v="Convenience stores"/>
    <x v="8"/>
    <s v="North Cascade"/>
    <s v="|45/20/49|"/>
    <n v="1992"/>
    <n v="5"/>
    <n v="7"/>
  </r>
  <r>
    <x v="3"/>
    <s v="Convenience stores"/>
    <x v="8"/>
    <s v="North Cascade"/>
    <s v="|45/20/50|"/>
    <n v="1824"/>
    <n v="5"/>
    <n v="7"/>
  </r>
  <r>
    <x v="3"/>
    <s v="Convenience stores"/>
    <x v="8"/>
    <s v="North Cascade"/>
    <s v="|45/20/51|"/>
    <n v="1980"/>
    <n v="4"/>
    <n v="7"/>
  </r>
  <r>
    <x v="3"/>
    <s v="Convenience stores"/>
    <x v="8"/>
    <s v="North Cascade"/>
    <s v="|45/20/52|"/>
    <n v="1896"/>
    <n v="5"/>
    <n v="7"/>
  </r>
  <r>
    <x v="3"/>
    <s v="Convenience stores"/>
    <x v="8"/>
    <s v="North Cascade"/>
    <s v="|45/20/53|"/>
    <n v="2124"/>
    <n v="4"/>
    <n v="6"/>
  </r>
  <r>
    <x v="3"/>
    <s v="Convenience stores"/>
    <x v="8"/>
    <s v="North Cascade"/>
    <s v="|45/20/54|"/>
    <n v="2028"/>
    <n v="4"/>
    <n v="7"/>
  </r>
  <r>
    <x v="3"/>
    <s v="Convenience stores"/>
    <x v="8"/>
    <s v="North Cascade"/>
    <s v="|45/20/55|"/>
    <n v="2160"/>
    <n v="5"/>
    <n v="6"/>
  </r>
  <r>
    <x v="3"/>
    <s v="Convenience stores"/>
    <x v="8"/>
    <s v="North Cascade"/>
    <s v="|45/20/56|"/>
    <n v="2076"/>
    <n v="4"/>
    <n v="7"/>
  </r>
  <r>
    <x v="3"/>
    <s v="Convenience stores"/>
    <x v="8"/>
    <s v="North Cascade"/>
    <s v="|45/20/57|"/>
    <n v="2088"/>
    <n v="5"/>
    <n v="6"/>
  </r>
  <r>
    <x v="3"/>
    <s v="Convenience stores"/>
    <x v="8"/>
    <s v="North Cascade"/>
    <s v="|45/20/58|"/>
    <n v="1920"/>
    <n v="5"/>
    <n v="7"/>
  </r>
  <r>
    <x v="3"/>
    <s v="Convenience stores"/>
    <x v="8"/>
    <s v="North Cascade"/>
    <s v="|45/20/59|"/>
    <n v="1896"/>
    <n v="4"/>
    <n v="6"/>
  </r>
  <r>
    <x v="3"/>
    <s v="Convenience stores"/>
    <x v="8"/>
    <s v="North Cascade"/>
    <s v="|45/20/60|"/>
    <n v="1992"/>
    <n v="4"/>
    <n v="7"/>
  </r>
  <r>
    <x v="3"/>
    <s v="Convenience stores"/>
    <x v="8"/>
    <s v="North Cascade"/>
    <s v="|45/20/61|"/>
    <n v="1836"/>
    <n v="4"/>
    <n v="7"/>
  </r>
  <r>
    <x v="3"/>
    <s v="Convenience stores"/>
    <x v="8"/>
    <s v="North Cascade"/>
    <s v="|45/20/62|"/>
    <n v="1920"/>
    <n v="4"/>
    <n v="7"/>
  </r>
  <r>
    <x v="3"/>
    <s v="Convenience stores"/>
    <x v="8"/>
    <s v="North Cascade"/>
    <s v="|45/20/63|"/>
    <n v="2100"/>
    <n v="4"/>
    <n v="7"/>
  </r>
  <r>
    <x v="3"/>
    <s v="Convenience stores"/>
    <x v="8"/>
    <s v="North Cascade"/>
    <s v="|45/20/64|"/>
    <n v="2016"/>
    <n v="4"/>
    <n v="7"/>
  </r>
  <r>
    <x v="3"/>
    <s v="Convenience stores"/>
    <x v="8"/>
    <s v="North Cascade"/>
    <s v="|45/20/65|"/>
    <n v="2076"/>
    <n v="5"/>
    <n v="6"/>
  </r>
  <r>
    <x v="3"/>
    <s v="Convenience stores"/>
    <x v="8"/>
    <s v="North Cascade"/>
    <s v="|45/20/66|"/>
    <n v="1944"/>
    <n v="5"/>
    <n v="6"/>
  </r>
  <r>
    <x v="3"/>
    <s v="Convenience stores"/>
    <x v="8"/>
    <s v="North Cascade"/>
    <s v="|45/20/67|"/>
    <n v="1980"/>
    <n v="5"/>
    <n v="7"/>
  </r>
  <r>
    <x v="3"/>
    <s v="Convenience stores"/>
    <x v="8"/>
    <s v="North Cascade"/>
    <s v="|45/20/68|"/>
    <n v="2076"/>
    <n v="5"/>
    <n v="6"/>
  </r>
  <r>
    <x v="3"/>
    <s v="Convenience stores"/>
    <x v="8"/>
    <s v="North Cascade"/>
    <s v="|45/20/69|"/>
    <n v="2148"/>
    <n v="5"/>
    <n v="7"/>
  </r>
  <r>
    <x v="3"/>
    <s v="Convenience stores"/>
    <x v="8"/>
    <s v="North Cascade"/>
    <s v="|45/20/70|"/>
    <n v="1800"/>
    <n v="5"/>
    <n v="7"/>
  </r>
  <r>
    <x v="3"/>
    <s v="Convenience stores"/>
    <x v="8"/>
    <s v="North Cascade"/>
    <s v="|45/20/71|"/>
    <n v="2136"/>
    <n v="4"/>
    <n v="7"/>
  </r>
  <r>
    <x v="3"/>
    <s v="Convenience stores"/>
    <x v="8"/>
    <s v="North Cascade"/>
    <s v="|45/20/72|"/>
    <n v="1896"/>
    <n v="5"/>
    <n v="6"/>
  </r>
  <r>
    <x v="3"/>
    <s v="Convenience stores"/>
    <x v="8"/>
    <s v="North Cascade"/>
    <s v="|45/20/73|"/>
    <n v="1896"/>
    <n v="4"/>
    <n v="7"/>
  </r>
  <r>
    <x v="3"/>
    <s v="Convenience stores"/>
    <x v="8"/>
    <s v="North Cascade"/>
    <s v="|45/20/74|"/>
    <n v="2064"/>
    <n v="4"/>
    <n v="6"/>
  </r>
  <r>
    <x v="3"/>
    <s v="Convenience stores"/>
    <x v="8"/>
    <s v="North Cascade"/>
    <s v="|45/20/75|"/>
    <n v="2124"/>
    <n v="5"/>
    <n v="6"/>
  </r>
  <r>
    <x v="3"/>
    <s v="Convenience stores"/>
    <x v="8"/>
    <s v="North Cascade"/>
    <s v="|45/20/76|"/>
    <n v="1800"/>
    <n v="4"/>
    <n v="6"/>
  </r>
  <r>
    <x v="3"/>
    <s v="Convenience stores"/>
    <x v="8"/>
    <s v="North Cascade"/>
    <s v="|45/20/77|"/>
    <n v="1956"/>
    <n v="5"/>
    <n v="6"/>
  </r>
  <r>
    <x v="3"/>
    <s v="Convenience stores"/>
    <x v="8"/>
    <s v="North Cascade"/>
    <s v="|45/20/78|"/>
    <n v="2100"/>
    <n v="4"/>
    <n v="6"/>
  </r>
  <r>
    <x v="3"/>
    <s v="Convenience stores"/>
    <x v="8"/>
    <s v="North Cascade"/>
    <s v="|45/20/79|"/>
    <n v="1956"/>
    <n v="4"/>
    <n v="6"/>
  </r>
  <r>
    <x v="3"/>
    <s v="Convenience stores"/>
    <x v="8"/>
    <s v="North Cascade"/>
    <s v="|45/20/80|"/>
    <n v="2052"/>
    <n v="4"/>
    <n v="6"/>
  </r>
  <r>
    <x v="3"/>
    <s v="Convenience stores"/>
    <x v="8"/>
    <s v="North Cascade"/>
    <s v="|45/20/81|"/>
    <n v="1920"/>
    <n v="4"/>
    <n v="7"/>
  </r>
  <r>
    <x v="3"/>
    <s v="Convenience stores"/>
    <x v="8"/>
    <s v="North Cascade"/>
    <s v="|45/20/82|"/>
    <n v="2004"/>
    <n v="4"/>
    <n v="6"/>
  </r>
  <r>
    <x v="3"/>
    <s v="Convenience stores"/>
    <x v="8"/>
    <s v="North Cascade"/>
    <s v="|45/21/01|"/>
    <n v="1920"/>
    <n v="4"/>
    <n v="7"/>
  </r>
  <r>
    <x v="3"/>
    <s v="Convenience stores"/>
    <x v="8"/>
    <s v="North Cascade"/>
    <s v="|45/21/40|"/>
    <n v="1800"/>
    <n v="4"/>
    <n v="6"/>
  </r>
  <r>
    <x v="3"/>
    <s v="Convenience stores"/>
    <x v="8"/>
    <s v="North Cascade"/>
    <s v="|45/50/49|"/>
    <n v="1896"/>
    <n v="4"/>
    <n v="7"/>
  </r>
  <r>
    <x v="3"/>
    <s v="Convenience stores"/>
    <x v="8"/>
    <s v="North Cascade"/>
    <s v="|50/01/01|"/>
    <n v="1920"/>
    <n v="4"/>
    <n v="6"/>
  </r>
  <r>
    <x v="3"/>
    <s v="Convenience stores"/>
    <x v="8"/>
    <s v="North Cascade"/>
    <s v="|50/01/03|"/>
    <n v="2160"/>
    <n v="4"/>
    <n v="6"/>
  </r>
  <r>
    <x v="3"/>
    <s v="Convenience stores"/>
    <x v="8"/>
    <s v="North Cascade"/>
    <s v="|50/01/05|"/>
    <n v="1992"/>
    <n v="4"/>
    <n v="6"/>
  </r>
  <r>
    <x v="3"/>
    <s v="Convenience stores"/>
    <x v="8"/>
    <s v="North Cascade"/>
    <s v="|45/01/101|"/>
    <n v="1872"/>
    <n v="4"/>
    <n v="6"/>
  </r>
  <r>
    <x v="3"/>
    <s v="Convenience stores"/>
    <x v="8"/>
    <s v="North Cascade"/>
    <s v="|45/01/102|"/>
    <n v="1968"/>
    <n v="4"/>
    <n v="6"/>
  </r>
  <r>
    <x v="3"/>
    <s v="Convenience stores"/>
    <x v="8"/>
    <s v="North Cascade"/>
    <s v="|45/01/103|"/>
    <n v="1944"/>
    <n v="4"/>
    <n v="7"/>
  </r>
  <r>
    <x v="3"/>
    <s v="Convenience stores"/>
    <x v="8"/>
    <s v="North Cascade"/>
    <s v="|45/02/101|"/>
    <n v="2136"/>
    <n v="5"/>
    <n v="6"/>
  </r>
  <r>
    <x v="3"/>
    <s v="Convenience stores"/>
    <x v="8"/>
    <s v="North Cascade"/>
    <s v="|45/02/102|"/>
    <n v="1968"/>
    <n v="5"/>
    <n v="6"/>
  </r>
  <r>
    <x v="3"/>
    <s v="Convenience stores"/>
    <x v="8"/>
    <s v="North Cascade"/>
    <s v="|45/02/103|"/>
    <n v="1980"/>
    <n v="5"/>
    <n v="6"/>
  </r>
  <r>
    <x v="3"/>
    <s v="Convenience stores"/>
    <x v="8"/>
    <s v="North Cascade"/>
    <s v="|45/03/101|"/>
    <n v="1908"/>
    <n v="4"/>
    <n v="6"/>
  </r>
  <r>
    <x v="3"/>
    <s v="Convenience stores"/>
    <x v="8"/>
    <s v="North Cascade"/>
    <s v="|45/03/103|"/>
    <n v="1944"/>
    <n v="4"/>
    <n v="7"/>
  </r>
  <r>
    <x v="3"/>
    <s v="Convenience stores"/>
    <x v="8"/>
    <s v="North Cascade"/>
    <s v="|45/03/104|"/>
    <n v="2148"/>
    <n v="5"/>
    <n v="6"/>
  </r>
  <r>
    <x v="3"/>
    <s v="Convenience stores"/>
    <x v="8"/>
    <s v="North Cascade"/>
    <s v="|45/04/101|"/>
    <n v="1800"/>
    <n v="5"/>
    <n v="7"/>
  </r>
  <r>
    <x v="3"/>
    <s v="Convenience stores"/>
    <x v="8"/>
    <s v="North Cascade"/>
    <s v="|45/04/102|"/>
    <n v="1848"/>
    <n v="5"/>
    <n v="6"/>
  </r>
  <r>
    <x v="3"/>
    <s v="Convenience stores"/>
    <x v="8"/>
    <s v="North Cascade"/>
    <s v="|45/04/103|"/>
    <n v="1860"/>
    <n v="5"/>
    <n v="7"/>
  </r>
  <r>
    <x v="3"/>
    <s v="Convenience stores"/>
    <x v="8"/>
    <s v="North Cascade"/>
    <s v="|45/04/112|"/>
    <n v="1980"/>
    <n v="4"/>
    <n v="7"/>
  </r>
  <r>
    <x v="3"/>
    <s v="Convenience stores"/>
    <x v="8"/>
    <s v="North Cascade"/>
    <s v="|45/06/101|"/>
    <n v="1968"/>
    <n v="4"/>
    <n v="6"/>
  </r>
  <r>
    <x v="3"/>
    <s v="Convenience stores"/>
    <x v="8"/>
    <s v="North Cascade"/>
    <s v="|45/06/103|"/>
    <n v="2028"/>
    <n v="4"/>
    <n v="7"/>
  </r>
  <r>
    <x v="3"/>
    <s v="Convenience stores"/>
    <x v="8"/>
    <s v="North Cascade"/>
    <s v="|45/07/108|"/>
    <n v="1800"/>
    <n v="4"/>
    <n v="7"/>
  </r>
  <r>
    <x v="3"/>
    <s v="Convenience stores"/>
    <x v="8"/>
    <s v="North Cascade"/>
    <s v="|45/07/110|"/>
    <n v="1908"/>
    <n v="5"/>
    <n v="7"/>
  </r>
  <r>
    <x v="3"/>
    <s v="Convenience stores"/>
    <x v="8"/>
    <s v="North Cascade"/>
    <s v="|45/20/101|"/>
    <n v="2004"/>
    <n v="4"/>
    <n v="7"/>
  </r>
  <r>
    <x v="3"/>
    <s v="Convenience stores"/>
    <x v="8"/>
    <s v="North Cascade"/>
    <s v="|45/20/102|"/>
    <n v="2100"/>
    <n v="5"/>
    <n v="7"/>
  </r>
  <r>
    <x v="3"/>
    <s v="Convenience stores"/>
    <x v="8"/>
    <s v="North Cascade"/>
    <s v="|45/20/103|"/>
    <n v="2016"/>
    <n v="5"/>
    <n v="6"/>
  </r>
  <r>
    <x v="3"/>
    <s v="Convenience stores"/>
    <x v="8"/>
    <s v="North Cascade"/>
    <s v="|45/04/881|"/>
    <n v="2088"/>
    <n v="5"/>
    <n v="6"/>
  </r>
  <r>
    <x v="3"/>
    <s v="Convenience stores"/>
    <x v="8"/>
    <s v="North Cascade"/>
    <s v="|45/20/901|"/>
    <n v="1992"/>
    <n v="4"/>
    <n v="7"/>
  </r>
  <r>
    <x v="3"/>
    <s v="Convenience stores"/>
    <x v="8"/>
    <s v="North Cascade"/>
    <s v="|45/20/911|"/>
    <n v="1944"/>
    <n v="4"/>
    <n v="6"/>
  </r>
  <r>
    <x v="3"/>
    <s v="Convenience stores"/>
    <x v="8"/>
    <s v="North Cascade"/>
    <s v="|45/20/921|"/>
    <n v="2160"/>
    <n v="4"/>
    <n v="6"/>
  </r>
  <r>
    <x v="3"/>
    <s v="Convenience stores"/>
    <x v="8"/>
    <s v="North Cascade"/>
    <s v="|45/20/931|"/>
    <n v="1896"/>
    <n v="4"/>
    <n v="6"/>
  </r>
  <r>
    <x v="3"/>
    <s v="Convenience stores"/>
    <x v="8"/>
    <s v="North Cascade"/>
    <s v="|45/20/941|"/>
    <n v="2136"/>
    <n v="4"/>
    <n v="7"/>
  </r>
  <r>
    <x v="3"/>
    <s v="Convenience stores"/>
    <x v="8"/>
    <s v="North Cascade"/>
    <s v="|45/20/950|"/>
    <n v="1848"/>
    <n v="4"/>
    <n v="7"/>
  </r>
  <r>
    <x v="3"/>
    <s v="Convenience stores"/>
    <x v="8"/>
    <s v="North Cascade"/>
    <s v="|45/20/951|"/>
    <n v="2004"/>
    <n v="4"/>
    <n v="7"/>
  </r>
  <r>
    <x v="3"/>
    <s v="Convenience stores"/>
    <x v="8"/>
    <s v="North Cascade"/>
    <s v="|45/20/952|"/>
    <n v="1968"/>
    <n v="5"/>
    <n v="6"/>
  </r>
  <r>
    <x v="3"/>
    <s v="Convenience stores"/>
    <x v="8"/>
    <s v="North Cascade"/>
    <s v="|45/20/953|"/>
    <n v="2064"/>
    <n v="4"/>
    <n v="6"/>
  </r>
  <r>
    <x v="3"/>
    <s v="Convenience stores"/>
    <x v="8"/>
    <s v="North Cascade"/>
    <s v="|45/20/954|"/>
    <n v="1932"/>
    <n v="5"/>
    <n v="7"/>
  </r>
  <r>
    <x v="3"/>
    <s v="Convenience stores"/>
    <x v="8"/>
    <s v="North Cascade"/>
    <s v="|45/20/955|"/>
    <n v="1896"/>
    <n v="5"/>
    <n v="7"/>
  </r>
  <r>
    <x v="3"/>
    <s v="Convenience stores"/>
    <x v="7"/>
    <s v="Earthbound"/>
    <s v="|99/04/01|"/>
    <n v="1164"/>
    <n v="2.57"/>
    <n v="3.86"/>
  </r>
  <r>
    <x v="3"/>
    <s v="Convenience stores"/>
    <x v="7"/>
    <s v="Earthbound"/>
    <s v="|99/04/02|"/>
    <n v="780"/>
    <n v="2.61"/>
    <n v="3.56"/>
  </r>
  <r>
    <x v="3"/>
    <s v="Convenience stores"/>
    <x v="7"/>
    <s v="Earthbound"/>
    <s v="|99/04/03|"/>
    <n v="852"/>
    <n v="2.16"/>
    <n v="3.55"/>
  </r>
  <r>
    <x v="3"/>
    <s v="Convenience stores"/>
    <x v="7"/>
    <s v="Earthbound"/>
    <s v="|99/04/04|"/>
    <n v="984"/>
    <n v="2.8"/>
    <n v="3.43"/>
  </r>
  <r>
    <x v="3"/>
    <s v="Convenience stores"/>
    <x v="7"/>
    <s v="Earthbound"/>
    <s v="|99/04/05|"/>
    <n v="600"/>
    <n v="2.77"/>
    <n v="3.93"/>
  </r>
  <r>
    <x v="3"/>
    <s v="Convenience stores"/>
    <x v="7"/>
    <s v="Earthbound"/>
    <s v="|99/04/06|"/>
    <n v="960"/>
    <n v="2.85"/>
    <n v="3.67"/>
  </r>
  <r>
    <x v="3"/>
    <s v="Convenience stores"/>
    <x v="7"/>
    <s v="Earthbound"/>
    <s v="|99/04/07|"/>
    <n v="648"/>
    <n v="2.37"/>
    <n v="3.84"/>
  </r>
  <r>
    <x v="3"/>
    <s v="Convenience stores"/>
    <x v="7"/>
    <s v="Earthbound"/>
    <s v="|99/04/08|"/>
    <n v="924"/>
    <n v="2.2200000000000002"/>
    <n v="3.73"/>
  </r>
  <r>
    <x v="3"/>
    <s v="Convenience stores"/>
    <x v="7"/>
    <s v="Earthbound"/>
    <s v="|99/04/09|"/>
    <n v="672"/>
    <n v="2.61"/>
    <n v="3.65"/>
  </r>
  <r>
    <x v="3"/>
    <s v="Convenience stores"/>
    <x v="7"/>
    <s v="Earthbound"/>
    <s v="|99/05/58|"/>
    <n v="1128"/>
    <n v="2.69"/>
    <n v="3.93"/>
  </r>
  <r>
    <x v="3"/>
    <s v="Convenience stores"/>
    <x v="7"/>
    <s v="Earthbound"/>
    <s v="|99/05/67|"/>
    <n v="1032"/>
    <n v="2.36"/>
    <n v="3.37"/>
  </r>
  <r>
    <x v="3"/>
    <s v="Convenience stores"/>
    <x v="7"/>
    <s v="Earthbound"/>
    <s v="|99/05/102|"/>
    <n v="732"/>
    <n v="2.64"/>
    <n v="3.74"/>
  </r>
  <r>
    <x v="3"/>
    <s v="Convenience stores"/>
    <x v="7"/>
    <s v="Earthbound"/>
    <s v="|125/02/02|"/>
    <n v="636"/>
    <n v="2.41"/>
    <n v="3.87"/>
  </r>
  <r>
    <x v="3"/>
    <s v="Convenience stores"/>
    <x v="7"/>
    <s v="Earthbound"/>
    <s v="|125/06/01|"/>
    <n v="624"/>
    <n v="2.72"/>
    <n v="3.29"/>
  </r>
  <r>
    <x v="3"/>
    <s v="Convenience stores"/>
    <x v="7"/>
    <s v="Fresh express"/>
    <s v="|52/00/00|"/>
    <n v="1080"/>
    <n v="2.34"/>
    <n v="3.83"/>
  </r>
  <r>
    <x v="3"/>
    <s v="Convenience stores"/>
    <x v="7"/>
    <s v="Fresh express"/>
    <s v="|52/00/01|"/>
    <n v="1200"/>
    <n v="2.2799999999999998"/>
    <n v="3.52"/>
  </r>
  <r>
    <x v="3"/>
    <s v="Convenience stores"/>
    <x v="7"/>
    <s v="Fresh express"/>
    <s v="|52/00/02|"/>
    <n v="996"/>
    <n v="2.73"/>
    <n v="3.42"/>
  </r>
  <r>
    <x v="3"/>
    <s v="Convenience stores"/>
    <x v="7"/>
    <s v="Fresh express"/>
    <s v="|52/00/09|"/>
    <n v="948"/>
    <n v="2.78"/>
    <n v="3.27"/>
  </r>
  <r>
    <x v="3"/>
    <s v="Convenience stores"/>
    <x v="7"/>
    <s v="Fresh express"/>
    <s v="|52/00/10|"/>
    <n v="900"/>
    <n v="2.38"/>
    <n v="3.35"/>
  </r>
  <r>
    <x v="3"/>
    <s v="Convenience stores"/>
    <x v="7"/>
    <s v="Fresh express"/>
    <s v="|52/00/13|"/>
    <n v="684"/>
    <n v="2.46"/>
    <n v="3.55"/>
  </r>
  <r>
    <x v="3"/>
    <s v="Convenience stores"/>
    <x v="7"/>
    <s v="Fresh express"/>
    <s v="|52/00/14|"/>
    <n v="720"/>
    <n v="2.23"/>
    <n v="3.51"/>
  </r>
  <r>
    <x v="3"/>
    <s v="Convenience stores"/>
    <x v="7"/>
    <s v="Fresh express"/>
    <s v="|52/00/16|"/>
    <n v="912"/>
    <n v="2.72"/>
    <n v="3.75"/>
  </r>
  <r>
    <x v="3"/>
    <s v="Convenience stores"/>
    <x v="7"/>
    <s v="Fresh express"/>
    <s v="|52/00/17|"/>
    <n v="708"/>
    <n v="2.27"/>
    <n v="3.86"/>
  </r>
  <r>
    <x v="3"/>
    <s v="Convenience stores"/>
    <x v="7"/>
    <s v="Fresh express"/>
    <s v="|52/00/18|"/>
    <n v="1152"/>
    <n v="2.91"/>
    <n v="3.68"/>
  </r>
  <r>
    <x v="3"/>
    <s v="Convenience stores"/>
    <x v="7"/>
    <s v="Fresh express"/>
    <s v="|52/00/19|"/>
    <n v="696"/>
    <n v="2.59"/>
    <n v="3.3"/>
  </r>
  <r>
    <x v="3"/>
    <s v="Convenience stores"/>
    <x v="7"/>
    <s v="Fresh express"/>
    <s v="|52/00/21|"/>
    <n v="1104"/>
    <n v="2.56"/>
    <n v="3.63"/>
  </r>
  <r>
    <x v="3"/>
    <s v="Convenience stores"/>
    <x v="7"/>
    <s v="Fresh express"/>
    <s v="|52/00/22|"/>
    <n v="1092"/>
    <n v="2.81"/>
    <n v="3.74"/>
  </r>
  <r>
    <x v="3"/>
    <s v="Convenience stores"/>
    <x v="7"/>
    <s v="Fresh express"/>
    <s v="|52/00/23|"/>
    <n v="888"/>
    <n v="2.88"/>
    <n v="3.52"/>
  </r>
  <r>
    <x v="3"/>
    <s v="Convenience stores"/>
    <x v="7"/>
    <s v="Fresh express"/>
    <s v="|52/00/24|"/>
    <n v="708"/>
    <n v="2.58"/>
    <n v="3.42"/>
  </r>
  <r>
    <x v="3"/>
    <s v="Convenience stores"/>
    <x v="7"/>
    <s v="Fresh express"/>
    <s v="|52/00/25|"/>
    <n v="924"/>
    <n v="2.4700000000000002"/>
    <n v="3.51"/>
  </r>
  <r>
    <x v="3"/>
    <s v="Convenience stores"/>
    <x v="7"/>
    <s v="Fresh express"/>
    <s v="|52/00/27|"/>
    <n v="924"/>
    <n v="2.36"/>
    <n v="3.71"/>
  </r>
  <r>
    <x v="3"/>
    <s v="Convenience stores"/>
    <x v="7"/>
    <s v="Fresh express"/>
    <s v="|52/00/28|"/>
    <n v="876"/>
    <n v="2.08"/>
    <n v="3.78"/>
  </r>
  <r>
    <x v="3"/>
    <s v="Convenience stores"/>
    <x v="7"/>
    <s v="Fresh express"/>
    <s v="|52/00/29|"/>
    <n v="636"/>
    <n v="2"/>
    <n v="3.64"/>
  </r>
  <r>
    <x v="3"/>
    <s v="Convenience stores"/>
    <x v="7"/>
    <s v="Fresh express"/>
    <s v="|52/00/30|"/>
    <n v="780"/>
    <n v="2.0299999999999998"/>
    <n v="3.6"/>
  </r>
  <r>
    <x v="3"/>
    <s v="Convenience stores"/>
    <x v="7"/>
    <s v="Fresh express"/>
    <s v="|52/00/31|"/>
    <n v="744"/>
    <n v="3"/>
    <n v="3.93"/>
  </r>
  <r>
    <x v="3"/>
    <s v="Convenience stores"/>
    <x v="7"/>
    <s v="Fresh express"/>
    <s v="|52/00/33|"/>
    <n v="876"/>
    <n v="2.81"/>
    <n v="3.7"/>
  </r>
  <r>
    <x v="3"/>
    <s v="Convenience stores"/>
    <x v="7"/>
    <s v="Fresh express"/>
    <s v="|52/00/34|"/>
    <n v="792"/>
    <n v="2.85"/>
    <n v="3.72"/>
  </r>
  <r>
    <x v="3"/>
    <s v="Convenience stores"/>
    <x v="7"/>
    <s v="Fresh express"/>
    <s v="|52/00/35|"/>
    <n v="612"/>
    <n v="2.2799999999999998"/>
    <n v="3.72"/>
  </r>
  <r>
    <x v="3"/>
    <s v="Convenience stores"/>
    <x v="7"/>
    <s v="Fresh express"/>
    <s v="|52/00/48|"/>
    <n v="1176"/>
    <n v="2.37"/>
    <n v="3.39"/>
  </r>
  <r>
    <x v="3"/>
    <s v="Convenience stores"/>
    <x v="7"/>
    <s v="Fresh express"/>
    <s v="|52/00/52|"/>
    <n v="1056"/>
    <n v="2.17"/>
    <n v="3.68"/>
  </r>
  <r>
    <x v="3"/>
    <s v="Convenience stores"/>
    <x v="7"/>
    <s v="Fresh express"/>
    <s v="|52/00/53|"/>
    <n v="684"/>
    <n v="2.41"/>
    <n v="3.22"/>
  </r>
  <r>
    <x v="3"/>
    <s v="Convenience stores"/>
    <x v="7"/>
    <s v="Fresh express"/>
    <s v="|52/00/60|"/>
    <n v="1152"/>
    <n v="2.78"/>
    <n v="3.78"/>
  </r>
  <r>
    <x v="3"/>
    <s v="Convenience stores"/>
    <x v="7"/>
    <s v="Fresh express"/>
    <s v="|52/00/61|"/>
    <n v="840"/>
    <n v="3"/>
    <n v="3.64"/>
  </r>
  <r>
    <x v="3"/>
    <s v="Convenience stores"/>
    <x v="7"/>
    <s v="Fresh express"/>
    <s v="|52/00/62|"/>
    <n v="828"/>
    <n v="2.5499999999999998"/>
    <n v="3.49"/>
  </r>
  <r>
    <x v="3"/>
    <s v="Convenience stores"/>
    <x v="7"/>
    <s v="Fresh express"/>
    <s v="|52/00/63|"/>
    <n v="792"/>
    <n v="2.3199999999999998"/>
    <n v="3.32"/>
  </r>
  <r>
    <x v="3"/>
    <s v="Convenience stores"/>
    <x v="7"/>
    <s v="Fresh express"/>
    <s v="|52/00/64|"/>
    <n v="1200"/>
    <n v="2.96"/>
    <n v="3.9"/>
  </r>
  <r>
    <x v="3"/>
    <s v="Convenience stores"/>
    <x v="7"/>
    <s v="Fresh express"/>
    <s v="|52/00/65|"/>
    <n v="1092"/>
    <n v="2.74"/>
    <n v="3.43"/>
  </r>
  <r>
    <x v="3"/>
    <s v="Convenience stores"/>
    <x v="7"/>
    <s v="Fresh express"/>
    <s v="|52/00/80|"/>
    <n v="1092"/>
    <n v="2.86"/>
    <n v="3.47"/>
  </r>
  <r>
    <x v="3"/>
    <s v="Convenience stores"/>
    <x v="7"/>
    <s v="Fresh express"/>
    <s v="|52/00/81|"/>
    <n v="684"/>
    <n v="2.68"/>
    <n v="3.27"/>
  </r>
  <r>
    <x v="3"/>
    <s v="Convenience stores"/>
    <x v="7"/>
    <s v="Fresh express"/>
    <s v="|52/00/82|"/>
    <n v="1128"/>
    <n v="2.31"/>
    <n v="3.51"/>
  </r>
  <r>
    <x v="3"/>
    <s v="Convenience stores"/>
    <x v="7"/>
    <s v="Fresh express"/>
    <s v="|52/00/83|"/>
    <n v="1164"/>
    <n v="2.76"/>
    <n v="3.85"/>
  </r>
  <r>
    <x v="3"/>
    <s v="Convenience stores"/>
    <x v="7"/>
    <s v="Fresh express"/>
    <s v="|52/00/85|"/>
    <n v="996"/>
    <n v="2.57"/>
    <n v="4"/>
  </r>
  <r>
    <x v="3"/>
    <s v="Convenience stores"/>
    <x v="7"/>
    <s v="Fresh express"/>
    <s v="|52/00/88|"/>
    <n v="972"/>
    <n v="2.0499999999999998"/>
    <n v="3.49"/>
  </r>
  <r>
    <x v="3"/>
    <s v="Convenience stores"/>
    <x v="7"/>
    <s v="Fresh express"/>
    <s v="|52/00/89|"/>
    <n v="600"/>
    <n v="2.54"/>
    <n v="3.28"/>
  </r>
  <r>
    <x v="3"/>
    <s v="Convenience stores"/>
    <x v="7"/>
    <s v="Fresh express"/>
    <s v="|52/00/90|"/>
    <n v="648"/>
    <n v="2"/>
    <n v="3.32"/>
  </r>
  <r>
    <x v="3"/>
    <s v="Convenience stores"/>
    <x v="7"/>
    <s v="Fresh express"/>
    <s v="|52/00/91|"/>
    <n v="960"/>
    <n v="2.12"/>
    <n v="3.29"/>
  </r>
  <r>
    <x v="3"/>
    <s v="Convenience stores"/>
    <x v="7"/>
    <s v="Fresh express"/>
    <s v="|52/00/92|"/>
    <n v="1104"/>
    <n v="2.75"/>
    <n v="3.5"/>
  </r>
  <r>
    <x v="3"/>
    <s v="Convenience stores"/>
    <x v="7"/>
    <s v="Fresh express"/>
    <s v="|52/00/93|"/>
    <n v="936"/>
    <n v="2.41"/>
    <n v="3.28"/>
  </r>
  <r>
    <x v="3"/>
    <s v="Convenience stores"/>
    <x v="7"/>
    <s v="Fresh express"/>
    <s v="|52/00/94|"/>
    <n v="696"/>
    <n v="2.87"/>
    <n v="3.46"/>
  </r>
  <r>
    <x v="3"/>
    <s v="Convenience stores"/>
    <x v="7"/>
    <s v="Fresh express"/>
    <s v="|52/00/95|"/>
    <n v="672"/>
    <n v="2.88"/>
    <n v="3.81"/>
  </r>
  <r>
    <x v="3"/>
    <s v="Convenience stores"/>
    <x v="1"/>
    <s v="Green lamb"/>
    <s v="|70/00/00|"/>
    <n v="540"/>
    <n v="6.0266666666666664"/>
    <n v="7.7133333333333329"/>
  </r>
  <r>
    <x v="3"/>
    <s v="Convenience stores"/>
    <x v="1"/>
    <s v="Green lamb"/>
    <s v="|70/00/01|"/>
    <n v="576"/>
    <n v="6.6333333333333337"/>
    <n v="8.0733333333333341"/>
  </r>
  <r>
    <x v="3"/>
    <s v="Convenience stores"/>
    <x v="1"/>
    <s v="Green lamb"/>
    <s v="|70/00/02|"/>
    <n v="576"/>
    <n v="6.253333333333333"/>
    <n v="7.62"/>
  </r>
  <r>
    <x v="3"/>
    <s v="Convenience stores"/>
    <x v="1"/>
    <s v="Green lamb"/>
    <s v="|70/00/03|"/>
    <n v="444"/>
    <n v="6.32"/>
    <n v="8.44"/>
  </r>
  <r>
    <x v="3"/>
    <s v="Convenience stores"/>
    <x v="1"/>
    <s v="Green lamb"/>
    <s v="|70/00/04|"/>
    <n v="612"/>
    <n v="6.16"/>
    <n v="8.06"/>
  </r>
  <r>
    <x v="3"/>
    <s v="Convenience stores"/>
    <x v="1"/>
    <s v="Green lamb"/>
    <s v="|70/00/05|"/>
    <n v="420"/>
    <n v="5.7733333333333334"/>
    <n v="7.98"/>
  </r>
  <r>
    <x v="3"/>
    <s v="Convenience stores"/>
    <x v="1"/>
    <s v="Green lamb"/>
    <s v="|70/00/06|"/>
    <n v="480"/>
    <n v="5.8"/>
    <n v="8.14"/>
  </r>
  <r>
    <x v="3"/>
    <s v="Convenience stores"/>
    <x v="1"/>
    <s v="Green lamb"/>
    <s v="|70/00/07|"/>
    <n v="564"/>
    <n v="6.06"/>
    <n v="8.5399999999999991"/>
  </r>
  <r>
    <x v="3"/>
    <s v="Convenience stores"/>
    <x v="1"/>
    <s v="Green lamb"/>
    <s v="|70/00/08|"/>
    <n v="612"/>
    <n v="5.28"/>
    <n v="8.3133333333333326"/>
  </r>
  <r>
    <x v="3"/>
    <s v="Convenience stores"/>
    <x v="1"/>
    <s v="Green lamb"/>
    <s v="|70/00/09|"/>
    <n v="540"/>
    <n v="5.62"/>
    <n v="8.1666666666666661"/>
  </r>
  <r>
    <x v="3"/>
    <s v="Convenience stores"/>
    <x v="1"/>
    <s v="Green lamb"/>
    <s v="|70/00/11|"/>
    <n v="420"/>
    <n v="5.6466666666666665"/>
    <n v="8.48"/>
  </r>
  <r>
    <x v="3"/>
    <s v="Convenience stores"/>
    <x v="1"/>
    <s v="Green lamb"/>
    <s v="|70/00/12|"/>
    <n v="528"/>
    <n v="6.6533333333333333"/>
    <n v="8.3000000000000007"/>
  </r>
  <r>
    <x v="3"/>
    <s v="Convenience stores"/>
    <x v="1"/>
    <s v="Green lamb"/>
    <s v="|70/00/13|"/>
    <n v="480"/>
    <n v="6.06"/>
    <n v="8.586666666666666"/>
  </r>
  <r>
    <x v="3"/>
    <s v="Convenience stores"/>
    <x v="1"/>
    <s v="Green lamb"/>
    <s v="|70/00/14|"/>
    <n v="468"/>
    <n v="6.5466666666666669"/>
    <n v="8.0666666666666664"/>
  </r>
  <r>
    <x v="3"/>
    <s v="Convenience stores"/>
    <x v="1"/>
    <s v="Green lamb"/>
    <s v="|70/00/15|"/>
    <n v="420"/>
    <n v="5.92"/>
    <n v="7.7333333333333334"/>
  </r>
  <r>
    <x v="3"/>
    <s v="Convenience stores"/>
    <x v="1"/>
    <s v="Green lamb"/>
    <s v="|70/00/16|"/>
    <n v="576"/>
    <n v="6.1533333333333333"/>
    <n v="7.34"/>
  </r>
  <r>
    <x v="3"/>
    <s v="Convenience stores"/>
    <x v="1"/>
    <s v="Green lamb"/>
    <s v="|70/00/17|"/>
    <n v="504"/>
    <n v="6.3666666666666663"/>
    <n v="8.4"/>
  </r>
  <r>
    <x v="3"/>
    <s v="Convenience stores"/>
    <x v="1"/>
    <s v="Green lamb"/>
    <s v="|70/00/18|"/>
    <n v="444"/>
    <n v="5.82"/>
    <n v="7.753333333333333"/>
  </r>
  <r>
    <x v="3"/>
    <s v="Convenience stores"/>
    <x v="1"/>
    <s v="Green lamb"/>
    <s v="|70/00/19|"/>
    <n v="636"/>
    <n v="6.56"/>
    <n v="7.666666666666667"/>
  </r>
  <r>
    <x v="3"/>
    <s v="Convenience stores"/>
    <x v="1"/>
    <s v="Green lamb"/>
    <s v="|70/00/20|"/>
    <n v="516"/>
    <n v="5.98"/>
    <n v="8.5266666666666673"/>
  </r>
  <r>
    <x v="3"/>
    <s v="Convenience stores"/>
    <x v="1"/>
    <s v="Green lamb"/>
    <s v="|70/01/01|"/>
    <n v="480"/>
    <n v="5.98"/>
    <n v="7.3666666666666663"/>
  </r>
  <r>
    <x v="3"/>
    <s v="Convenience stores"/>
    <x v="1"/>
    <s v="Green lamb"/>
    <s v="|70/01/04|"/>
    <n v="444"/>
    <n v="5.4"/>
    <n v="8.32"/>
  </r>
  <r>
    <x v="3"/>
    <s v="Convenience stores"/>
    <x v="1"/>
    <s v="Green lamb"/>
    <s v="|70/01/05|"/>
    <n v="528"/>
    <n v="6.5133333333333336"/>
    <n v="8.0733333333333341"/>
  </r>
  <r>
    <x v="3"/>
    <s v="Convenience stores"/>
    <x v="1"/>
    <s v="Green lamb"/>
    <s v="|70/01/12|"/>
    <n v="600"/>
    <n v="5.8466666666666667"/>
    <n v="7.9866666666666664"/>
  </r>
  <r>
    <x v="3"/>
    <s v="Convenience stores"/>
    <x v="1"/>
    <s v="Green lamb"/>
    <s v="|70/01/13|"/>
    <n v="516"/>
    <n v="5.36"/>
    <n v="7.6733333333333329"/>
  </r>
  <r>
    <x v="3"/>
    <s v="Convenience stores"/>
    <x v="1"/>
    <s v="Green lamb"/>
    <s v="|70/01/14|"/>
    <n v="624"/>
    <n v="5.793333333333333"/>
    <n v="8.2333333333333325"/>
  </r>
  <r>
    <x v="3"/>
    <s v="Convenience stores"/>
    <x v="1"/>
    <s v="Green lamb"/>
    <s v="|70/02/01|"/>
    <n v="408"/>
    <n v="6.1133333333333333"/>
    <n v="8.3800000000000008"/>
  </r>
  <r>
    <x v="3"/>
    <s v="Convenience stores"/>
    <x v="1"/>
    <s v="Green lamb"/>
    <s v="|70/02/02|"/>
    <n v="444"/>
    <n v="5.706666666666667"/>
    <n v="8.2266666666666666"/>
  </r>
  <r>
    <x v="3"/>
    <s v="Convenience stores"/>
    <x v="1"/>
    <s v="Green lamb"/>
    <s v="|70/02/03|"/>
    <n v="528"/>
    <n v="6"/>
    <n v="7.746666666666667"/>
  </r>
  <r>
    <x v="3"/>
    <s v="Convenience stores"/>
    <x v="1"/>
    <s v="Green lamb"/>
    <s v="|70/02/04|"/>
    <n v="588"/>
    <n v="5.4466666666666663"/>
    <n v="7.7866666666666671"/>
  </r>
  <r>
    <x v="3"/>
    <s v="Convenience stores"/>
    <x v="1"/>
    <s v="Green lamb"/>
    <s v="|70/02/05|"/>
    <n v="576"/>
    <n v="5.746666666666667"/>
    <n v="8.2266666666666666"/>
  </r>
  <r>
    <x v="3"/>
    <s v="Convenience stores"/>
    <x v="1"/>
    <s v="Green lamb"/>
    <s v="|70/02/06|"/>
    <n v="480"/>
    <n v="6.48"/>
    <n v="7.5133333333333336"/>
  </r>
  <r>
    <x v="3"/>
    <s v="Convenience stores"/>
    <x v="1"/>
    <s v="Green lamb"/>
    <s v="|70/02/07|"/>
    <n v="552"/>
    <n v="5.8066666666666666"/>
    <n v="7.753333333333333"/>
  </r>
  <r>
    <x v="3"/>
    <s v="Convenience stores"/>
    <x v="1"/>
    <s v="Green lamb"/>
    <s v="|70/02/08|"/>
    <n v="492"/>
    <n v="6.36"/>
    <n v="8.1133333333333333"/>
  </r>
  <r>
    <x v="3"/>
    <s v="Convenience stores"/>
    <x v="1"/>
    <s v="Green lamb"/>
    <s v="|70/02/09|"/>
    <n v="432"/>
    <n v="6.1866666666666665"/>
    <n v="7.9066666666666663"/>
  </r>
  <r>
    <x v="3"/>
    <s v="Convenience stores"/>
    <x v="1"/>
    <s v="Green lamb"/>
    <s v="|70/02/10|"/>
    <n v="420"/>
    <n v="5.68"/>
    <n v="7.4133333333333331"/>
  </r>
  <r>
    <x v="3"/>
    <s v="Convenience stores"/>
    <x v="1"/>
    <s v="Green lamb"/>
    <s v="|70/03/01|"/>
    <n v="588"/>
    <n v="6.4266666666666667"/>
    <n v="7.9533333333333331"/>
  </r>
  <r>
    <x v="3"/>
    <s v="Convenience stores"/>
    <x v="1"/>
    <s v="Green lamb"/>
    <s v="|70/03/02|"/>
    <n v="540"/>
    <n v="5.6866666666666665"/>
    <n v="8.4"/>
  </r>
  <r>
    <x v="3"/>
    <s v="Convenience stores"/>
    <x v="1"/>
    <s v="Green lamb"/>
    <s v="|70/03/03|"/>
    <n v="624"/>
    <n v="6.08"/>
    <n v="8.2466666666666661"/>
  </r>
  <r>
    <x v="3"/>
    <s v="Convenience stores"/>
    <x v="1"/>
    <s v="Green lamb"/>
    <s v="|70/03/04|"/>
    <n v="636"/>
    <n v="6.1933333333333334"/>
    <n v="8.1866666666666674"/>
  </r>
  <r>
    <x v="3"/>
    <s v="Convenience stores"/>
    <x v="1"/>
    <s v="Green lamb"/>
    <s v="|70/03/05|"/>
    <n v="504"/>
    <n v="5.746666666666667"/>
    <n v="7.6866666666666665"/>
  </r>
  <r>
    <x v="3"/>
    <s v="Convenience stores"/>
    <x v="1"/>
    <s v="Green lamb"/>
    <s v="|70/03/06|"/>
    <n v="564"/>
    <n v="6.3"/>
    <n v="7.72"/>
  </r>
  <r>
    <x v="3"/>
    <s v="Convenience stores"/>
    <x v="1"/>
    <s v="Green lamb"/>
    <s v="|70/03/07|"/>
    <n v="612"/>
    <n v="5.3466666666666667"/>
    <n v="7.58"/>
  </r>
  <r>
    <x v="3"/>
    <s v="Convenience stores"/>
    <x v="1"/>
    <s v="Green lamb"/>
    <s v="|70/03/08|"/>
    <n v="516"/>
    <n v="5.2866666666666671"/>
    <n v="8.2333333333333325"/>
  </r>
  <r>
    <x v="3"/>
    <s v="Convenience stores"/>
    <x v="1"/>
    <s v="Green lamb"/>
    <s v="|70/03/09|"/>
    <n v="636"/>
    <n v="5.4733333333333336"/>
    <n v="7.74"/>
  </r>
  <r>
    <x v="3"/>
    <s v="Convenience stores"/>
    <x v="1"/>
    <s v="Green lamb"/>
    <s v="|70/03/10|"/>
    <n v="612"/>
    <n v="5.4733333333333336"/>
    <n v="7.6066666666666665"/>
  </r>
  <r>
    <x v="3"/>
    <s v="Convenience stores"/>
    <x v="1"/>
    <s v="Green lamb"/>
    <s v="|70/03/11|"/>
    <n v="564"/>
    <n v="6.0133333333333336"/>
    <n v="8.5466666666666669"/>
  </r>
  <r>
    <x v="3"/>
    <s v="Convenience stores"/>
    <x v="1"/>
    <s v="Green lamb"/>
    <s v="|70/03/12|"/>
    <n v="612"/>
    <n v="6.0866666666666669"/>
    <n v="7.9866666666666664"/>
  </r>
  <r>
    <x v="3"/>
    <s v="Convenience stores"/>
    <x v="1"/>
    <s v="Green lamb"/>
    <s v="|70/03/17|"/>
    <n v="552"/>
    <n v="6.3533333333333335"/>
    <n v="8.5399999999999991"/>
  </r>
  <r>
    <x v="3"/>
    <s v="Convenience stores"/>
    <x v="1"/>
    <s v="Green lamb"/>
    <s v="|70/04/18|"/>
    <n v="588"/>
    <n v="5.2666666666666666"/>
    <n v="8.5466666666666669"/>
  </r>
  <r>
    <x v="3"/>
    <s v="Convenience stores"/>
    <x v="1"/>
    <s v="Green lamb"/>
    <s v="|70/04/19|"/>
    <n v="444"/>
    <n v="6.3466666666666667"/>
    <n v="8.2133333333333329"/>
  </r>
  <r>
    <x v="3"/>
    <s v="Convenience stores"/>
    <x v="3"/>
    <s v="Red Bull"/>
    <s v="|42/01/01|"/>
    <n v="108"/>
    <n v="1"/>
    <n v="1.22"/>
  </r>
  <r>
    <x v="3"/>
    <s v="Convenience stores"/>
    <x v="3"/>
    <s v="Red Bull"/>
    <s v="|42/01/02|"/>
    <n v="216"/>
    <n v="1.2"/>
    <n v="1.25"/>
  </r>
  <r>
    <x v="3"/>
    <s v="Convenience stores"/>
    <x v="3"/>
    <s v="Red Bull"/>
    <s v="|42/01/03|"/>
    <n v="96"/>
    <n v="1.0900000000000001"/>
    <n v="1.33"/>
  </r>
  <r>
    <x v="3"/>
    <s v="Convenience stores"/>
    <x v="3"/>
    <s v="Red Bull"/>
    <s v="|42/01/04|"/>
    <n v="204"/>
    <n v="1.1599999999999999"/>
    <n v="1.32"/>
  </r>
  <r>
    <x v="3"/>
    <s v="Convenience stores"/>
    <x v="3"/>
    <s v="Red Bull"/>
    <s v="|42/01/05|"/>
    <n v="72"/>
    <n v="1.1399999999999999"/>
    <n v="1.29"/>
  </r>
  <r>
    <x v="3"/>
    <s v="Convenience stores"/>
    <x v="3"/>
    <s v="San Pellegrino"/>
    <s v="|21/00/01|"/>
    <n v="216"/>
    <n v="1.1299999999999999"/>
    <n v="1.23"/>
  </r>
  <r>
    <x v="3"/>
    <s v="Convenience stores"/>
    <x v="3"/>
    <s v="San Pellegrino"/>
    <s v="|21/00/02|"/>
    <n v="192"/>
    <n v="1.08"/>
    <n v="1.27"/>
  </r>
  <r>
    <x v="3"/>
    <s v="Convenience stores"/>
    <x v="3"/>
    <s v="San Pellegrino"/>
    <s v="|21/00/03|"/>
    <n v="192"/>
    <n v="1.07"/>
    <n v="1.21"/>
  </r>
  <r>
    <x v="3"/>
    <s v="Convenience stores"/>
    <x v="3"/>
    <s v="San Pellegrino"/>
    <s v="|21/00/04|"/>
    <n v="216"/>
    <n v="1.0900000000000001"/>
    <n v="1.33"/>
  </r>
  <r>
    <x v="3"/>
    <s v="Convenience stores"/>
    <x v="3"/>
    <s v="San Pellegrino"/>
    <s v="|21/00/11|"/>
    <n v="108"/>
    <n v="1.1599999999999999"/>
    <n v="1.29"/>
  </r>
  <r>
    <x v="3"/>
    <s v="Convenience stores"/>
    <x v="3"/>
    <s v="San Pellegrino"/>
    <s v="|21/00/12|"/>
    <n v="192"/>
    <n v="1.17"/>
    <n v="1.31"/>
  </r>
  <r>
    <x v="3"/>
    <s v="Convenience stores"/>
    <x v="3"/>
    <s v="San Pellegrino"/>
    <s v="|21/00/13|"/>
    <n v="228"/>
    <n v="1.07"/>
    <n v="1.22"/>
  </r>
  <r>
    <x v="3"/>
    <s v="Convenience stores"/>
    <x v="3"/>
    <s v="San Pellegrino"/>
    <s v="|21/00/14|"/>
    <n v="192"/>
    <n v="1.0900000000000001"/>
    <n v="1.21"/>
  </r>
  <r>
    <x v="3"/>
    <s v="Convenience stores"/>
    <x v="3"/>
    <s v="San Pellegrino"/>
    <s v="|21/00/15|"/>
    <n v="96"/>
    <n v="1.08"/>
    <n v="1.24"/>
  </r>
  <r>
    <x v="3"/>
    <s v="Convenience stores"/>
    <x v="3"/>
    <s v="San Pellegrino"/>
    <s v="|21/00/16|"/>
    <n v="168"/>
    <n v="1.1399999999999999"/>
    <n v="1.22"/>
  </r>
  <r>
    <x v="3"/>
    <s v="Convenience stores"/>
    <x v="3"/>
    <s v="San Pellegrino"/>
    <s v="|21/00/17|"/>
    <n v="132"/>
    <n v="1.1599999999999999"/>
    <n v="1.23"/>
  </r>
  <r>
    <x v="3"/>
    <s v="Convenience stores"/>
    <x v="3"/>
    <s v="San Pellegrino"/>
    <s v="|21/00/18|"/>
    <n v="168"/>
    <n v="1.1000000000000001"/>
    <n v="1.24"/>
  </r>
  <r>
    <x v="3"/>
    <s v="Convenience stores"/>
    <x v="3"/>
    <s v="San Pellegrino"/>
    <s v="|21/00/19|"/>
    <n v="120"/>
    <n v="1.19"/>
    <n v="1.4"/>
  </r>
  <r>
    <x v="3"/>
    <s v="Convenience stores"/>
    <x v="3"/>
    <s v="San Pellegrino"/>
    <s v="|21/00/20|"/>
    <n v="144"/>
    <n v="1.1299999999999999"/>
    <n v="1.37"/>
  </r>
  <r>
    <x v="3"/>
    <s v="Convenience stores"/>
    <x v="3"/>
    <s v="San Pellegrino"/>
    <s v="|21/00/30|"/>
    <n v="72"/>
    <n v="1"/>
    <n v="1.3"/>
  </r>
  <r>
    <x v="3"/>
    <s v="Convenience stores"/>
    <x v="3"/>
    <s v="San Pellegrino"/>
    <s v="|21/00/31|"/>
    <n v="168"/>
    <n v="1.08"/>
    <n v="1.33"/>
  </r>
  <r>
    <x v="3"/>
    <s v="Convenience stores"/>
    <x v="3"/>
    <s v="San Pellegrino"/>
    <s v="|21/00/32|"/>
    <n v="180"/>
    <n v="1.1599999999999999"/>
    <n v="1.27"/>
  </r>
  <r>
    <x v="3"/>
    <s v="Convenience stores"/>
    <x v="3"/>
    <s v="San Pellegrino"/>
    <s v="|21/00/33|"/>
    <n v="72"/>
    <n v="1.0900000000000001"/>
    <n v="1.32"/>
  </r>
  <r>
    <x v="3"/>
    <s v="Convenience stores"/>
    <x v="3"/>
    <s v="San Pellegrino"/>
    <s v="|21/00/34|"/>
    <n v="96"/>
    <n v="1.1399999999999999"/>
    <n v="1.2"/>
  </r>
  <r>
    <x v="3"/>
    <s v="Convenience stores"/>
    <x v="3"/>
    <s v="San Pellegrino"/>
    <s v="|21/00/40|"/>
    <n v="84"/>
    <n v="1.03"/>
    <n v="1.31"/>
  </r>
  <r>
    <x v="3"/>
    <s v="Convenience stores"/>
    <x v="3"/>
    <s v="San Pellegrino"/>
    <s v="|21/00/50|"/>
    <n v="120"/>
    <n v="1.01"/>
    <n v="1.34"/>
  </r>
  <r>
    <x v="3"/>
    <s v="Convenience stores"/>
    <x v="3"/>
    <s v="San Pellegrino"/>
    <s v="|21/00/51|"/>
    <n v="216"/>
    <n v="1.1100000000000001"/>
    <n v="1.28"/>
  </r>
  <r>
    <x v="3"/>
    <s v="Convenience stores"/>
    <x v="3"/>
    <s v="San Pellegrino"/>
    <s v="|21/00/52|"/>
    <n v="192"/>
    <n v="1"/>
    <n v="1.28"/>
  </r>
  <r>
    <x v="3"/>
    <s v="Convenience stores"/>
    <x v="3"/>
    <s v="San Pellegrino"/>
    <s v="|21/00/53|"/>
    <n v="96"/>
    <n v="1.02"/>
    <n v="1.3"/>
  </r>
  <r>
    <x v="3"/>
    <s v="Convenience stores"/>
    <x v="3"/>
    <s v="San Pellegrino"/>
    <s v="|21/00/54|"/>
    <n v="108"/>
    <n v="1.0900000000000001"/>
    <n v="1.37"/>
  </r>
  <r>
    <x v="3"/>
    <s v="Convenience stores"/>
    <x v="3"/>
    <s v="San Pellegrino"/>
    <s v="|21/00/55|"/>
    <n v="60"/>
    <n v="1.07"/>
    <n v="1.35"/>
  </r>
  <r>
    <x v="3"/>
    <s v="Convenience stores"/>
    <x v="3"/>
    <s v="San Pellegrino"/>
    <s v="|21/00/60|"/>
    <n v="120"/>
    <n v="1.1200000000000001"/>
    <n v="1.36"/>
  </r>
  <r>
    <x v="3"/>
    <s v="Convenience stores"/>
    <x v="3"/>
    <s v="San Pellegrino"/>
    <s v="|21/00/61|"/>
    <n v="192"/>
    <n v="1.03"/>
    <n v="1.22"/>
  </r>
  <r>
    <x v="3"/>
    <s v="Convenience stores"/>
    <x v="3"/>
    <s v="San Pellegrino"/>
    <s v="|21/00/62|"/>
    <n v="180"/>
    <n v="1.06"/>
    <n v="1.35"/>
  </r>
  <r>
    <x v="3"/>
    <s v="Convenience stores"/>
    <x v="3"/>
    <s v="San Pellegrino"/>
    <s v="|21/00/63|"/>
    <n v="180"/>
    <n v="1.1299999999999999"/>
    <n v="1.39"/>
  </r>
  <r>
    <x v="3"/>
    <s v="Convenience stores"/>
    <x v="3"/>
    <s v="San Pellegrino"/>
    <s v="|21/00/64|"/>
    <n v="96"/>
    <n v="1.1599999999999999"/>
    <n v="1.21"/>
  </r>
  <r>
    <x v="3"/>
    <s v="Convenience stores"/>
    <x v="3"/>
    <s v="San Pellegrino"/>
    <s v="|21/00/65|"/>
    <n v="96"/>
    <n v="1.06"/>
    <n v="1.2"/>
  </r>
  <r>
    <x v="3"/>
    <s v="Convenience stores"/>
    <x v="3"/>
    <s v="San Pellegrino"/>
    <s v="|21/00/71|"/>
    <n v="84"/>
    <n v="1.2"/>
    <n v="1.24"/>
  </r>
  <r>
    <x v="3"/>
    <s v="Convenience stores"/>
    <x v="3"/>
    <s v="San Pellegrino"/>
    <s v="|21/00/72|"/>
    <n v="144"/>
    <n v="1"/>
    <n v="1.36"/>
  </r>
  <r>
    <x v="3"/>
    <s v="Convenience stores"/>
    <x v="3"/>
    <s v="San Pellegrino"/>
    <s v="|21/00/73|"/>
    <n v="120"/>
    <n v="1.17"/>
    <n v="1.27"/>
  </r>
  <r>
    <x v="3"/>
    <s v="Convenience stores"/>
    <x v="3"/>
    <s v="San Pellegrino"/>
    <s v="|21/00/74|"/>
    <n v="108"/>
    <n v="1.19"/>
    <n v="1.32"/>
  </r>
  <r>
    <x v="3"/>
    <s v="Convenience stores"/>
    <x v="3"/>
    <s v="San Pellegrino"/>
    <s v="|21/00/81|"/>
    <n v="72"/>
    <n v="1.08"/>
    <n v="1.31"/>
  </r>
  <r>
    <x v="3"/>
    <s v="Convenience stores"/>
    <x v="3"/>
    <s v="San Pellegrino"/>
    <s v="|21/00/82|"/>
    <n v="168"/>
    <n v="1.1200000000000001"/>
    <n v="1.36"/>
  </r>
  <r>
    <x v="3"/>
    <s v="Convenience stores"/>
    <x v="3"/>
    <s v="San Pellegrino"/>
    <s v="|21/00/83|"/>
    <n v="192"/>
    <n v="1.1499999999999999"/>
    <n v="1.2"/>
  </r>
  <r>
    <x v="3"/>
    <s v="Convenience stores"/>
    <x v="3"/>
    <s v="San Pellegrino"/>
    <s v="|21/00/84|"/>
    <n v="228"/>
    <n v="1.01"/>
    <n v="1.24"/>
  </r>
  <r>
    <x v="3"/>
    <s v="Convenience stores"/>
    <x v="3"/>
    <s v="San Pellegrino"/>
    <s v="|21/00/85|"/>
    <n v="108"/>
    <n v="1.17"/>
    <n v="1.36"/>
  </r>
  <r>
    <x v="3"/>
    <s v="Convenience stores"/>
    <x v="3"/>
    <s v="San Pellegrino"/>
    <s v="|21/00/86|"/>
    <n v="96"/>
    <n v="1.1399999999999999"/>
    <n v="1.31"/>
  </r>
  <r>
    <x v="3"/>
    <s v="Convenience stores"/>
    <x v="3"/>
    <s v="San Pellegrino"/>
    <s v="|21/00/87|"/>
    <n v="108"/>
    <n v="1.1399999999999999"/>
    <n v="1.24"/>
  </r>
  <r>
    <x v="3"/>
    <s v="Convenience stores"/>
    <x v="3"/>
    <s v="San Pellegrino"/>
    <s v="|21/00/88|"/>
    <n v="108"/>
    <n v="1.03"/>
    <n v="1.31"/>
  </r>
  <r>
    <x v="3"/>
    <s v="Convenience stores"/>
    <x v="3"/>
    <s v="San Pellegrino"/>
    <s v="|21/00/89|"/>
    <n v="168"/>
    <n v="1.17"/>
    <n v="1.31"/>
  </r>
  <r>
    <x v="3"/>
    <s v="Convenience stores"/>
    <x v="3"/>
    <s v="San Pellegrino"/>
    <s v="|21/00/90|"/>
    <n v="204"/>
    <n v="1.03"/>
    <n v="1.37"/>
  </r>
  <r>
    <x v="3"/>
    <s v="Convenience stores"/>
    <x v="3"/>
    <s v="San Pellegrino"/>
    <s v="|21/00/91|"/>
    <n v="72"/>
    <n v="1.2"/>
    <n v="1.23"/>
  </r>
  <r>
    <x v="3"/>
    <s v="Convenience stores"/>
    <x v="3"/>
    <s v="San Pellegrino"/>
    <s v="|21/00/92|"/>
    <n v="96"/>
    <n v="1.03"/>
    <n v="1.36"/>
  </r>
  <r>
    <x v="3"/>
    <s v="Convenience stores"/>
    <x v="3"/>
    <s v="San Pellegrino"/>
    <s v="|21/00/93|"/>
    <n v="84"/>
    <n v="1.1299999999999999"/>
    <n v="1.28"/>
  </r>
  <r>
    <x v="3"/>
    <s v="Convenience stores"/>
    <x v="3"/>
    <s v="San Pellegrino"/>
    <s v="|21/00/94|"/>
    <n v="60"/>
    <n v="1.1200000000000001"/>
    <n v="1.35"/>
  </r>
  <r>
    <x v="3"/>
    <s v="Convenience stores"/>
    <x v="3"/>
    <s v="San Pellegrino"/>
    <s v="|21/00/95|"/>
    <n v="228"/>
    <n v="1.1100000000000001"/>
    <n v="1.36"/>
  </r>
  <r>
    <x v="3"/>
    <s v="Convenience stores"/>
    <x v="3"/>
    <s v="San Pellegrino"/>
    <s v="|21/00/96|"/>
    <n v="216"/>
    <n v="1.07"/>
    <n v="1.38"/>
  </r>
  <r>
    <x v="3"/>
    <s v="Convenience stores"/>
    <x v="3"/>
    <s v="San Pellegrino"/>
    <s v="|21/01/01|"/>
    <n v="60"/>
    <n v="1.1399999999999999"/>
    <n v="1.33"/>
  </r>
  <r>
    <x v="3"/>
    <s v="Convenience stores"/>
    <x v="3"/>
    <s v="San Pellegrino"/>
    <s v="|21/01/02|"/>
    <n v="144"/>
    <n v="1.1000000000000001"/>
    <n v="1.36"/>
  </r>
  <r>
    <x v="3"/>
    <s v="Convenience stores"/>
    <x v="3"/>
    <s v="San Pellegrino"/>
    <s v="|21/01/03|"/>
    <n v="96"/>
    <n v="1.06"/>
    <n v="1.37"/>
  </r>
  <r>
    <x v="3"/>
    <s v="Convenience stores"/>
    <x v="3"/>
    <s v="San Pellegrino"/>
    <s v="|21/01/04|"/>
    <n v="144"/>
    <n v="1"/>
    <n v="1.3"/>
  </r>
  <r>
    <x v="3"/>
    <s v="Convenience stores"/>
    <x v="3"/>
    <s v="San Pellegrino"/>
    <s v="|21/01/05|"/>
    <n v="84"/>
    <n v="1.1499999999999999"/>
    <n v="1.39"/>
  </r>
  <r>
    <x v="3"/>
    <s v="Convenience stores"/>
    <x v="3"/>
    <s v="San Pellegrino"/>
    <s v="|21/01/06|"/>
    <n v="120"/>
    <n v="1.1499999999999999"/>
    <n v="1.25"/>
  </r>
  <r>
    <x v="3"/>
    <s v="Convenience stores"/>
    <x v="3"/>
    <s v="San Pellegrino"/>
    <s v="|21/01/07|"/>
    <n v="156"/>
    <n v="1.06"/>
    <n v="1.31"/>
  </r>
  <r>
    <x v="3"/>
    <s v="Convenience stores"/>
    <x v="3"/>
    <s v="San Pellegrino"/>
    <s v="|21/01/08|"/>
    <n v="180"/>
    <n v="1.18"/>
    <n v="1.38"/>
  </r>
  <r>
    <x v="3"/>
    <s v="Convenience stores"/>
    <x v="3"/>
    <s v="San Pellegrino"/>
    <s v="|21/01/09|"/>
    <n v="96"/>
    <n v="1.18"/>
    <n v="1.39"/>
  </r>
  <r>
    <x v="3"/>
    <s v="Convenience stores"/>
    <x v="3"/>
    <s v="San Pellegrino"/>
    <s v="|21/01/10|"/>
    <n v="168"/>
    <n v="1.1100000000000001"/>
    <n v="1.25"/>
  </r>
  <r>
    <x v="3"/>
    <s v="Convenience stores"/>
    <x v="3"/>
    <s v="San Pellegrino"/>
    <s v="|21/01/11|"/>
    <n v="180"/>
    <n v="1.1399999999999999"/>
    <n v="1.3"/>
  </r>
  <r>
    <x v="3"/>
    <s v="Convenience stores"/>
    <x v="3"/>
    <s v="San Pellegrino"/>
    <s v="|21/01/12|"/>
    <n v="72"/>
    <n v="1.2"/>
    <n v="1.24"/>
  </r>
  <r>
    <x v="3"/>
    <s v="Convenience stores"/>
    <x v="3"/>
    <s v="San Pellegrino"/>
    <s v="|21/01/13|"/>
    <n v="168"/>
    <n v="1.07"/>
    <n v="1.27"/>
  </r>
  <r>
    <x v="3"/>
    <s v="Convenience stores"/>
    <x v="3"/>
    <s v="San Pellegrino"/>
    <s v="|21/01/14|"/>
    <n v="60"/>
    <n v="1.1599999999999999"/>
    <n v="1.28"/>
  </r>
  <r>
    <x v="3"/>
    <s v="Convenience stores"/>
    <x v="3"/>
    <s v="San Pellegrino"/>
    <s v="|21/01/15|"/>
    <n v="192"/>
    <n v="1.05"/>
    <n v="1.25"/>
  </r>
  <r>
    <x v="3"/>
    <s v="Convenience stores"/>
    <x v="3"/>
    <s v="San Pellegrino"/>
    <s v="|21/01/16|"/>
    <n v="192"/>
    <n v="1.18"/>
    <n v="1.3"/>
  </r>
  <r>
    <x v="3"/>
    <s v="Convenience stores"/>
    <x v="3"/>
    <s v="San Pellegrino"/>
    <s v="|21/01/17|"/>
    <n v="84"/>
    <n v="1.1499999999999999"/>
    <n v="1.25"/>
  </r>
  <r>
    <x v="3"/>
    <s v="Convenience stores"/>
    <x v="3"/>
    <s v="San Pellegrino"/>
    <s v="|21/01/18|"/>
    <n v="144"/>
    <n v="1.1000000000000001"/>
    <n v="1.39"/>
  </r>
  <r>
    <x v="3"/>
    <s v="Convenience stores"/>
    <x v="3"/>
    <s v="San Pellegrino"/>
    <s v="|21/01/19|"/>
    <n v="180"/>
    <n v="1.1000000000000001"/>
    <n v="1.23"/>
  </r>
  <r>
    <x v="3"/>
    <s v="Convenience stores"/>
    <x v="3"/>
    <s v="San Pellegrino"/>
    <s v="|21/01/20|"/>
    <n v="168"/>
    <n v="1.05"/>
    <n v="1.31"/>
  </r>
  <r>
    <x v="3"/>
    <s v="Convenience stores"/>
    <x v="3"/>
    <s v="San Pellegrino"/>
    <s v="|21/01/21|"/>
    <n v="72"/>
    <n v="1.1399999999999999"/>
    <n v="1.38"/>
  </r>
  <r>
    <x v="3"/>
    <s v="Convenience stores"/>
    <x v="3"/>
    <s v="San Pellegrino"/>
    <s v="|21/01/22|"/>
    <n v="168"/>
    <n v="1.1299999999999999"/>
    <n v="1.4"/>
  </r>
  <r>
    <x v="3"/>
    <s v="Convenience stores"/>
    <x v="3"/>
    <s v="San Pellegrino"/>
    <s v="|21/01/23|"/>
    <n v="192"/>
    <n v="1.1000000000000001"/>
    <n v="1.22"/>
  </r>
  <r>
    <x v="3"/>
    <s v="Convenience stores"/>
    <x v="3"/>
    <s v="San Pellegrino"/>
    <s v="|21/01/24|"/>
    <n v="72"/>
    <n v="1.08"/>
    <n v="1.23"/>
  </r>
  <r>
    <x v="3"/>
    <s v="Convenience stores"/>
    <x v="3"/>
    <s v="San Pellegrino"/>
    <s v="|21/01/25|"/>
    <n v="228"/>
    <n v="1.18"/>
    <n v="1.4"/>
  </r>
  <r>
    <x v="3"/>
    <s v="Convenience stores"/>
    <x v="3"/>
    <s v="San Pellegrino"/>
    <s v="|21/01/26|"/>
    <n v="120"/>
    <n v="1.17"/>
    <n v="1.31"/>
  </r>
  <r>
    <x v="3"/>
    <s v="Convenience stores"/>
    <x v="3"/>
    <s v="San Pellegrino"/>
    <s v="|21/01/27|"/>
    <n v="144"/>
    <n v="1.1399999999999999"/>
    <n v="1.2"/>
  </r>
  <r>
    <x v="3"/>
    <s v="Convenience stores"/>
    <x v="3"/>
    <s v="San Pellegrino"/>
    <s v="|21/01/28|"/>
    <n v="60"/>
    <n v="1.07"/>
    <n v="1.35"/>
  </r>
  <r>
    <x v="3"/>
    <s v="Convenience stores"/>
    <x v="3"/>
    <s v="San Pellegrino"/>
    <s v="|21/01/29|"/>
    <n v="60"/>
    <n v="1.01"/>
    <n v="1.38"/>
  </r>
  <r>
    <x v="3"/>
    <s v="Convenience stores"/>
    <x v="3"/>
    <s v="San Pellegrino"/>
    <s v="|21/01/30|"/>
    <n v="120"/>
    <n v="1.18"/>
    <n v="1.36"/>
  </r>
  <r>
    <x v="3"/>
    <s v="Convenience stores"/>
    <x v="3"/>
    <s v="San Pellegrino"/>
    <s v="|21/01/31|"/>
    <n v="72"/>
    <n v="1.06"/>
    <n v="1.2"/>
  </r>
  <r>
    <x v="3"/>
    <s v="Convenience stores"/>
    <x v="3"/>
    <s v="San Pellegrino"/>
    <s v="|21/01/32|"/>
    <n v="204"/>
    <n v="1.08"/>
    <n v="1.24"/>
  </r>
  <r>
    <x v="3"/>
    <s v="Convenience stores"/>
    <x v="3"/>
    <s v="San Pellegrino"/>
    <s v="|21/01/33|"/>
    <n v="204"/>
    <n v="1.1399999999999999"/>
    <n v="1.26"/>
  </r>
  <r>
    <x v="3"/>
    <s v="Convenience stores"/>
    <x v="3"/>
    <s v="San Pellegrino"/>
    <s v="|21/01/34|"/>
    <n v="72"/>
    <n v="1.01"/>
    <n v="1.23"/>
  </r>
  <r>
    <x v="3"/>
    <s v="Convenience stores"/>
    <x v="3"/>
    <s v="San Pellegrino"/>
    <s v="|21/01/35|"/>
    <n v="60"/>
    <n v="1.1299999999999999"/>
    <n v="1.38"/>
  </r>
  <r>
    <x v="3"/>
    <s v="Convenience stores"/>
    <x v="3"/>
    <s v="San Pellegrino"/>
    <s v="|21/01/36|"/>
    <n v="108"/>
    <n v="1.03"/>
    <n v="1.39"/>
  </r>
  <r>
    <x v="3"/>
    <s v="Convenience stores"/>
    <x v="3"/>
    <s v="San Pellegrino"/>
    <s v="|21/01/37|"/>
    <n v="216"/>
    <n v="1.1399999999999999"/>
    <n v="1.23"/>
  </r>
  <r>
    <x v="3"/>
    <s v="Convenience stores"/>
    <x v="3"/>
    <s v="San Pellegrino"/>
    <s v="|21/01/38|"/>
    <n v="120"/>
    <n v="1.06"/>
    <n v="1.21"/>
  </r>
  <r>
    <x v="3"/>
    <s v="Convenience stores"/>
    <x v="3"/>
    <s v="San Pellegrino"/>
    <s v="|21/01/39|"/>
    <n v="120"/>
    <n v="1.1399999999999999"/>
    <n v="1.37"/>
  </r>
  <r>
    <x v="3"/>
    <s v="Convenience stores"/>
    <x v="3"/>
    <s v="San Pellegrino"/>
    <s v="|21/01/40|"/>
    <n v="180"/>
    <n v="1.1100000000000001"/>
    <n v="1.31"/>
  </r>
  <r>
    <x v="3"/>
    <s v="Convenience stores"/>
    <x v="3"/>
    <s v="San Pellegrino"/>
    <s v="|21/01/41|"/>
    <n v="228"/>
    <n v="1.02"/>
    <n v="1.31"/>
  </r>
  <r>
    <x v="3"/>
    <s v="Convenience stores"/>
    <x v="3"/>
    <s v="San Pellegrino"/>
    <s v="|21/01/42|"/>
    <n v="72"/>
    <n v="1.06"/>
    <n v="1.31"/>
  </r>
  <r>
    <x v="3"/>
    <s v="Convenience stores"/>
    <x v="3"/>
    <s v="San Pellegrino"/>
    <s v="|21/01/43|"/>
    <n v="84"/>
    <n v="1.19"/>
    <n v="1.26"/>
  </r>
  <r>
    <x v="3"/>
    <s v="Convenience stores"/>
    <x v="3"/>
    <s v="San Pellegrino"/>
    <s v="|21/01/44|"/>
    <n v="132"/>
    <n v="1.1599999999999999"/>
    <n v="1.3"/>
  </r>
  <r>
    <x v="3"/>
    <s v="Convenience stores"/>
    <x v="3"/>
    <s v="San Pellegrino"/>
    <s v="|21/01/45|"/>
    <n v="96"/>
    <n v="1.1100000000000001"/>
    <n v="1.4"/>
  </r>
  <r>
    <x v="3"/>
    <s v="Convenience stores"/>
    <x v="3"/>
    <s v="San Pellegrino"/>
    <s v="|21/01/46|"/>
    <n v="60"/>
    <n v="1.07"/>
    <n v="1.38"/>
  </r>
  <r>
    <x v="3"/>
    <s v="Convenience stores"/>
    <x v="3"/>
    <s v="San Pellegrino"/>
    <s v="|21/01/47|"/>
    <n v="120"/>
    <n v="1.0900000000000001"/>
    <n v="1.31"/>
  </r>
  <r>
    <x v="3"/>
    <s v="Convenience stores"/>
    <x v="3"/>
    <s v="San Pellegrino"/>
    <s v="|21/01/48|"/>
    <n v="96"/>
    <n v="1.02"/>
    <n v="1.24"/>
  </r>
  <r>
    <x v="3"/>
    <s v="Convenience stores"/>
    <x v="3"/>
    <s v="San Pellegrino"/>
    <s v="|21/01/49|"/>
    <n v="204"/>
    <n v="1.03"/>
    <n v="1.26"/>
  </r>
  <r>
    <x v="3"/>
    <s v="Convenience stores"/>
    <x v="3"/>
    <s v="San Pellegrino"/>
    <s v="|21/01/50|"/>
    <n v="132"/>
    <n v="1.04"/>
    <n v="1.33"/>
  </r>
  <r>
    <x v="3"/>
    <s v="Convenience stores"/>
    <x v="3"/>
    <s v="San Pellegrino"/>
    <s v="|21/01/51|"/>
    <n v="96"/>
    <n v="1.2"/>
    <n v="1.25"/>
  </r>
  <r>
    <x v="3"/>
    <s v="Convenience stores"/>
    <x v="3"/>
    <s v="San Pellegrino"/>
    <s v="|21/01/52|"/>
    <n v="120"/>
    <n v="1.1399999999999999"/>
    <n v="1.33"/>
  </r>
  <r>
    <x v="3"/>
    <s v="Convenience stores"/>
    <x v="3"/>
    <s v="San Pellegrino"/>
    <s v="|21/01/53|"/>
    <n v="228"/>
    <n v="1.07"/>
    <n v="1.31"/>
  </r>
  <r>
    <x v="3"/>
    <s v="Convenience stores"/>
    <x v="3"/>
    <s v="San Pellegrino"/>
    <s v="|21/01/54|"/>
    <n v="192"/>
    <n v="1.02"/>
    <n v="1.4"/>
  </r>
  <r>
    <x v="3"/>
    <s v="Convenience stores"/>
    <x v="3"/>
    <s v="San Pellegrino"/>
    <s v="|21/01/55|"/>
    <n v="216"/>
    <n v="1.19"/>
    <n v="1.29"/>
  </r>
  <r>
    <x v="3"/>
    <s v="Convenience stores"/>
    <x v="3"/>
    <s v="San Pellegrino"/>
    <s v="|21/01/56|"/>
    <n v="156"/>
    <n v="1.1399999999999999"/>
    <n v="1.39"/>
  </r>
  <r>
    <x v="3"/>
    <s v="Convenience stores"/>
    <x v="3"/>
    <s v="San Pellegrino"/>
    <s v="|21/01/57|"/>
    <n v="156"/>
    <n v="1.07"/>
    <n v="1.21"/>
  </r>
  <r>
    <x v="3"/>
    <s v="Convenience stores"/>
    <x v="3"/>
    <s v="San Pellegrino"/>
    <s v="|21/01/58|"/>
    <n v="132"/>
    <n v="1.1599999999999999"/>
    <n v="1.37"/>
  </r>
  <r>
    <x v="3"/>
    <s v="Convenience stores"/>
    <x v="3"/>
    <s v="San Pellegrino"/>
    <s v="|21/01/59|"/>
    <n v="168"/>
    <n v="1.07"/>
    <n v="1.3"/>
  </r>
  <r>
    <x v="3"/>
    <s v="Convenience stores"/>
    <x v="3"/>
    <s v="San Pellegrino"/>
    <s v="|21/01/60|"/>
    <n v="192"/>
    <n v="1.02"/>
    <n v="1.3"/>
  </r>
  <r>
    <x v="3"/>
    <s v="Convenience stores"/>
    <x v="3"/>
    <s v="San Pellegrino"/>
    <s v="|21/01/61|"/>
    <n v="180"/>
    <n v="1.07"/>
    <n v="1.32"/>
  </r>
  <r>
    <x v="3"/>
    <s v="Convenience stores"/>
    <x v="3"/>
    <s v="San Pellegrino"/>
    <s v="|21/01/62|"/>
    <n v="84"/>
    <n v="1.1100000000000001"/>
    <n v="1.34"/>
  </r>
  <r>
    <x v="3"/>
    <s v="Convenience stores"/>
    <x v="3"/>
    <s v="San Pellegrino"/>
    <s v="|21/01/63|"/>
    <n v="120"/>
    <n v="1.08"/>
    <n v="1.32"/>
  </r>
  <r>
    <x v="3"/>
    <s v="Convenience stores"/>
    <x v="3"/>
    <s v="San Pellegrino"/>
    <s v="|21/01/64|"/>
    <n v="72"/>
    <n v="1.19"/>
    <n v="1.3"/>
  </r>
  <r>
    <x v="3"/>
    <s v="Convenience stores"/>
    <x v="3"/>
    <s v="San Pellegrino"/>
    <s v="|21/01/65|"/>
    <n v="96"/>
    <n v="1.05"/>
    <n v="1.37"/>
  </r>
  <r>
    <x v="3"/>
    <s v="Convenience stores"/>
    <x v="3"/>
    <s v="San Pellegrino"/>
    <s v="|21/01/66|"/>
    <n v="60"/>
    <n v="1.04"/>
    <n v="1.3"/>
  </r>
  <r>
    <x v="3"/>
    <s v="Convenience stores"/>
    <x v="3"/>
    <s v="San Pellegrino"/>
    <s v="|21/01/67|"/>
    <n v="156"/>
    <n v="1.07"/>
    <n v="1.37"/>
  </r>
  <r>
    <x v="3"/>
    <s v="Convenience stores"/>
    <x v="3"/>
    <s v="San Pellegrino"/>
    <s v="|21/01/68|"/>
    <n v="156"/>
    <n v="1.05"/>
    <n v="1.31"/>
  </r>
  <r>
    <x v="3"/>
    <s v="Convenience stores"/>
    <x v="3"/>
    <s v="San Pellegrino"/>
    <s v="|21/01/69|"/>
    <n v="216"/>
    <n v="1.1200000000000001"/>
    <n v="1.27"/>
  </r>
  <r>
    <x v="3"/>
    <s v="Convenience stores"/>
    <x v="3"/>
    <s v="San Pellegrino"/>
    <s v="|21/01/70|"/>
    <n v="72"/>
    <n v="1.06"/>
    <n v="1.2"/>
  </r>
  <r>
    <x v="3"/>
    <s v="Convenience stores"/>
    <x v="3"/>
    <s v="San Pellegrino"/>
    <s v="|21/01/71|"/>
    <n v="156"/>
    <n v="1.1399999999999999"/>
    <n v="1.3"/>
  </r>
  <r>
    <x v="3"/>
    <s v="Convenience stores"/>
    <x v="3"/>
    <s v="San Pellegrino"/>
    <s v="|21/01/72|"/>
    <n v="204"/>
    <n v="1.1299999999999999"/>
    <n v="1.25"/>
  </r>
  <r>
    <x v="3"/>
    <s v="Convenience stores"/>
    <x v="3"/>
    <s v="San Pellegrino"/>
    <s v="|21/01/73|"/>
    <n v="108"/>
    <n v="1.19"/>
    <n v="1.36"/>
  </r>
  <r>
    <x v="3"/>
    <s v="Convenience stores"/>
    <x v="3"/>
    <s v="San Pellegrino"/>
    <s v="|21/01/74|"/>
    <n v="228"/>
    <n v="1.07"/>
    <n v="1.3"/>
  </r>
  <r>
    <x v="3"/>
    <s v="Convenience stores"/>
    <x v="3"/>
    <s v="San Pellegrino"/>
    <s v="|21/01/75|"/>
    <n v="60"/>
    <n v="1.2"/>
    <n v="1.38"/>
  </r>
  <r>
    <x v="3"/>
    <s v="Convenience stores"/>
    <x v="3"/>
    <s v="San Pellegrino"/>
    <s v="|21/01/76|"/>
    <n v="156"/>
    <n v="1.1599999999999999"/>
    <n v="1.21"/>
  </r>
  <r>
    <x v="3"/>
    <s v="Convenience stores"/>
    <x v="3"/>
    <s v="San Pellegrino"/>
    <s v="|21/01/77|"/>
    <n v="132"/>
    <n v="1.07"/>
    <n v="1.38"/>
  </r>
  <r>
    <x v="3"/>
    <s v="Convenience stores"/>
    <x v="3"/>
    <s v="San Pellegrino"/>
    <s v="|21/01/78|"/>
    <n v="216"/>
    <n v="1.2"/>
    <n v="1.27"/>
  </r>
  <r>
    <x v="3"/>
    <s v="Convenience stores"/>
    <x v="3"/>
    <s v="San Pellegrino"/>
    <s v="|21/01/79|"/>
    <n v="108"/>
    <n v="1.0900000000000001"/>
    <n v="1.25"/>
  </r>
  <r>
    <x v="3"/>
    <s v="Convenience stores"/>
    <x v="3"/>
    <s v="San Pellegrino"/>
    <s v="|21/01/80|"/>
    <n v="204"/>
    <n v="1.04"/>
    <n v="1.23"/>
  </r>
  <r>
    <x v="3"/>
    <s v="Convenience stores"/>
    <x v="3"/>
    <s v="San Pellegrino"/>
    <s v="|21/01/81|"/>
    <n v="120"/>
    <n v="1.17"/>
    <n v="1.27"/>
  </r>
  <r>
    <x v="3"/>
    <s v="Convenience stores"/>
    <x v="3"/>
    <s v="San Pellegrino"/>
    <s v="|21/01/82|"/>
    <n v="204"/>
    <n v="1.17"/>
    <n v="1.33"/>
  </r>
  <r>
    <x v="3"/>
    <s v="Convenience stores"/>
    <x v="3"/>
    <s v="San Pellegrino"/>
    <s v="|21/01/83|"/>
    <n v="192"/>
    <n v="1.2"/>
    <n v="1.36"/>
  </r>
  <r>
    <x v="3"/>
    <s v="Convenience stores"/>
    <x v="3"/>
    <s v="San Pellegrino"/>
    <s v="|21/01/84|"/>
    <n v="60"/>
    <n v="1.07"/>
    <n v="1.2"/>
  </r>
  <r>
    <x v="3"/>
    <s v="Convenience stores"/>
    <x v="3"/>
    <s v="San Pellegrino"/>
    <s v="|21/01/85|"/>
    <n v="96"/>
    <n v="1.02"/>
    <n v="1.29"/>
  </r>
  <r>
    <x v="3"/>
    <s v="Convenience stores"/>
    <x v="3"/>
    <s v="San Pellegrino"/>
    <s v="|21/01/86|"/>
    <n v="96"/>
    <n v="1.07"/>
    <n v="1.35"/>
  </r>
  <r>
    <x v="3"/>
    <s v="Convenience stores"/>
    <x v="3"/>
    <s v="San Pellegrino"/>
    <s v="|21/01/87|"/>
    <n v="120"/>
    <n v="1.19"/>
    <n v="1.22"/>
  </r>
  <r>
    <x v="3"/>
    <s v="Convenience stores"/>
    <x v="3"/>
    <s v="San Pellegrino"/>
    <s v="|21/01/90|"/>
    <n v="120"/>
    <n v="1.2"/>
    <n v="1.38"/>
  </r>
  <r>
    <x v="3"/>
    <s v="Convenience stores"/>
    <x v="3"/>
    <s v="San Pellegrino"/>
    <s v="|21/01/91|"/>
    <n v="60"/>
    <n v="1.1000000000000001"/>
    <n v="1.25"/>
  </r>
  <r>
    <x v="3"/>
    <s v="Convenience stores"/>
    <x v="3"/>
    <s v="San Pellegrino"/>
    <s v="|21/10/01|"/>
    <n v="132"/>
    <n v="1.18"/>
    <n v="1.32"/>
  </r>
  <r>
    <x v="3"/>
    <s v="Convenience stores"/>
    <x v="3"/>
    <s v="San Pellegrino"/>
    <s v="|21/10/10|"/>
    <n v="192"/>
    <n v="1.1200000000000001"/>
    <n v="1.23"/>
  </r>
  <r>
    <x v="3"/>
    <s v="Convenience stores"/>
    <x v="3"/>
    <s v="San Pellegrino"/>
    <s v="|21/10/11|"/>
    <n v="168"/>
    <n v="1.17"/>
    <n v="1.36"/>
  </r>
  <r>
    <x v="3"/>
    <s v="Convenience stores"/>
    <x v="3"/>
    <s v="San Pellegrino"/>
    <s v="|21/10/12|"/>
    <n v="108"/>
    <n v="1.17"/>
    <n v="1.29"/>
  </r>
  <r>
    <x v="3"/>
    <s v="Convenience stores"/>
    <x v="3"/>
    <s v="San Pellegrino"/>
    <s v="|21/10/13|"/>
    <n v="60"/>
    <n v="1.06"/>
    <n v="1.21"/>
  </r>
  <r>
    <x v="3"/>
    <s v="Convenience stores"/>
    <x v="3"/>
    <s v="San Pellegrino"/>
    <s v="|21/10/14|"/>
    <n v="156"/>
    <n v="1.02"/>
    <n v="1.38"/>
  </r>
  <r>
    <x v="3"/>
    <s v="Convenience stores"/>
    <x v="3"/>
    <s v="San Pellegrino"/>
    <s v="|21/10/15|"/>
    <n v="156"/>
    <n v="1.06"/>
    <n v="1.21"/>
  </r>
  <r>
    <x v="3"/>
    <s v="Convenience stores"/>
    <x v="3"/>
    <s v="San Pellegrino"/>
    <s v="|21/10/16|"/>
    <n v="96"/>
    <n v="1.08"/>
    <n v="1.32"/>
  </r>
  <r>
    <x v="3"/>
    <s v="Convenience stores"/>
    <x v="3"/>
    <s v="San Pellegrino"/>
    <s v="|21/10/17|"/>
    <n v="204"/>
    <n v="1.17"/>
    <n v="1.2"/>
  </r>
  <r>
    <x v="3"/>
    <s v="Convenience stores"/>
    <x v="3"/>
    <s v="San Pellegrino"/>
    <s v="|21/10/18|"/>
    <n v="108"/>
    <n v="1.02"/>
    <n v="1.38"/>
  </r>
  <r>
    <x v="3"/>
    <s v="Convenience stores"/>
    <x v="3"/>
    <s v="San Pellegrino"/>
    <s v="|21/10/19|"/>
    <n v="120"/>
    <n v="1.18"/>
    <n v="1.21"/>
  </r>
  <r>
    <x v="3"/>
    <s v="Convenience stores"/>
    <x v="3"/>
    <s v="San Pellegrino"/>
    <s v="|21/10/20|"/>
    <n v="168"/>
    <n v="1.1100000000000001"/>
    <n v="1.37"/>
  </r>
  <r>
    <x v="3"/>
    <s v="Convenience stores"/>
    <x v="3"/>
    <s v="San Pellegrino"/>
    <s v="|21/10/21|"/>
    <n v="216"/>
    <n v="1.01"/>
    <n v="1.22"/>
  </r>
  <r>
    <x v="3"/>
    <s v="Convenience stores"/>
    <x v="3"/>
    <s v="San Pellegrino"/>
    <s v="|21/10/22|"/>
    <n v="60"/>
    <n v="1.18"/>
    <n v="1.3"/>
  </r>
  <r>
    <x v="3"/>
    <s v="Convenience stores"/>
    <x v="3"/>
    <s v="San Pellegrino"/>
    <s v="|21/11/01|"/>
    <n v="60"/>
    <n v="1.01"/>
    <n v="1.37"/>
  </r>
  <r>
    <x v="3"/>
    <s v="Convenience stores"/>
    <x v="3"/>
    <s v="San Pellegrino"/>
    <s v="|21/11/02|"/>
    <n v="204"/>
    <n v="1.08"/>
    <n v="1.21"/>
  </r>
  <r>
    <x v="3"/>
    <s v="Convenience stores"/>
    <x v="3"/>
    <s v="San Pellegrino"/>
    <s v="|21/11/03|"/>
    <n v="132"/>
    <n v="1.18"/>
    <n v="1.25"/>
  </r>
  <r>
    <x v="3"/>
    <s v="Convenience stores"/>
    <x v="3"/>
    <s v="San Pellegrino"/>
    <s v="|21/11/04|"/>
    <n v="168"/>
    <n v="1.1000000000000001"/>
    <n v="1.34"/>
  </r>
  <r>
    <x v="3"/>
    <s v="Convenience stores"/>
    <x v="3"/>
    <s v="San Pellegrino"/>
    <s v="|21/11/05|"/>
    <n v="96"/>
    <n v="1.1499999999999999"/>
    <n v="1.3"/>
  </r>
  <r>
    <x v="3"/>
    <s v="Convenience stores"/>
    <x v="3"/>
    <s v="San Pellegrino"/>
    <s v="|21/11/06|"/>
    <n v="72"/>
    <n v="1.01"/>
    <n v="1.22"/>
  </r>
  <r>
    <x v="3"/>
    <s v="Convenience stores"/>
    <x v="3"/>
    <s v="San Pellegrino"/>
    <s v="|21/11/07|"/>
    <n v="108"/>
    <n v="1.1200000000000001"/>
    <n v="1.35"/>
  </r>
  <r>
    <x v="3"/>
    <s v="Convenience stores"/>
    <x v="3"/>
    <s v="San Pellegrino"/>
    <s v="|21/11/08|"/>
    <n v="72"/>
    <n v="1.03"/>
    <n v="1.22"/>
  </r>
  <r>
    <x v="3"/>
    <s v="Convenience stores"/>
    <x v="3"/>
    <s v="San Pellegrino"/>
    <s v="|21/11/09|"/>
    <n v="84"/>
    <n v="1.2"/>
    <n v="1.33"/>
  </r>
  <r>
    <x v="3"/>
    <s v="Convenience stores"/>
    <x v="3"/>
    <s v="San Pellegrino"/>
    <s v="|21/11/10|"/>
    <n v="60"/>
    <n v="1.03"/>
    <n v="1.37"/>
  </r>
  <r>
    <x v="3"/>
    <s v="Convenience stores"/>
    <x v="3"/>
    <s v="San Pellegrino"/>
    <s v="|21/11/11|"/>
    <n v="168"/>
    <n v="1.01"/>
    <n v="1.39"/>
  </r>
  <r>
    <x v="3"/>
    <s v="Convenience stores"/>
    <x v="3"/>
    <s v="San Pellegrino"/>
    <s v="|21/11/12|"/>
    <n v="120"/>
    <n v="1.19"/>
    <n v="1.24"/>
  </r>
  <r>
    <x v="3"/>
    <s v="Convenience stores"/>
    <x v="3"/>
    <s v="San Pellegrino"/>
    <s v="|21/11/13|"/>
    <n v="168"/>
    <n v="1.1499999999999999"/>
    <n v="1.34"/>
  </r>
  <r>
    <x v="3"/>
    <s v="Convenience stores"/>
    <x v="3"/>
    <s v="San Pellegrino"/>
    <s v="|21/11/14|"/>
    <n v="60"/>
    <n v="1.01"/>
    <n v="1.3"/>
  </r>
  <r>
    <x v="3"/>
    <s v="Convenience stores"/>
    <x v="3"/>
    <s v="San Pellegrino"/>
    <s v="|21/11/15|"/>
    <n v="228"/>
    <n v="1.18"/>
    <n v="1.25"/>
  </r>
  <r>
    <x v="3"/>
    <s v="Convenience stores"/>
    <x v="3"/>
    <s v="San Pellegrino"/>
    <s v="|21/11/16|"/>
    <n v="168"/>
    <n v="1.2"/>
    <n v="1.31"/>
  </r>
  <r>
    <x v="3"/>
    <s v="Convenience stores"/>
    <x v="7"/>
    <s v="Greener salads"/>
    <s v="|131/01/01|"/>
    <n v="1128"/>
    <n v="2.06"/>
    <n v="3.46"/>
  </r>
  <r>
    <x v="3"/>
    <s v="Convenience stores"/>
    <x v="7"/>
    <s v="Greener salads"/>
    <s v="|131/01/07|"/>
    <n v="852"/>
    <n v="2.4900000000000002"/>
    <n v="3.49"/>
  </r>
  <r>
    <x v="3"/>
    <s v="Convenience stores"/>
    <x v="7"/>
    <s v="Greener salads"/>
    <s v="|131/01/14|"/>
    <n v="960"/>
    <n v="2.0299999999999998"/>
    <n v="3.63"/>
  </r>
  <r>
    <x v="3"/>
    <s v="Convenience stores"/>
    <x v="7"/>
    <s v="Greener salads"/>
    <s v="|131/01/15|"/>
    <n v="1044"/>
    <n v="2.1800000000000002"/>
    <n v="3.76"/>
  </r>
  <r>
    <x v="3"/>
    <s v="Convenience stores"/>
    <x v="7"/>
    <s v="Greener salads"/>
    <s v="|131/01/16|"/>
    <n v="1044"/>
    <n v="2.75"/>
    <n v="3.26"/>
  </r>
  <r>
    <x v="3"/>
    <s v="Convenience stores"/>
    <x v="7"/>
    <s v="Greener salads"/>
    <s v="|131/01/17|"/>
    <n v="660"/>
    <n v="2.95"/>
    <n v="3.87"/>
  </r>
  <r>
    <x v="3"/>
    <s v="Convenience stores"/>
    <x v="7"/>
    <s v="Greener salads"/>
    <s v="|131/01/20|"/>
    <n v="792"/>
    <n v="2.64"/>
    <n v="3.9"/>
  </r>
  <r>
    <x v="3"/>
    <s v="Convenience stores"/>
    <x v="7"/>
    <s v="Greener salads"/>
    <s v="|131/01/21|"/>
    <n v="792"/>
    <n v="2.65"/>
    <n v="3.44"/>
  </r>
  <r>
    <x v="3"/>
    <s v="Convenience stores"/>
    <x v="7"/>
    <s v="Greener salads"/>
    <s v="|131/01/24|"/>
    <n v="1008"/>
    <n v="2.15"/>
    <n v="3.43"/>
  </r>
  <r>
    <x v="3"/>
    <s v="Convenience stores"/>
    <x v="7"/>
    <s v="Greener salads"/>
    <s v="|131/01/27|"/>
    <n v="816"/>
    <n v="2.72"/>
    <n v="3.62"/>
  </r>
  <r>
    <x v="3"/>
    <s v="Convenience stores"/>
    <x v="7"/>
    <s v="Greener salads"/>
    <s v="|131/01/28|"/>
    <n v="1176"/>
    <n v="2.63"/>
    <n v="3.93"/>
  </r>
  <r>
    <x v="3"/>
    <s v="Convenience stores"/>
    <x v="7"/>
    <s v="Greener salads"/>
    <s v="|131/01/29|"/>
    <n v="1068"/>
    <n v="2.25"/>
    <n v="3.98"/>
  </r>
  <r>
    <x v="3"/>
    <s v="Convenience stores"/>
    <x v="7"/>
    <s v="Greener salads"/>
    <s v="|131/01/30|"/>
    <n v="672"/>
    <n v="2.2599999999999998"/>
    <n v="3.46"/>
  </r>
  <r>
    <x v="3"/>
    <s v="Convenience stores"/>
    <x v="7"/>
    <s v="Greener salads"/>
    <s v="|131/01/31|"/>
    <n v="1020"/>
    <n v="2.09"/>
    <n v="3.6"/>
  </r>
  <r>
    <x v="3"/>
    <s v="Convenience stores"/>
    <x v="7"/>
    <s v="Greener salads"/>
    <s v="|131/01/34|"/>
    <n v="924"/>
    <n v="2.04"/>
    <n v="3.34"/>
  </r>
  <r>
    <x v="3"/>
    <s v="Convenience stores"/>
    <x v="7"/>
    <s v="Greener salads"/>
    <s v="|131/01/35|"/>
    <n v="1020"/>
    <n v="2.04"/>
    <n v="3.49"/>
  </r>
  <r>
    <x v="3"/>
    <s v="Convenience stores"/>
    <x v="7"/>
    <s v="Greener salads"/>
    <s v="|131/01/36|"/>
    <n v="828"/>
    <n v="2.4500000000000002"/>
    <n v="3.67"/>
  </r>
  <r>
    <x v="3"/>
    <s v="Convenience stores"/>
    <x v="7"/>
    <s v="Greener salads"/>
    <s v="|131/01/37|"/>
    <n v="876"/>
    <n v="2.11"/>
    <n v="3.98"/>
  </r>
  <r>
    <x v="3"/>
    <s v="Convenience stores"/>
    <x v="7"/>
    <s v="Greener salads"/>
    <s v="|131/01/54|"/>
    <n v="1044"/>
    <n v="2.42"/>
    <n v="3.37"/>
  </r>
  <r>
    <x v="3"/>
    <s v="Convenience stores"/>
    <x v="7"/>
    <s v="Greener salads"/>
    <s v="|131/01/55|"/>
    <n v="756"/>
    <n v="2.56"/>
    <n v="3.53"/>
  </r>
  <r>
    <x v="3"/>
    <s v="Convenience stores"/>
    <x v="7"/>
    <s v="Greener salads"/>
    <s v="|131/01/57|"/>
    <n v="648"/>
    <n v="2.27"/>
    <n v="3.5"/>
  </r>
  <r>
    <x v="3"/>
    <s v="Convenience stores"/>
    <x v="7"/>
    <s v="Greener salads"/>
    <s v="|131/01/58|"/>
    <n v="1080"/>
    <n v="2.56"/>
    <n v="3.33"/>
  </r>
  <r>
    <x v="3"/>
    <s v="Convenience stores"/>
    <x v="7"/>
    <s v="Greener salads"/>
    <s v="|131/01/60|"/>
    <n v="1176"/>
    <n v="2.4"/>
    <n v="3.48"/>
  </r>
  <r>
    <x v="3"/>
    <s v="Convenience stores"/>
    <x v="7"/>
    <s v="Greener salads"/>
    <s v="|131/01/64|"/>
    <n v="720"/>
    <n v="2.35"/>
    <n v="3.28"/>
  </r>
  <r>
    <x v="3"/>
    <s v="Convenience stores"/>
    <x v="7"/>
    <s v="Greener salads"/>
    <s v="|131/01/62|"/>
    <n v="1080"/>
    <n v="2.8"/>
    <n v="3.55"/>
  </r>
  <r>
    <x v="3"/>
    <s v="Convenience stores"/>
    <x v="7"/>
    <s v="Greener salads"/>
    <s v="|131/01/63|"/>
    <n v="852"/>
    <n v="2.0699999999999998"/>
    <n v="3.82"/>
  </r>
  <r>
    <x v="3"/>
    <s v="Convenience stores"/>
    <x v="7"/>
    <s v="Greener salads"/>
    <s v="|131/01/69|"/>
    <n v="972"/>
    <n v="2.6"/>
    <n v="3.62"/>
  </r>
  <r>
    <x v="3"/>
    <s v="Convenience stores"/>
    <x v="7"/>
    <s v="Greener salads"/>
    <s v="|131/01/70|"/>
    <n v="780"/>
    <n v="2.15"/>
    <n v="3.73"/>
  </r>
  <r>
    <x v="3"/>
    <s v="Convenience stores"/>
    <x v="7"/>
    <s v="Greener salads"/>
    <s v="|131/01/72|"/>
    <n v="936"/>
    <n v="2.33"/>
    <n v="3.24"/>
  </r>
  <r>
    <x v="3"/>
    <s v="Convenience stores"/>
    <x v="7"/>
    <s v="Greener salads"/>
    <s v="|131/01/73|"/>
    <n v="708"/>
    <n v="2.58"/>
    <n v="4"/>
  </r>
  <r>
    <x v="3"/>
    <s v="Convenience stores"/>
    <x v="7"/>
    <s v="Greener salads"/>
    <s v="|131/01/76|"/>
    <n v="1188"/>
    <n v="2.4300000000000002"/>
    <n v="3.5"/>
  </r>
  <r>
    <x v="3"/>
    <s v="Convenience stores"/>
    <x v="7"/>
    <s v="Greener salads"/>
    <s v="|131/01/80|"/>
    <n v="852"/>
    <n v="2.34"/>
    <n v="3.66"/>
  </r>
  <r>
    <x v="3"/>
    <s v="Convenience stores"/>
    <x v="7"/>
    <s v="Greener salads"/>
    <s v="|131/01/93|"/>
    <n v="1116"/>
    <n v="2.93"/>
    <n v="3.67"/>
  </r>
  <r>
    <x v="3"/>
    <s v="Convenience stores"/>
    <x v="7"/>
    <s v="Greener salads"/>
    <s v="|131/01/103|"/>
    <n v="912"/>
    <n v="2.4700000000000002"/>
    <n v="3.31"/>
  </r>
  <r>
    <x v="3"/>
    <s v="Convenience stores"/>
    <x v="7"/>
    <s v="Greener salads"/>
    <s v="|131/01/111|"/>
    <n v="636"/>
    <n v="2.5099999999999998"/>
    <n v="4"/>
  </r>
  <r>
    <x v="3"/>
    <s v="Convenience stores"/>
    <x v="7"/>
    <s v="Greener salads"/>
    <s v="|131/01/105|"/>
    <n v="1080"/>
    <n v="2.77"/>
    <n v="3.61"/>
  </r>
  <r>
    <x v="3"/>
    <s v="Convenience stores"/>
    <x v="7"/>
    <s v="Greener salads"/>
    <s v="|131/01/130|"/>
    <n v="600"/>
    <n v="2.67"/>
    <n v="3.92"/>
  </r>
  <r>
    <x v="3"/>
    <s v="Convenience stores"/>
    <x v="7"/>
    <s v="Greener salads"/>
    <s v="|131/01/135|"/>
    <n v="936"/>
    <n v="2.65"/>
    <n v="3.37"/>
  </r>
  <r>
    <x v="3"/>
    <s v="Convenience stores"/>
    <x v="7"/>
    <s v="Greener salads"/>
    <s v="|128/01/130|"/>
    <n v="1032"/>
    <n v="2.5299999999999998"/>
    <n v="3.86"/>
  </r>
  <r>
    <x v="3"/>
    <s v="Convenience stores"/>
    <x v="7"/>
    <s v="Greener salads"/>
    <s v="|128/01/131|"/>
    <n v="1164"/>
    <n v="2.14"/>
    <n v="3.67"/>
  </r>
  <r>
    <x v="3"/>
    <s v="Convenience stores"/>
    <x v="7"/>
    <s v="Greener salads"/>
    <s v="|131/02/06|"/>
    <n v="732"/>
    <n v="2.69"/>
    <n v="3.28"/>
  </r>
  <r>
    <x v="3"/>
    <s v="Convenience stores"/>
    <x v="7"/>
    <s v="Greener salads"/>
    <s v="|131/02/09|"/>
    <n v="912"/>
    <n v="2.12"/>
    <n v="3.53"/>
  </r>
  <r>
    <x v="3"/>
    <s v="Convenience stores"/>
    <x v="7"/>
    <s v="Greener salads"/>
    <s v="|131/02/16|"/>
    <n v="648"/>
    <n v="2.1"/>
    <n v="3.4"/>
  </r>
  <r>
    <x v="3"/>
    <s v="Convenience stores"/>
    <x v="7"/>
    <s v="Greener salads"/>
    <s v="|131/02/17|"/>
    <n v="828"/>
    <n v="2.13"/>
    <n v="3.71"/>
  </r>
  <r>
    <x v="3"/>
    <s v="Convenience stores"/>
    <x v="7"/>
    <s v="Greener salads"/>
    <s v="|131/02/22|"/>
    <n v="1080"/>
    <n v="2.5099999999999998"/>
    <n v="3.66"/>
  </r>
  <r>
    <x v="3"/>
    <s v="Convenience stores"/>
    <x v="7"/>
    <s v="Greener salads"/>
    <s v="|131/02/24|"/>
    <n v="612"/>
    <n v="2.42"/>
    <n v="3.51"/>
  </r>
  <r>
    <x v="3"/>
    <s v="Convenience stores"/>
    <x v="7"/>
    <s v="Greener salads"/>
    <s v="|131/02/28|"/>
    <n v="1140"/>
    <n v="2.97"/>
    <n v="3.25"/>
  </r>
  <r>
    <x v="3"/>
    <s v="Convenience stores"/>
    <x v="7"/>
    <s v="Greener salads"/>
    <s v="|131/02/41|"/>
    <n v="1056"/>
    <n v="2.02"/>
    <n v="3.27"/>
  </r>
  <r>
    <x v="3"/>
    <s v="Convenience stores"/>
    <x v="7"/>
    <s v="Greener salads"/>
    <s v="|131/02/36|"/>
    <n v="1140"/>
    <n v="2.2999999999999998"/>
    <n v="3.39"/>
  </r>
  <r>
    <x v="3"/>
    <s v="Convenience stores"/>
    <x v="7"/>
    <s v="Greener salads"/>
    <s v="|131/02/39|"/>
    <n v="900"/>
    <n v="2.77"/>
    <n v="3.52"/>
  </r>
  <r>
    <x v="3"/>
    <s v="Convenience stores"/>
    <x v="7"/>
    <s v="Greener salads"/>
    <s v="|131/02/40|"/>
    <n v="1044"/>
    <n v="2.77"/>
    <n v="3.72"/>
  </r>
  <r>
    <x v="3"/>
    <s v="Convenience stores"/>
    <x v="3"/>
    <s v="Pepsi"/>
    <s v="|49/01/01|"/>
    <n v="144"/>
    <n v="1.01"/>
    <n v="1.3"/>
  </r>
  <r>
    <x v="3"/>
    <s v="Convenience stores"/>
    <x v="3"/>
    <s v="San Benedetto"/>
    <s v="|49/01/02|"/>
    <n v="228"/>
    <n v="1.1599999999999999"/>
    <n v="1.25"/>
  </r>
  <r>
    <x v="3"/>
    <s v="Convenience stores"/>
    <x v="3"/>
    <s v="San Benedetto"/>
    <s v="|49/01/03|"/>
    <n v="180"/>
    <n v="1.18"/>
    <n v="1.36"/>
  </r>
  <r>
    <x v="3"/>
    <s v="Convenience stores"/>
    <x v="3"/>
    <s v="San Benedetto"/>
    <s v="|49/01/04|"/>
    <n v="228"/>
    <n v="1.1599999999999999"/>
    <n v="1.39"/>
  </r>
  <r>
    <x v="3"/>
    <s v="Convenience stores"/>
    <x v="3"/>
    <s v="San Benedetto"/>
    <s v="|49/01/05|"/>
    <n v="144"/>
    <n v="1.1599999999999999"/>
    <n v="1.34"/>
  </r>
  <r>
    <x v="3"/>
    <s v="Convenience stores"/>
    <x v="3"/>
    <s v="San Benedetto"/>
    <s v="|49/01/06|"/>
    <n v="228"/>
    <n v="1.1200000000000001"/>
    <n v="1.3"/>
  </r>
  <r>
    <x v="3"/>
    <s v="Convenience stores"/>
    <x v="3"/>
    <s v="San Benedetto"/>
    <s v="|49/01/07|"/>
    <n v="192"/>
    <n v="1.06"/>
    <n v="1.3"/>
  </r>
  <r>
    <x v="3"/>
    <s v="Convenience stores"/>
    <x v="3"/>
    <s v="San Benedetto"/>
    <s v="|49/01/08|"/>
    <n v="156"/>
    <n v="1.1200000000000001"/>
    <n v="1.38"/>
  </r>
  <r>
    <x v="3"/>
    <s v="Convenience stores"/>
    <x v="3"/>
    <s v="San Benedetto"/>
    <s v="|49/01/09|"/>
    <n v="144"/>
    <n v="1.1200000000000001"/>
    <n v="1.35"/>
  </r>
  <r>
    <x v="3"/>
    <s v="Convenience stores"/>
    <x v="3"/>
    <s v="Pepsi"/>
    <s v="|49/01/10|"/>
    <n v="72"/>
    <n v="1.1599999999999999"/>
    <n v="1.38"/>
  </r>
  <r>
    <x v="3"/>
    <s v="Convenience stores"/>
    <x v="3"/>
    <s v="San Benedetto"/>
    <s v="|49/01/11|"/>
    <n v="60"/>
    <n v="1.02"/>
    <n v="1.33"/>
  </r>
  <r>
    <x v="3"/>
    <s v="Convenience stores"/>
    <x v="3"/>
    <s v="San Benedetto"/>
    <s v="|49/01/12|"/>
    <n v="60"/>
    <n v="1.1499999999999999"/>
    <n v="1.37"/>
  </r>
  <r>
    <x v="3"/>
    <s v="Convenience stores"/>
    <x v="3"/>
    <s v="San Benedetto"/>
    <s v="|49/01/13|"/>
    <n v="228"/>
    <n v="1.02"/>
    <n v="1.35"/>
  </r>
  <r>
    <x v="3"/>
    <s v="Convenience stores"/>
    <x v="3"/>
    <s v="Campari"/>
    <s v="|118/01/01|"/>
    <n v="204"/>
    <n v="1.2"/>
    <n v="1.32"/>
  </r>
  <r>
    <x v="3"/>
    <s v="Convenience stores"/>
    <x v="3"/>
    <s v="Campari"/>
    <s v="|118/01/02|"/>
    <n v="228"/>
    <n v="1.0900000000000001"/>
    <n v="1.27"/>
  </r>
  <r>
    <x v="3"/>
    <s v="Convenience stores"/>
    <x v="3"/>
    <s v="Campari"/>
    <s v="|118/01/03|"/>
    <n v="144"/>
    <n v="1.0900000000000001"/>
    <n v="1.39"/>
  </r>
  <r>
    <x v="3"/>
    <s v="Convenience stores"/>
    <x v="2"/>
    <s v="Lavazza"/>
    <s v="|34/01/01|"/>
    <n v="5832"/>
    <n v="0.57999999999999996"/>
    <n v="0.99"/>
  </r>
  <r>
    <x v="3"/>
    <s v="Convenience stores"/>
    <x v="2"/>
    <s v="Lavazza"/>
    <s v="|34/01/02|"/>
    <n v="5184"/>
    <n v="0.78"/>
    <n v="1.04"/>
  </r>
  <r>
    <x v="3"/>
    <s v="Convenience stores"/>
    <x v="2"/>
    <s v="Lavazza"/>
    <s v="|34/01/03|"/>
    <n v="9228"/>
    <n v="0.52"/>
    <n v="1.2"/>
  </r>
  <r>
    <x v="3"/>
    <s v="Convenience stores"/>
    <x v="2"/>
    <s v="Lavazza"/>
    <s v="|34/01/10|"/>
    <n v="6048"/>
    <n v="0.56999999999999995"/>
    <n v="1.06"/>
  </r>
  <r>
    <x v="3"/>
    <s v="Convenience stores"/>
    <x v="2"/>
    <s v="Lavazza"/>
    <s v="|34/01/11|"/>
    <n v="4860"/>
    <n v="0.79"/>
    <n v="1.1200000000000001"/>
  </r>
  <r>
    <x v="3"/>
    <s v="Convenience stores"/>
    <x v="2"/>
    <s v="Lavazza"/>
    <s v="|34/01/12|"/>
    <n v="5652"/>
    <n v="1.05"/>
    <n v="1.07"/>
  </r>
  <r>
    <x v="3"/>
    <s v="Convenience stores"/>
    <x v="9"/>
    <s v="Garofalo"/>
    <s v="|110/00/20|"/>
    <n v="756"/>
    <n v="2.38"/>
    <n v="2.75"/>
  </r>
  <r>
    <x v="3"/>
    <s v="Convenience stores"/>
    <x v="9"/>
    <s v="Garofalo"/>
    <s v="|110/00/21|"/>
    <n v="732"/>
    <n v="2.13"/>
    <n v="2.44"/>
  </r>
  <r>
    <x v="3"/>
    <s v="Convenience stores"/>
    <x v="9"/>
    <s v="J&amp;J"/>
    <s v="|23/23/00|"/>
    <n v="540"/>
    <n v="1.86"/>
    <n v="2.02"/>
  </r>
  <r>
    <x v="3"/>
    <s v="Convenience stores"/>
    <x v="9"/>
    <s v="J&amp;J"/>
    <s v="|23/23/01|"/>
    <n v="624"/>
    <n v="2.4"/>
    <n v="2.46"/>
  </r>
  <r>
    <x v="3"/>
    <s v="Convenience stores"/>
    <x v="9"/>
    <s v="J&amp;J"/>
    <s v="|23/23/02|"/>
    <n v="900"/>
    <n v="1.61"/>
    <n v="2.81"/>
  </r>
  <r>
    <x v="3"/>
    <s v="Convenience stores"/>
    <x v="9"/>
    <s v="J&amp;J"/>
    <s v="|23/23/03|"/>
    <n v="492"/>
    <n v="1.92"/>
    <n v="3.23"/>
  </r>
  <r>
    <x v="3"/>
    <s v="Convenience stores"/>
    <x v="9"/>
    <s v="J&amp;J"/>
    <s v="|23/23/04|"/>
    <n v="600"/>
    <n v="1.92"/>
    <n v="2.0699999999999998"/>
  </r>
  <r>
    <x v="3"/>
    <s v="Convenience stores"/>
    <x v="9"/>
    <s v="J&amp;J"/>
    <s v="|23/23/05|"/>
    <n v="444"/>
    <n v="1.52"/>
    <n v="3.34"/>
  </r>
  <r>
    <x v="3"/>
    <s v="Convenience stores"/>
    <x v="9"/>
    <s v="J&amp;J"/>
    <s v="|23/23/06|"/>
    <n v="564"/>
    <n v="1.28"/>
    <n v="2.74"/>
  </r>
  <r>
    <x v="3"/>
    <s v="Convenience stores"/>
    <x v="9"/>
    <s v="J&amp;J"/>
    <s v="|23/23/07|"/>
    <n v="1020"/>
    <n v="1.57"/>
    <n v="3.43"/>
  </r>
  <r>
    <x v="3"/>
    <s v="Convenience stores"/>
    <x v="9"/>
    <s v="J&amp;J"/>
    <s v="|23/23/08|"/>
    <n v="360"/>
    <n v="2.19"/>
    <n v="3.26"/>
  </r>
  <r>
    <x v="3"/>
    <s v="Convenience stores"/>
    <x v="9"/>
    <s v="J&amp;J"/>
    <s v="|23/23/09|"/>
    <n v="1056"/>
    <n v="2.23"/>
    <n v="2.13"/>
  </r>
  <r>
    <x v="3"/>
    <s v="Convenience stores"/>
    <x v="9"/>
    <s v="J&amp;J"/>
    <s v="|23/23/10|"/>
    <n v="660"/>
    <n v="1.95"/>
    <n v="3.32"/>
  </r>
  <r>
    <x v="3"/>
    <s v="Convenience stores"/>
    <x v="9"/>
    <s v="J&amp;J"/>
    <s v="|23/23/100|"/>
    <n v="780"/>
    <n v="1.62"/>
    <n v="2.77"/>
  </r>
  <r>
    <x v="3"/>
    <s v="Convenience stores"/>
    <x v="9"/>
    <s v="J&amp;J"/>
    <s v="|23/23/101|"/>
    <n v="1152"/>
    <n v="1.93"/>
    <n v="3.43"/>
  </r>
  <r>
    <x v="3"/>
    <s v="Convenience stores"/>
    <x v="9"/>
    <s v="J&amp;J"/>
    <s v="|23/23/102|"/>
    <n v="564"/>
    <n v="1.29"/>
    <n v="2.0299999999999998"/>
  </r>
  <r>
    <x v="3"/>
    <s v="Convenience stores"/>
    <x v="9"/>
    <s v="J&amp;J"/>
    <s v="|23/23/103|"/>
    <n v="744"/>
    <n v="1.22"/>
    <n v="3.49"/>
  </r>
  <r>
    <x v="3"/>
    <s v="Convenience stores"/>
    <x v="9"/>
    <s v="J&amp;J"/>
    <s v="|23/23/105|"/>
    <n v="888"/>
    <n v="2.4900000000000002"/>
    <n v="2.13"/>
  </r>
  <r>
    <x v="3"/>
    <s v="Convenience stores"/>
    <x v="9"/>
    <s v="J&amp;J"/>
    <s v="|23/23/106|"/>
    <n v="924"/>
    <n v="2.19"/>
    <n v="3.26"/>
  </r>
  <r>
    <x v="3"/>
    <s v="Convenience stores"/>
    <x v="9"/>
    <s v="J&amp;J"/>
    <s v="|23/23/107|"/>
    <n v="852"/>
    <n v="1.27"/>
    <n v="2.12"/>
  </r>
  <r>
    <x v="3"/>
    <s v="Convenience stores"/>
    <x v="9"/>
    <s v="J&amp;J"/>
    <s v="|23/23/108|"/>
    <n v="828"/>
    <n v="2.17"/>
    <n v="2.97"/>
  </r>
  <r>
    <x v="3"/>
    <s v="Convenience stores"/>
    <x v="9"/>
    <s v="J&amp;J"/>
    <s v="|23/23/11|"/>
    <n v="444"/>
    <n v="1.69"/>
    <n v="2.56"/>
  </r>
  <r>
    <x v="3"/>
    <s v="Convenience stores"/>
    <x v="9"/>
    <s v="J&amp;J"/>
    <s v="|23/23/12|"/>
    <n v="396"/>
    <n v="1.53"/>
    <n v="2.0699999999999998"/>
  </r>
  <r>
    <x v="3"/>
    <s v="Convenience stores"/>
    <x v="9"/>
    <s v="J&amp;J"/>
    <s v="|23/23/13|"/>
    <n v="960"/>
    <n v="1.96"/>
    <n v="3.44"/>
  </r>
  <r>
    <x v="3"/>
    <s v="Convenience stores"/>
    <x v="9"/>
    <s v="J&amp;J"/>
    <s v="|23/23/14|"/>
    <n v="1068"/>
    <n v="1.35"/>
    <n v="2.35"/>
  </r>
  <r>
    <x v="3"/>
    <s v="Convenience stores"/>
    <x v="9"/>
    <s v="J&amp;J"/>
    <s v="|23/23/15|"/>
    <n v="876"/>
    <n v="1.41"/>
    <n v="3.23"/>
  </r>
  <r>
    <x v="3"/>
    <s v="Convenience stores"/>
    <x v="9"/>
    <s v="J&amp;J"/>
    <s v="|23/23/16|"/>
    <n v="372"/>
    <n v="2.15"/>
    <n v="3.37"/>
  </r>
  <r>
    <x v="3"/>
    <s v="Convenience stores"/>
    <x v="9"/>
    <s v="J&amp;J"/>
    <s v="|23/23/17|"/>
    <n v="420"/>
    <n v="2.44"/>
    <n v="2.38"/>
  </r>
  <r>
    <x v="3"/>
    <s v="Convenience stores"/>
    <x v="9"/>
    <s v="J&amp;J"/>
    <s v="|23/23/18|"/>
    <n v="732"/>
    <n v="1.62"/>
    <n v="2.5"/>
  </r>
  <r>
    <x v="3"/>
    <s v="Convenience stores"/>
    <x v="9"/>
    <s v="J&amp;J"/>
    <s v="|23/23/19|"/>
    <n v="384"/>
    <n v="1.53"/>
    <n v="2.09"/>
  </r>
  <r>
    <x v="3"/>
    <s v="Convenience stores"/>
    <x v="9"/>
    <s v="J&amp;J"/>
    <s v="|23/23/20|"/>
    <n v="408"/>
    <n v="1.71"/>
    <n v="3.02"/>
  </r>
  <r>
    <x v="3"/>
    <s v="Convenience stores"/>
    <x v="9"/>
    <s v="J&amp;J"/>
    <s v="|23/23/21|"/>
    <n v="468"/>
    <n v="2.38"/>
    <n v="2.97"/>
  </r>
  <r>
    <x v="3"/>
    <s v="Convenience stores"/>
    <x v="9"/>
    <s v="J&amp;J"/>
    <s v="|23/23/22|"/>
    <n v="456"/>
    <n v="1.28"/>
    <n v="2.42"/>
  </r>
  <r>
    <x v="3"/>
    <s v="Convenience stores"/>
    <x v="9"/>
    <s v="J&amp;J"/>
    <s v="|23/23/23|"/>
    <n v="636"/>
    <n v="2.46"/>
    <n v="3.27"/>
  </r>
  <r>
    <x v="3"/>
    <s v="Convenience stores"/>
    <x v="9"/>
    <s v="J&amp;J"/>
    <s v="|23/23/24|"/>
    <n v="1200"/>
    <n v="1.75"/>
    <n v="2.2599999999999998"/>
  </r>
  <r>
    <x v="3"/>
    <s v="Convenience stores"/>
    <x v="9"/>
    <s v="J&amp;J"/>
    <s v="|23/23/25|"/>
    <n v="660"/>
    <n v="2.23"/>
    <n v="3.18"/>
  </r>
  <r>
    <x v="3"/>
    <s v="Convenience stores"/>
    <x v="9"/>
    <s v="J&amp;J"/>
    <s v="|23/23/26|"/>
    <n v="672"/>
    <n v="1.95"/>
    <n v="2.74"/>
  </r>
  <r>
    <x v="3"/>
    <s v="Convenience stores"/>
    <x v="9"/>
    <s v="J&amp;J"/>
    <s v="|23/23/27|"/>
    <n v="1068"/>
    <n v="2.25"/>
    <n v="2.68"/>
  </r>
  <r>
    <x v="3"/>
    <s v="Convenience stores"/>
    <x v="9"/>
    <s v="J&amp;J"/>
    <s v="|23/23/28|"/>
    <n v="576"/>
    <n v="2.2400000000000002"/>
    <n v="2.98"/>
  </r>
  <r>
    <x v="3"/>
    <s v="Convenience stores"/>
    <x v="9"/>
    <s v="J&amp;J"/>
    <s v="|23/23/29|"/>
    <n v="1032"/>
    <n v="2.2999999999999998"/>
    <n v="2.48"/>
  </r>
  <r>
    <x v="3"/>
    <s v="Convenience stores"/>
    <x v="9"/>
    <s v="J&amp;J"/>
    <s v="|23/23/30|"/>
    <n v="900"/>
    <n v="1.41"/>
    <n v="2.2599999999999998"/>
  </r>
  <r>
    <x v="3"/>
    <s v="Convenience stores"/>
    <x v="9"/>
    <s v="J&amp;J"/>
    <s v="|23/23/31|"/>
    <n v="1104"/>
    <n v="1.69"/>
    <n v="2.71"/>
  </r>
  <r>
    <x v="3"/>
    <s v="Convenience stores"/>
    <x v="9"/>
    <s v="J&amp;J"/>
    <s v="|23/23/32|"/>
    <n v="1188"/>
    <n v="2.2000000000000002"/>
    <n v="2.84"/>
  </r>
  <r>
    <x v="3"/>
    <s v="Convenience stores"/>
    <x v="9"/>
    <s v="J&amp;J"/>
    <s v="|23/23/33|"/>
    <n v="996"/>
    <n v="1.54"/>
    <n v="2.46"/>
  </r>
  <r>
    <x v="3"/>
    <s v="Convenience stores"/>
    <x v="9"/>
    <s v="J&amp;J"/>
    <s v="|23/23/34|"/>
    <n v="900"/>
    <n v="1.83"/>
    <n v="2.4900000000000002"/>
  </r>
  <r>
    <x v="3"/>
    <s v="Convenience stores"/>
    <x v="9"/>
    <s v="J&amp;J"/>
    <s v="|23/23/35|"/>
    <n v="948"/>
    <n v="2.42"/>
    <n v="2.77"/>
  </r>
  <r>
    <x v="3"/>
    <s v="Convenience stores"/>
    <x v="9"/>
    <s v="J&amp;J"/>
    <s v="|23/23/36|"/>
    <n v="756"/>
    <n v="1.33"/>
    <n v="3.35"/>
  </r>
  <r>
    <x v="3"/>
    <s v="Convenience stores"/>
    <x v="9"/>
    <s v="J&amp;J"/>
    <s v="|23/23/37|"/>
    <n v="948"/>
    <n v="2.48"/>
    <n v="2.31"/>
  </r>
  <r>
    <x v="3"/>
    <s v="Convenience stores"/>
    <x v="9"/>
    <s v="J&amp;J"/>
    <s v="|23/23/38|"/>
    <n v="672"/>
    <n v="2.4300000000000002"/>
    <n v="2.59"/>
  </r>
  <r>
    <x v="3"/>
    <s v="Convenience stores"/>
    <x v="9"/>
    <s v="J&amp;J"/>
    <s v="|23/23/39|"/>
    <n v="912"/>
    <n v="2.36"/>
    <n v="3.25"/>
  </r>
  <r>
    <x v="3"/>
    <s v="Convenience stores"/>
    <x v="9"/>
    <s v="J&amp;J"/>
    <s v="|23/23/40|"/>
    <n v="888"/>
    <n v="1.46"/>
    <n v="2.0699999999999998"/>
  </r>
  <r>
    <x v="3"/>
    <s v="Convenience stores"/>
    <x v="9"/>
    <s v="J&amp;J"/>
    <s v="|23/23/41|"/>
    <n v="1044"/>
    <n v="2.37"/>
    <n v="3.16"/>
  </r>
  <r>
    <x v="3"/>
    <s v="Convenience stores"/>
    <x v="9"/>
    <s v="J&amp;J"/>
    <s v="|23/23/42|"/>
    <n v="876"/>
    <n v="1.95"/>
    <n v="2.46"/>
  </r>
  <r>
    <x v="3"/>
    <s v="Convenience stores"/>
    <x v="9"/>
    <s v="J&amp;J"/>
    <s v="|23/23/43|"/>
    <n v="552"/>
    <n v="1.56"/>
    <n v="2.37"/>
  </r>
  <r>
    <x v="3"/>
    <s v="Convenience stores"/>
    <x v="9"/>
    <s v="J&amp;J"/>
    <s v="|23/23/44|"/>
    <n v="864"/>
    <n v="1.9"/>
    <n v="2.44"/>
  </r>
  <r>
    <x v="3"/>
    <s v="Convenience stores"/>
    <x v="9"/>
    <s v="J&amp;J"/>
    <s v="|23/23/45|"/>
    <n v="1116"/>
    <n v="2.2799999999999998"/>
    <n v="2.09"/>
  </r>
  <r>
    <x v="3"/>
    <s v="Convenience stores"/>
    <x v="9"/>
    <s v="J&amp;J"/>
    <s v="|23/23/46|"/>
    <n v="1020"/>
    <n v="2.04"/>
    <n v="2.3199999999999998"/>
  </r>
  <r>
    <x v="3"/>
    <s v="Convenience stores"/>
    <x v="9"/>
    <s v="J&amp;J"/>
    <s v="|23/23/47|"/>
    <n v="1164"/>
    <n v="1.54"/>
    <n v="3.21"/>
  </r>
  <r>
    <x v="3"/>
    <s v="Convenience stores"/>
    <x v="9"/>
    <s v="J&amp;J"/>
    <s v="|23/23/48|"/>
    <n v="756"/>
    <n v="2.48"/>
    <n v="2.82"/>
  </r>
  <r>
    <x v="3"/>
    <s v="Convenience stores"/>
    <x v="9"/>
    <s v="J&amp;J"/>
    <s v="|23/23/49|"/>
    <n v="720"/>
    <n v="1.85"/>
    <n v="2.4500000000000002"/>
  </r>
  <r>
    <x v="3"/>
    <s v="Convenience stores"/>
    <x v="9"/>
    <s v="J&amp;J"/>
    <s v="|23/23/50|"/>
    <n v="588"/>
    <n v="1.97"/>
    <n v="2.61"/>
  </r>
  <r>
    <x v="3"/>
    <s v="Convenience stores"/>
    <x v="9"/>
    <s v="J&amp;J"/>
    <s v="|23/23/51|"/>
    <n v="636"/>
    <n v="2.15"/>
    <n v="3.35"/>
  </r>
  <r>
    <x v="3"/>
    <s v="Convenience stores"/>
    <x v="9"/>
    <s v="J&amp;J"/>
    <s v="|23/23/53|"/>
    <n v="648"/>
    <n v="2.2400000000000002"/>
    <n v="2.83"/>
  </r>
  <r>
    <x v="3"/>
    <s v="Convenience stores"/>
    <x v="9"/>
    <s v="J&amp;J"/>
    <s v="|23/23/56|"/>
    <n v="660"/>
    <n v="1.71"/>
    <n v="3.07"/>
  </r>
  <r>
    <x v="3"/>
    <s v="Convenience stores"/>
    <x v="9"/>
    <s v="J&amp;J"/>
    <s v="|23/23/62|"/>
    <n v="1068"/>
    <n v="1.37"/>
    <n v="2.61"/>
  </r>
  <r>
    <x v="3"/>
    <s v="Convenience stores"/>
    <x v="9"/>
    <s v="J&amp;J"/>
    <s v="|23/23/63|"/>
    <n v="792"/>
    <n v="1.35"/>
    <n v="2.0299999999999998"/>
  </r>
  <r>
    <x v="3"/>
    <s v="Convenience stores"/>
    <x v="9"/>
    <s v="J&amp;J"/>
    <s v="|23/23/64|"/>
    <n v="432"/>
    <n v="1.55"/>
    <n v="2.87"/>
  </r>
  <r>
    <x v="3"/>
    <s v="Convenience stores"/>
    <x v="9"/>
    <s v="J&amp;J"/>
    <s v="|23/23/65|"/>
    <n v="360"/>
    <n v="1.29"/>
    <n v="2.79"/>
  </r>
  <r>
    <x v="3"/>
    <s v="Convenience stores"/>
    <x v="9"/>
    <s v="J&amp;J"/>
    <s v="|23/23/68|"/>
    <n v="876"/>
    <n v="1.92"/>
    <n v="2.57"/>
  </r>
  <r>
    <x v="3"/>
    <s v="Convenience stores"/>
    <x v="9"/>
    <s v="J&amp;J"/>
    <s v="|23/23/69|"/>
    <n v="372"/>
    <n v="1.29"/>
    <n v="2.0499999999999998"/>
  </r>
  <r>
    <x v="3"/>
    <s v="Convenience stores"/>
    <x v="9"/>
    <s v="J&amp;J"/>
    <s v="|23/23/71|"/>
    <n v="744"/>
    <n v="2.27"/>
    <n v="2.31"/>
  </r>
  <r>
    <x v="3"/>
    <s v="Convenience stores"/>
    <x v="9"/>
    <s v="J&amp;J"/>
    <s v="|23/23/72|"/>
    <n v="1188"/>
    <n v="2.36"/>
    <n v="3.08"/>
  </r>
  <r>
    <x v="3"/>
    <s v="Convenience stores"/>
    <x v="9"/>
    <s v="J&amp;J"/>
    <s v="|23/23/76|"/>
    <n v="1068"/>
    <n v="1.96"/>
    <n v="3.09"/>
  </r>
  <r>
    <x v="3"/>
    <s v="Convenience stores"/>
    <x v="9"/>
    <s v="J&amp;J"/>
    <s v="|23/23/77|"/>
    <n v="396"/>
    <n v="2.36"/>
    <n v="3.42"/>
  </r>
  <r>
    <x v="3"/>
    <s v="Convenience stores"/>
    <x v="9"/>
    <s v="J&amp;J"/>
    <s v="|23/23/78|"/>
    <n v="432"/>
    <n v="2.23"/>
    <n v="2.36"/>
  </r>
  <r>
    <x v="3"/>
    <s v="Convenience stores"/>
    <x v="9"/>
    <s v="J&amp;J"/>
    <s v="|23/23/79|"/>
    <n v="516"/>
    <n v="2.2000000000000002"/>
    <n v="3.48"/>
  </r>
  <r>
    <x v="3"/>
    <s v="Convenience stores"/>
    <x v="9"/>
    <s v="J&amp;J"/>
    <s v="|23/23/80|"/>
    <n v="528"/>
    <n v="1.68"/>
    <n v="2.82"/>
  </r>
  <r>
    <x v="3"/>
    <s v="Convenience stores"/>
    <x v="9"/>
    <s v="J&amp;J"/>
    <s v="|23/23/81|"/>
    <n v="1068"/>
    <n v="1.86"/>
    <n v="3.27"/>
  </r>
  <r>
    <x v="3"/>
    <s v="Convenience stores"/>
    <x v="9"/>
    <s v="J&amp;J"/>
    <s v="|23/23/82|"/>
    <n v="792"/>
    <n v="1.69"/>
    <n v="2.67"/>
  </r>
  <r>
    <x v="3"/>
    <s v="Convenience stores"/>
    <x v="9"/>
    <s v="J&amp;J"/>
    <s v="|23/23/83|"/>
    <n v="372"/>
    <n v="1.22"/>
    <n v="2.04"/>
  </r>
  <r>
    <x v="3"/>
    <s v="Convenience stores"/>
    <x v="9"/>
    <s v="J&amp;J"/>
    <s v="|23/23/84|"/>
    <n v="1044"/>
    <n v="1.97"/>
    <n v="2.3199999999999998"/>
  </r>
  <r>
    <x v="3"/>
    <s v="Convenience stores"/>
    <x v="9"/>
    <s v="J&amp;J"/>
    <s v="|23/23/85|"/>
    <n v="636"/>
    <n v="1.45"/>
    <n v="2.4500000000000002"/>
  </r>
  <r>
    <x v="3"/>
    <s v="Convenience stores"/>
    <x v="9"/>
    <s v="J&amp;J"/>
    <s v="|23/23/98|"/>
    <n v="492"/>
    <n v="2.3199999999999998"/>
    <n v="2.81"/>
  </r>
  <r>
    <x v="3"/>
    <s v="Convenience stores"/>
    <x v="9"/>
    <s v="J&amp;J"/>
    <s v="|23/23/99|"/>
    <n v="1020"/>
    <n v="1.94"/>
    <n v="2.88"/>
  </r>
  <r>
    <x v="3"/>
    <s v="Convenience stores"/>
    <x v="2"/>
    <s v="H&amp;I"/>
    <s v="|13/01/11|"/>
    <n v="4884"/>
    <n v="0.55000000000000004"/>
    <n v="0.98"/>
  </r>
  <r>
    <x v="3"/>
    <s v="Convenience stores"/>
    <x v="2"/>
    <s v="H&amp;I"/>
    <s v="|13/01/12|"/>
    <n v="6360"/>
    <n v="0.98"/>
    <n v="0.96"/>
  </r>
  <r>
    <x v="3"/>
    <s v="Convenience stores"/>
    <x v="2"/>
    <s v="H&amp;I"/>
    <s v="|13/01/13|"/>
    <n v="7116"/>
    <n v="0.9"/>
    <n v="1.06"/>
  </r>
  <r>
    <x v="3"/>
    <s v="Convenience stores"/>
    <x v="2"/>
    <s v="H&amp;I"/>
    <s v="|13/01/14|"/>
    <n v="4896"/>
    <n v="0.69"/>
    <n v="0.91"/>
  </r>
  <r>
    <x v="3"/>
    <s v="Convenience stores"/>
    <x v="2"/>
    <s v="H&amp;I"/>
    <s v="|13/01/20|"/>
    <n v="9372"/>
    <n v="0.71"/>
    <n v="1.18"/>
  </r>
  <r>
    <x v="3"/>
    <s v="Convenience stores"/>
    <x v="2"/>
    <s v="H&amp;I"/>
    <s v="|13/02/01|"/>
    <n v="6036"/>
    <n v="0.57999999999999996"/>
    <n v="0.99"/>
  </r>
  <r>
    <x v="3"/>
    <s v="Convenience stores"/>
    <x v="2"/>
    <s v="H&amp;I"/>
    <s v="|13/02/02|"/>
    <n v="7680"/>
    <n v="1.1200000000000001"/>
    <n v="1.02"/>
  </r>
  <r>
    <x v="3"/>
    <s v="Convenience stores"/>
    <x v="2"/>
    <s v="H&amp;I"/>
    <s v="|13/02/03|"/>
    <n v="5880"/>
    <n v="0.92"/>
    <n v="0.98"/>
  </r>
  <r>
    <x v="3"/>
    <s v="Convenience stores"/>
    <x v="2"/>
    <s v="H&amp;I"/>
    <s v="|13/02/04|"/>
    <n v="8436"/>
    <n v="0.99"/>
    <n v="0.98"/>
  </r>
  <r>
    <x v="3"/>
    <s v="Convenience stores"/>
    <x v="2"/>
    <s v="H&amp;I"/>
    <s v="|13/02/10|"/>
    <n v="6552"/>
    <n v="0.54"/>
    <n v="1.1599999999999999"/>
  </r>
  <r>
    <x v="3"/>
    <s v="Convenience stores"/>
    <x v="2"/>
    <s v="H&amp;I"/>
    <s v="|13/99/50|"/>
    <n v="6732"/>
    <n v="1.05"/>
    <n v="1.1000000000000001"/>
  </r>
  <r>
    <x v="3"/>
    <s v="Convenience stores"/>
    <x v="2"/>
    <s v="H&amp;I"/>
    <s v="|13/99/52|"/>
    <n v="8676"/>
    <n v="0.81"/>
    <n v="1.03"/>
  </r>
  <r>
    <x v="3"/>
    <s v="Convenience stores"/>
    <x v="5"/>
    <s v="H&amp;I"/>
    <s v="|13/01/21|"/>
    <n v="768"/>
    <n v="1.23"/>
    <n v="1.76"/>
  </r>
  <r>
    <x v="3"/>
    <s v="Convenience stores"/>
    <x v="5"/>
    <s v="H&amp;I"/>
    <s v="|13/01/22|"/>
    <n v="1164"/>
    <n v="1.35"/>
    <n v="1.74"/>
  </r>
  <r>
    <x v="3"/>
    <s v="Convenience stores"/>
    <x v="5"/>
    <s v="H&amp;I"/>
    <s v="|13/01/23|"/>
    <n v="876"/>
    <n v="1.42"/>
    <n v="1.83"/>
  </r>
  <r>
    <x v="3"/>
    <s v="Convenience stores"/>
    <x v="5"/>
    <s v="H&amp;I"/>
    <s v="|13/01/24|"/>
    <n v="852"/>
    <n v="1.4"/>
    <n v="1.62"/>
  </r>
  <r>
    <x v="3"/>
    <s v="Convenience stores"/>
    <x v="5"/>
    <s v="H&amp;I"/>
    <s v="|13/01/25|"/>
    <n v="1260"/>
    <n v="1.1200000000000001"/>
    <n v="1.77"/>
  </r>
  <r>
    <x v="3"/>
    <s v="Convenience stores"/>
    <x v="5"/>
    <s v="H&amp;I"/>
    <s v="|13/01/26|"/>
    <n v="576"/>
    <n v="1.1100000000000001"/>
    <n v="1.84"/>
  </r>
  <r>
    <x v="3"/>
    <s v="Convenience stores"/>
    <x v="5"/>
    <s v="H&amp;I"/>
    <s v="|13/01/27|"/>
    <n v="924"/>
    <n v="1.41"/>
    <n v="1.83"/>
  </r>
  <r>
    <x v="3"/>
    <s v="Convenience stores"/>
    <x v="5"/>
    <s v="H&amp;I"/>
    <s v="|13/01/28|"/>
    <n v="876"/>
    <n v="1.43"/>
    <n v="1.85"/>
  </r>
  <r>
    <x v="3"/>
    <s v="Convenience stores"/>
    <x v="5"/>
    <s v="H&amp;I"/>
    <s v="|13/01/80|"/>
    <n v="624"/>
    <n v="1.44"/>
    <n v="1.72"/>
  </r>
  <r>
    <x v="3"/>
    <s v="Convenience stores"/>
    <x v="5"/>
    <s v="H&amp;I"/>
    <s v="|13/01/81|"/>
    <n v="804"/>
    <n v="1.4"/>
    <n v="1.66"/>
  </r>
  <r>
    <x v="3"/>
    <s v="Convenience stores"/>
    <x v="5"/>
    <s v="H&amp;I"/>
    <s v="|13/01/82|"/>
    <n v="1272"/>
    <n v="1.3"/>
    <n v="1.6"/>
  </r>
  <r>
    <x v="3"/>
    <s v="Convenience stores"/>
    <x v="5"/>
    <s v="H&amp;I"/>
    <s v="|13/01/83|"/>
    <n v="1212"/>
    <n v="1.1599999999999999"/>
    <n v="1.83"/>
  </r>
  <r>
    <x v="3"/>
    <s v="Convenience stores"/>
    <x v="5"/>
    <s v="H&amp;I"/>
    <s v="|13/01/84|"/>
    <n v="1032"/>
    <n v="1.1000000000000001"/>
    <n v="1.62"/>
  </r>
  <r>
    <x v="3"/>
    <s v="Convenience stores"/>
    <x v="5"/>
    <s v="H&amp;I"/>
    <s v="|13/01/85|"/>
    <n v="996"/>
    <n v="1.1000000000000001"/>
    <n v="1.76"/>
  </r>
  <r>
    <x v="3"/>
    <s v="Convenience stores"/>
    <x v="5"/>
    <s v="H&amp;I"/>
    <s v="|13/02/05|"/>
    <n v="624"/>
    <n v="1.24"/>
    <n v="1.63"/>
  </r>
  <r>
    <x v="3"/>
    <s v="Convenience stores"/>
    <x v="5"/>
    <s v="H&amp;I"/>
    <s v="|13/02/06|"/>
    <n v="816"/>
    <n v="1.47"/>
    <n v="1.82"/>
  </r>
  <r>
    <x v="3"/>
    <s v="Convenience stores"/>
    <x v="5"/>
    <s v="H&amp;I"/>
    <s v="|13/02/07|"/>
    <n v="972"/>
    <n v="1.45"/>
    <n v="1.88"/>
  </r>
  <r>
    <x v="3"/>
    <s v="Convenience stores"/>
    <x v="5"/>
    <s v="H&amp;I"/>
    <s v="|13/02/08|"/>
    <n v="1176"/>
    <n v="1.1200000000000001"/>
    <n v="1.7"/>
  </r>
  <r>
    <x v="3"/>
    <s v="Convenience stores"/>
    <x v="5"/>
    <s v="H&amp;I"/>
    <s v="|13/02/09|"/>
    <n v="600"/>
    <n v="1.1200000000000001"/>
    <n v="1.68"/>
  </r>
  <r>
    <x v="3"/>
    <s v="Convenience stores"/>
    <x v="5"/>
    <s v="H&amp;I"/>
    <s v="|13/99/53|"/>
    <n v="1080"/>
    <n v="1.1100000000000001"/>
    <n v="1.88"/>
  </r>
  <r>
    <x v="3"/>
    <s v="Convenience stores"/>
    <x v="7"/>
    <s v="MM"/>
    <s v="|05/01/17|"/>
    <n v="1044"/>
    <n v="2.89"/>
    <n v="3.46"/>
  </r>
  <r>
    <x v="3"/>
    <s v="Convenience stores"/>
    <x v="9"/>
    <s v="Unilever"/>
    <s v="|77/01/01|"/>
    <n v="780"/>
    <n v="2.36"/>
    <n v="2.29"/>
  </r>
  <r>
    <x v="3"/>
    <s v="Convenience stores"/>
    <x v="9"/>
    <s v="Unilever"/>
    <s v="|77/01/02|"/>
    <n v="960"/>
    <n v="1.65"/>
    <n v="2.23"/>
  </r>
  <r>
    <x v="3"/>
    <s v="Convenience stores"/>
    <x v="9"/>
    <s v="Unilever"/>
    <s v="|77/01/03|"/>
    <n v="492"/>
    <n v="1.8"/>
    <n v="2.1"/>
  </r>
  <r>
    <x v="3"/>
    <s v="Convenience stores"/>
    <x v="9"/>
    <s v="Unilever"/>
    <s v="|77/01/04|"/>
    <n v="1020"/>
    <n v="1.84"/>
    <n v="2.63"/>
  </r>
  <r>
    <x v="3"/>
    <s v="Convenience stores"/>
    <x v="9"/>
    <s v="Unilever"/>
    <s v="|77/01/05|"/>
    <n v="636"/>
    <n v="1.73"/>
    <n v="2.88"/>
  </r>
  <r>
    <x v="3"/>
    <s v="Convenience stores"/>
    <x v="9"/>
    <s v="Unilever"/>
    <s v="|77/01/06|"/>
    <n v="936"/>
    <n v="1.93"/>
    <n v="2.64"/>
  </r>
  <r>
    <x v="3"/>
    <s v="Convenience stores"/>
    <x v="9"/>
    <s v="Unilever"/>
    <s v="|77/01/07|"/>
    <n v="1104"/>
    <n v="2.35"/>
    <n v="3.48"/>
  </r>
  <r>
    <x v="3"/>
    <s v="Convenience stores"/>
    <x v="9"/>
    <s v="Unilever"/>
    <s v="|77/01/08|"/>
    <n v="792"/>
    <n v="1.74"/>
    <n v="3.27"/>
  </r>
  <r>
    <x v="3"/>
    <s v="Convenience stores"/>
    <x v="1"/>
    <s v="M&amp;M"/>
    <s v="|84/02/02|"/>
    <n v="408"/>
    <n v="5.3"/>
    <n v="7.6133333333333333"/>
  </r>
  <r>
    <x v="3"/>
    <s v="Convenience stores"/>
    <x v="1"/>
    <s v="M&amp;M"/>
    <s v="|84/02/03|"/>
    <n v="636"/>
    <n v="6.4933333333333332"/>
    <n v="8.1466666666666665"/>
  </r>
  <r>
    <x v="3"/>
    <s v="Convenience stores"/>
    <x v="6"/>
    <s v="M&amp;M"/>
    <s v="|84/01/01|"/>
    <n v="2496"/>
    <n v="2.93"/>
    <n v="3.56"/>
  </r>
  <r>
    <x v="3"/>
    <s v="Convenience stores"/>
    <x v="6"/>
    <s v="M&amp;M"/>
    <s v="|84/01/02|"/>
    <n v="2124"/>
    <n v="2.41"/>
    <n v="3.87"/>
  </r>
  <r>
    <x v="3"/>
    <s v="Convenience stores"/>
    <x v="6"/>
    <s v="M&amp;M"/>
    <s v="|84/01/03|"/>
    <n v="2160"/>
    <n v="2.85"/>
    <n v="3.85"/>
  </r>
  <r>
    <x v="3"/>
    <s v="Convenience stores"/>
    <x v="6"/>
    <s v="M&amp;M"/>
    <s v="|84/01/04|"/>
    <n v="1632"/>
    <n v="2.91"/>
    <n v="3.68"/>
  </r>
  <r>
    <x v="3"/>
    <s v="Convenience stores"/>
    <x v="6"/>
    <s v="M&amp;M"/>
    <s v="|84/01/05|"/>
    <n v="1596"/>
    <n v="2.4300000000000002"/>
    <n v="3.5"/>
  </r>
  <r>
    <x v="3"/>
    <s v="Convenience stores"/>
    <x v="6"/>
    <s v="M&amp;M"/>
    <s v="|84/01/06|"/>
    <n v="2496"/>
    <n v="2.37"/>
    <n v="3.67"/>
  </r>
  <r>
    <x v="3"/>
    <s v="Convenience stores"/>
    <x v="6"/>
    <s v="M&amp;M"/>
    <s v="|84/02/01|"/>
    <n v="1356"/>
    <n v="2.66"/>
    <n v="3.56"/>
  </r>
  <r>
    <x v="3"/>
    <s v="Convenience stores"/>
    <x v="1"/>
    <s v="Gelati italiani"/>
    <s v="|63/00/00|"/>
    <n v="564"/>
    <n v="5.54"/>
    <n v="7.94"/>
  </r>
  <r>
    <x v="3"/>
    <s v="Convenience stores"/>
    <x v="1"/>
    <s v="Gelati italiani"/>
    <s v="|63/01/30|"/>
    <n v="552"/>
    <n v="5.44"/>
    <n v="8.2200000000000006"/>
  </r>
  <r>
    <x v="3"/>
    <s v="Convenience stores"/>
    <x v="6"/>
    <s v="Gelati italiani"/>
    <s v="|63/01/01**|"/>
    <n v="1368"/>
    <n v="2.5"/>
    <n v="3.63"/>
  </r>
  <r>
    <x v="3"/>
    <s v="Convenience stores"/>
    <x v="6"/>
    <s v="Gelati italiani"/>
    <s v="|63/01/02|"/>
    <n v="1596"/>
    <n v="2.36"/>
    <n v="3.31"/>
  </r>
  <r>
    <x v="3"/>
    <s v="Convenience stores"/>
    <x v="6"/>
    <s v="Gelati italiani"/>
    <s v="|63/01/03|"/>
    <n v="2532"/>
    <n v="2.5"/>
    <n v="3.56"/>
  </r>
  <r>
    <x v="3"/>
    <s v="Convenience stores"/>
    <x v="6"/>
    <s v="Gelati italiani"/>
    <s v="|63/01/04|"/>
    <n v="2076"/>
    <n v="2.35"/>
    <n v="3.64"/>
  </r>
  <r>
    <x v="3"/>
    <s v="Convenience stores"/>
    <x v="6"/>
    <s v="Gelati italiani"/>
    <s v="|63/01/05|"/>
    <n v="2016"/>
    <n v="2.8"/>
    <n v="3.7"/>
  </r>
  <r>
    <x v="3"/>
    <s v="Convenience stores"/>
    <x v="6"/>
    <s v="Gelati italiani"/>
    <s v="|63/01/06|"/>
    <n v="2592"/>
    <n v="2.44"/>
    <n v="3.68"/>
  </r>
  <r>
    <x v="3"/>
    <s v="Convenience stores"/>
    <x v="6"/>
    <s v="Gelati italiani"/>
    <s v="|63/01/07|"/>
    <n v="1692"/>
    <n v="2.34"/>
    <n v="3.74"/>
  </r>
  <r>
    <x v="3"/>
    <s v="Convenience stores"/>
    <x v="6"/>
    <s v="Gelati italiani"/>
    <s v="|63/01/08|"/>
    <n v="1260"/>
    <n v="2.57"/>
    <n v="3.85"/>
  </r>
  <r>
    <x v="3"/>
    <s v="Convenience stores"/>
    <x v="6"/>
    <s v="Gelati italiani"/>
    <s v="|63/01/09|"/>
    <n v="2316"/>
    <n v="2.68"/>
    <n v="3.37"/>
  </r>
  <r>
    <x v="3"/>
    <s v="Convenience stores"/>
    <x v="6"/>
    <s v="Gelati italiani"/>
    <s v="|63/01/10|"/>
    <n v="2676"/>
    <n v="2.56"/>
    <n v="3.57"/>
  </r>
  <r>
    <x v="3"/>
    <s v="Convenience stores"/>
    <x v="6"/>
    <s v="Gelati italiani"/>
    <s v="|63/01/11|"/>
    <n v="1812"/>
    <n v="2.46"/>
    <n v="3.87"/>
  </r>
  <r>
    <x v="3"/>
    <s v="Convenience stores"/>
    <x v="6"/>
    <s v="Gelati italiani"/>
    <s v="|63/01/12|"/>
    <n v="2016"/>
    <n v="2.37"/>
    <n v="3.75"/>
  </r>
  <r>
    <x v="3"/>
    <s v="Convenience stores"/>
    <x v="6"/>
    <s v="Gelati italiani"/>
    <s v="|63/01/13|"/>
    <n v="1656"/>
    <n v="2.41"/>
    <n v="3.86"/>
  </r>
  <r>
    <x v="3"/>
    <s v="Convenience stores"/>
    <x v="6"/>
    <s v="Gelati italiani"/>
    <s v="|63/01/14|"/>
    <n v="2184"/>
    <n v="2.57"/>
    <n v="3.4"/>
  </r>
  <r>
    <x v="3"/>
    <s v="Convenience stores"/>
    <x v="6"/>
    <s v="Gelati italiani"/>
    <s v="|63/01/15|"/>
    <n v="2088"/>
    <n v="2.93"/>
    <n v="3.84"/>
  </r>
  <r>
    <x v="3"/>
    <s v="Convenience stores"/>
    <x v="6"/>
    <s v="Gelati italiani"/>
    <s v="|63/01/16|"/>
    <n v="2448"/>
    <n v="2.71"/>
    <n v="3.34"/>
  </r>
  <r>
    <x v="3"/>
    <s v="Convenience stores"/>
    <x v="6"/>
    <s v="Gelati italiani"/>
    <s v="|63/01/17|"/>
    <n v="1704"/>
    <n v="2.85"/>
    <n v="3.3"/>
  </r>
  <r>
    <x v="3"/>
    <s v="Convenience stores"/>
    <x v="6"/>
    <s v="Gelati italiani"/>
    <s v="|63/01/18|"/>
    <n v="1608"/>
    <n v="2.52"/>
    <n v="3.45"/>
  </r>
  <r>
    <x v="3"/>
    <s v="Convenience stores"/>
    <x v="6"/>
    <s v="Gelati italiani"/>
    <s v="|63/01/19|"/>
    <n v="1812"/>
    <n v="2.59"/>
    <n v="3.99"/>
  </r>
  <r>
    <x v="3"/>
    <s v="Convenience stores"/>
    <x v="6"/>
    <s v="Gelati italiani"/>
    <s v="|63/01/20|"/>
    <n v="1644"/>
    <n v="2.7"/>
    <n v="3.87"/>
  </r>
  <r>
    <x v="3"/>
    <s v="Convenience stores"/>
    <x v="6"/>
    <s v="Gelati italiani"/>
    <s v="|63/01/20a|"/>
    <n v="1236"/>
    <n v="2.56"/>
    <n v="3.72"/>
  </r>
  <r>
    <x v="3"/>
    <s v="Convenience stores"/>
    <x v="6"/>
    <s v="Gelati italiani"/>
    <s v="|63/01/31|"/>
    <n v="1272"/>
    <n v="2.82"/>
    <n v="3.55"/>
  </r>
  <r>
    <x v="3"/>
    <s v="Convenience stores"/>
    <x v="6"/>
    <s v="Gelati italiani"/>
    <s v="|63/05/12|"/>
    <n v="1908"/>
    <n v="2.79"/>
    <n v="3.3"/>
  </r>
  <r>
    <x v="3"/>
    <s v="Convenience stores"/>
    <x v="6"/>
    <s v="Gelati italiani"/>
    <s v="|63/05/15|"/>
    <n v="2124"/>
    <n v="2.91"/>
    <n v="3.34"/>
  </r>
  <r>
    <x v="3"/>
    <s v="Convenience stores"/>
    <x v="6"/>
    <s v="Gelati italiani"/>
    <s v="|63/07/01|"/>
    <n v="2352"/>
    <n v="2.76"/>
    <n v="3.3"/>
  </r>
  <r>
    <x v="3"/>
    <s v="Convenience stores"/>
    <x v="6"/>
    <s v="Gelati italiani"/>
    <s v="|63/07/02|"/>
    <n v="2016"/>
    <n v="2.86"/>
    <n v="3.61"/>
  </r>
  <r>
    <x v="3"/>
    <s v="Convenience stores"/>
    <x v="6"/>
    <s v="Gelati italiani"/>
    <s v="|63/07/03|"/>
    <n v="2628"/>
    <n v="2.42"/>
    <n v="4"/>
  </r>
  <r>
    <x v="3"/>
    <s v="Convenience stores"/>
    <x v="6"/>
    <s v="Gelati italiani"/>
    <s v="|63/02/05|"/>
    <n v="2568"/>
    <n v="2.94"/>
    <n v="3.8"/>
  </r>
  <r>
    <x v="3"/>
    <s v="Convenience stores"/>
    <x v="6"/>
    <s v="Gelati italiani"/>
    <s v="|63/02/06|"/>
    <n v="2676"/>
    <n v="2.6"/>
    <n v="3.72"/>
  </r>
  <r>
    <x v="3"/>
    <s v="Convenience stores"/>
    <x v="6"/>
    <s v="Gelati italiani"/>
    <s v="|63/02/07|"/>
    <n v="1428"/>
    <n v="2.83"/>
    <n v="3.54"/>
  </r>
  <r>
    <x v="3"/>
    <s v="Convenience stores"/>
    <x v="6"/>
    <s v="Gelati italiani"/>
    <s v="|63/02/08|"/>
    <n v="2376"/>
    <n v="2.84"/>
    <n v="3.58"/>
  </r>
  <r>
    <x v="3"/>
    <s v="Convenience stores"/>
    <x v="6"/>
    <s v="Gelati italiani"/>
    <s v="|63/04/10|"/>
    <n v="2628"/>
    <n v="2.61"/>
    <n v="3.62"/>
  </r>
  <r>
    <x v="3"/>
    <s v="Convenience stores"/>
    <x v="6"/>
    <s v="Gelati italiani"/>
    <s v="|63/04/11|"/>
    <n v="2124"/>
    <n v="2.76"/>
    <n v="3.61"/>
  </r>
  <r>
    <x v="3"/>
    <s v="Convenience stores"/>
    <x v="6"/>
    <s v="Gelati italiani"/>
    <s v="|63/04/12|"/>
    <n v="1524"/>
    <n v="2.4900000000000002"/>
    <n v="3.46"/>
  </r>
  <r>
    <x v="3"/>
    <s v="Convenience stores"/>
    <x v="6"/>
    <s v="Gelati italiani"/>
    <s v="|63/04/13|"/>
    <n v="1884"/>
    <n v="2.97"/>
    <n v="3.89"/>
  </r>
  <r>
    <x v="3"/>
    <s v="Convenience stores"/>
    <x v="6"/>
    <s v="Gelati italiani"/>
    <s v="|63/04/14|"/>
    <n v="2544"/>
    <n v="2.36"/>
    <n v="3.99"/>
  </r>
  <r>
    <x v="3"/>
    <s v="Convenience stores"/>
    <x v="6"/>
    <s v="Gelati italiani"/>
    <s v="|63/05/13|"/>
    <n v="1500"/>
    <n v="2.57"/>
    <n v="3.9"/>
  </r>
  <r>
    <x v="3"/>
    <s v="Convenience stores"/>
    <x v="6"/>
    <s v="Gelati italiani"/>
    <s v="|63/05/14|"/>
    <n v="2040"/>
    <n v="2.73"/>
    <n v="3.85"/>
  </r>
  <r>
    <x v="3"/>
    <s v="Convenience stores"/>
    <x v="6"/>
    <s v="Gelati italiani"/>
    <s v="|63/05/16|"/>
    <n v="1224"/>
    <n v="2.38"/>
    <n v="3.67"/>
  </r>
  <r>
    <x v="3"/>
    <s v="Convenience stores"/>
    <x v="6"/>
    <s v="Gelati italiani"/>
    <s v="|63/06/01|"/>
    <n v="2424"/>
    <n v="2.48"/>
    <n v="3.78"/>
  </r>
  <r>
    <x v="3"/>
    <s v="Convenience stores"/>
    <x v="6"/>
    <s v="Gelati italiani"/>
    <s v="|63/06/02|"/>
    <n v="2592"/>
    <n v="2.97"/>
    <n v="3.4"/>
  </r>
  <r>
    <x v="3"/>
    <s v="Convenience stores"/>
    <x v="6"/>
    <s v="Gelati italiani"/>
    <s v="|63/06/03|"/>
    <n v="2424"/>
    <n v="2.41"/>
    <n v="3.76"/>
  </r>
  <r>
    <x v="3"/>
    <s v="Convenience stores"/>
    <x v="6"/>
    <s v="Gelati italiani"/>
    <s v="|63/06/04|"/>
    <n v="1932"/>
    <n v="2.4300000000000002"/>
    <n v="3.91"/>
  </r>
  <r>
    <x v="3"/>
    <s v="Convenience stores"/>
    <x v="6"/>
    <s v="Gelati italiani"/>
    <s v="|63/08/01|"/>
    <n v="2088"/>
    <n v="2.48"/>
    <n v="3.44"/>
  </r>
  <r>
    <x v="3"/>
    <s v="Convenience stores"/>
    <x v="6"/>
    <s v="Gelati italiani"/>
    <s v="|63/08/02|"/>
    <n v="2496"/>
    <n v="2.98"/>
    <n v="3.91"/>
  </r>
  <r>
    <x v="3"/>
    <s v="Convenience stores"/>
    <x v="6"/>
    <s v="Gelati italiani"/>
    <s v="|63/09/01|"/>
    <n v="2172"/>
    <n v="2.58"/>
    <n v="3.95"/>
  </r>
  <r>
    <x v="3"/>
    <s v="Convenience stores"/>
    <x v="6"/>
    <s v="Gelati italiani"/>
    <s v="|63/09/02|"/>
    <n v="1608"/>
    <n v="2.67"/>
    <n v="3.73"/>
  </r>
  <r>
    <x v="3"/>
    <s v="Convenience stores"/>
    <x v="6"/>
    <s v="Gelati italiani"/>
    <s v="|63/09/03|"/>
    <n v="1332"/>
    <n v="2.4500000000000002"/>
    <n v="3.33"/>
  </r>
  <r>
    <x v="3"/>
    <s v="Convenience stores"/>
    <x v="6"/>
    <s v="Gelati italiani"/>
    <s v="|63/09/04|"/>
    <n v="2124"/>
    <n v="2.39"/>
    <n v="3.81"/>
  </r>
  <r>
    <x v="3"/>
    <s v="Convenience stores"/>
    <x v="6"/>
    <s v="Gelati italiani"/>
    <s v="|63/10/01|"/>
    <n v="1632"/>
    <n v="2.4900000000000002"/>
    <n v="3.4"/>
  </r>
  <r>
    <x v="3"/>
    <s v="Convenience stores"/>
    <x v="4"/>
    <s v="Maybelline"/>
    <s v="|31/01/01|"/>
    <n v="492"/>
    <n v="4.59"/>
    <n v="5.27"/>
  </r>
  <r>
    <x v="3"/>
    <s v="Convenience stores"/>
    <x v="4"/>
    <s v="Maybelline"/>
    <s v="|31/01/02|"/>
    <n v="624"/>
    <n v="4.42"/>
    <n v="5.38"/>
  </r>
  <r>
    <x v="3"/>
    <s v="Convenience stores"/>
    <x v="4"/>
    <s v="Maybelline"/>
    <s v="|31/01/03|"/>
    <n v="540"/>
    <n v="4.54"/>
    <n v="5.2"/>
  </r>
  <r>
    <x v="3"/>
    <s v="Convenience stores"/>
    <x v="4"/>
    <s v="Maybelline"/>
    <s v="|31/01/04|"/>
    <n v="576"/>
    <n v="5"/>
    <n v="5.18"/>
  </r>
  <r>
    <x v="3"/>
    <s v="Convenience stores"/>
    <x v="4"/>
    <s v="Maybelline"/>
    <s v="|31/01/05|"/>
    <n v="600"/>
    <n v="4.41"/>
    <n v="5.0199999999999996"/>
  </r>
  <r>
    <x v="3"/>
    <s v="Convenience stores"/>
    <x v="4"/>
    <s v="Maybelline"/>
    <s v="|31/01/06|"/>
    <n v="264"/>
    <n v="4.7"/>
    <n v="5.09"/>
  </r>
  <r>
    <x v="3"/>
    <s v="Convenience stores"/>
    <x v="4"/>
    <s v="Maybelline"/>
    <s v="|31/01/07|"/>
    <n v="720"/>
    <n v="4.4400000000000004"/>
    <n v="5.33"/>
  </r>
  <r>
    <x v="3"/>
    <s v="Convenience stores"/>
    <x v="4"/>
    <s v="Maybelline"/>
    <s v="|31/01/08|"/>
    <n v="672"/>
    <n v="4.29"/>
    <n v="5.25"/>
  </r>
  <r>
    <x v="3"/>
    <s v="Convenience stores"/>
    <x v="4"/>
    <s v="Maybelline"/>
    <s v="|31/01/09|"/>
    <n v="492"/>
    <n v="4.0999999999999996"/>
    <n v="5.2"/>
  </r>
  <r>
    <x v="3"/>
    <s v="Convenience stores"/>
    <x v="4"/>
    <s v="Maybelline"/>
    <s v="|31/01/10|"/>
    <n v="636"/>
    <n v="4.76"/>
    <n v="5.0599999999999996"/>
  </r>
  <r>
    <x v="3"/>
    <s v="Convenience stores"/>
    <x v="4"/>
    <s v="Maybelline"/>
    <s v="|31/01/11|"/>
    <n v="384"/>
    <n v="4.71"/>
    <n v="5.05"/>
  </r>
  <r>
    <x v="3"/>
    <s v="Convenience stores"/>
    <x v="4"/>
    <s v="Maybelline"/>
    <s v="|31/01/12|"/>
    <n v="276"/>
    <n v="4.93"/>
    <n v="5.37"/>
  </r>
  <r>
    <x v="3"/>
    <s v="Convenience stores"/>
    <x v="4"/>
    <s v="Maybelline"/>
    <s v="|31/01/13|"/>
    <n v="588"/>
    <n v="4.45"/>
    <n v="5.28"/>
  </r>
  <r>
    <x v="3"/>
    <s v="Convenience stores"/>
    <x v="4"/>
    <s v="Maybelline"/>
    <s v="|31/01/14|"/>
    <n v="660"/>
    <n v="4.8499999999999996"/>
    <n v="5"/>
  </r>
  <r>
    <x v="3"/>
    <s v="Convenience stores"/>
    <x v="4"/>
    <s v="Maybelline"/>
    <s v="|31/01/15|"/>
    <n v="384"/>
    <n v="4.92"/>
    <n v="5.0999999999999996"/>
  </r>
  <r>
    <x v="3"/>
    <s v="Convenience stores"/>
    <x v="4"/>
    <s v="Maybelline"/>
    <s v="|31/01/16|"/>
    <n v="264"/>
    <n v="4.57"/>
    <n v="5.12"/>
  </r>
  <r>
    <x v="3"/>
    <s v="Convenience stores"/>
    <x v="4"/>
    <s v="Maybelline"/>
    <s v="|31/01/17|"/>
    <n v="420"/>
    <n v="4.5599999999999996"/>
    <n v="5.35"/>
  </r>
  <r>
    <x v="3"/>
    <s v="Convenience stores"/>
    <x v="4"/>
    <s v="Maybelline"/>
    <s v="|31/01/18|"/>
    <n v="600"/>
    <n v="4.03"/>
    <n v="5.28"/>
  </r>
  <r>
    <x v="3"/>
    <s v="Convenience stores"/>
    <x v="4"/>
    <s v="Maybelline"/>
    <s v="|31/01/20|"/>
    <n v="480"/>
    <n v="4.53"/>
    <n v="5"/>
  </r>
  <r>
    <x v="3"/>
    <s v="Convenience stores"/>
    <x v="4"/>
    <s v="Maybelline"/>
    <s v="|31/01/21|"/>
    <n v="672"/>
    <n v="4.3"/>
    <n v="5.19"/>
  </r>
  <r>
    <x v="3"/>
    <s v="Convenience stores"/>
    <x v="4"/>
    <s v="Maybelline"/>
    <s v="|31/01/22|"/>
    <n v="588"/>
    <n v="4.59"/>
    <n v="5.14"/>
  </r>
  <r>
    <x v="3"/>
    <s v="Convenience stores"/>
    <x v="4"/>
    <s v="Maybelline"/>
    <s v="|31/01/23|"/>
    <n v="672"/>
    <n v="4.59"/>
    <n v="5.18"/>
  </r>
  <r>
    <x v="3"/>
    <s v="Convenience stores"/>
    <x v="4"/>
    <s v="Maybelline"/>
    <s v="|31/01/24|"/>
    <n v="636"/>
    <n v="4.13"/>
    <n v="5.28"/>
  </r>
  <r>
    <x v="3"/>
    <s v="Convenience stores"/>
    <x v="4"/>
    <s v="Maybelline"/>
    <s v="|31/01/30|"/>
    <n v="624"/>
    <n v="4.59"/>
    <n v="5.24"/>
  </r>
  <r>
    <x v="3"/>
    <s v="Convenience stores"/>
    <x v="4"/>
    <s v="Maybelline"/>
    <s v="|31/01/31|"/>
    <n v="420"/>
    <n v="4.49"/>
    <n v="5.21"/>
  </r>
  <r>
    <x v="3"/>
    <s v="Convenience stores"/>
    <x v="4"/>
    <s v="Maybelline"/>
    <s v="|31/01/32|"/>
    <n v="600"/>
    <n v="4.79"/>
    <n v="5.17"/>
  </r>
  <r>
    <x v="3"/>
    <s v="Convenience stores"/>
    <x v="4"/>
    <s v="Maybelline"/>
    <s v="|31/01/33|"/>
    <n v="576"/>
    <n v="4.08"/>
    <n v="5"/>
  </r>
  <r>
    <x v="3"/>
    <s v="Convenience stores"/>
    <x v="4"/>
    <s v="Maybelline"/>
    <s v="|31/01/34|"/>
    <n v="408"/>
    <n v="4.0199999999999996"/>
    <n v="5.22"/>
  </r>
  <r>
    <x v="3"/>
    <s v="Convenience stores"/>
    <x v="4"/>
    <s v="Maybelline"/>
    <s v="|31/01/35|"/>
    <n v="372"/>
    <n v="4.91"/>
    <n v="5.1100000000000003"/>
  </r>
  <r>
    <x v="3"/>
    <s v="Convenience stores"/>
    <x v="4"/>
    <s v="Maybelline"/>
    <s v="|31/01/36|"/>
    <n v="672"/>
    <n v="4.0999999999999996"/>
    <n v="5.13"/>
  </r>
  <r>
    <x v="3"/>
    <s v="Convenience stores"/>
    <x v="4"/>
    <s v="Maybelline"/>
    <s v="|31/01/37|"/>
    <n v="288"/>
    <n v="4.18"/>
    <n v="5.15"/>
  </r>
  <r>
    <x v="3"/>
    <s v="Convenience stores"/>
    <x v="4"/>
    <s v="Maybelline"/>
    <s v="|31/01/38|"/>
    <n v="240"/>
    <n v="4.55"/>
    <n v="5.01"/>
  </r>
  <r>
    <x v="3"/>
    <s v="Convenience stores"/>
    <x v="4"/>
    <s v="Maybelline"/>
    <s v="|31/01/39|"/>
    <n v="540"/>
    <n v="4.97"/>
    <n v="5.26"/>
  </r>
  <r>
    <x v="3"/>
    <s v="Convenience stores"/>
    <x v="4"/>
    <s v="Maybelline"/>
    <s v="|31/01/40|"/>
    <n v="276"/>
    <n v="4.55"/>
    <n v="5.39"/>
  </r>
  <r>
    <x v="3"/>
    <s v="Convenience stores"/>
    <x v="4"/>
    <s v="Maybelline"/>
    <s v="|31/01/41|"/>
    <n v="300"/>
    <n v="4.4000000000000004"/>
    <n v="5.12"/>
  </r>
  <r>
    <x v="3"/>
    <s v="Convenience stores"/>
    <x v="4"/>
    <s v="Maybelline"/>
    <s v="|31/01/42|"/>
    <n v="492"/>
    <n v="4.26"/>
    <n v="5.2"/>
  </r>
  <r>
    <x v="3"/>
    <s v="Convenience stores"/>
    <x v="4"/>
    <s v="Maybelline"/>
    <s v="|31/02/01|"/>
    <n v="432"/>
    <n v="4.8899999999999997"/>
    <n v="5.38"/>
  </r>
  <r>
    <x v="3"/>
    <s v="Convenience stores"/>
    <x v="4"/>
    <s v="Maybelline"/>
    <s v="|31/02/02|"/>
    <n v="372"/>
    <n v="4.29"/>
    <n v="5.14"/>
  </r>
  <r>
    <x v="3"/>
    <s v="Convenience stores"/>
    <x v="4"/>
    <s v="Maybelline"/>
    <s v="|31/02/03|"/>
    <n v="336"/>
    <n v="4.57"/>
    <n v="5.38"/>
  </r>
  <r>
    <x v="3"/>
    <s v="Convenience stores"/>
    <x v="4"/>
    <s v="Maybelline"/>
    <s v="|31/02/04|"/>
    <n v="660"/>
    <n v="4.07"/>
    <n v="5.09"/>
  </r>
  <r>
    <x v="3"/>
    <s v="Convenience stores"/>
    <x v="10"/>
    <s v="Bavarian specialties"/>
    <s v="|86/01/01|"/>
    <n v="456"/>
    <n v="4.8099999999999996"/>
    <n v="6.66"/>
  </r>
  <r>
    <x v="3"/>
    <s v="Convenience stores"/>
    <x v="10"/>
    <s v="Bavarian specialties"/>
    <s v="|86/01/02|"/>
    <n v="528"/>
    <n v="4.0599999999999996"/>
    <n v="5.71"/>
  </r>
  <r>
    <x v="3"/>
    <s v="Convenience stores"/>
    <x v="10"/>
    <s v="Bavarian specialties"/>
    <s v="|86/01/03|"/>
    <n v="360"/>
    <n v="4.25"/>
    <n v="5.24"/>
  </r>
  <r>
    <x v="3"/>
    <s v="Convenience stores"/>
    <x v="10"/>
    <s v="Bavarian specialties"/>
    <s v="|86/01/04|"/>
    <n v="516"/>
    <n v="4.75"/>
    <n v="5.94"/>
  </r>
  <r>
    <x v="3"/>
    <s v="Convenience stores"/>
    <x v="10"/>
    <s v="Bavarian specialties"/>
    <s v="|86/01/05|"/>
    <n v="408"/>
    <n v="4.41"/>
    <n v="5.52"/>
  </r>
  <r>
    <x v="3"/>
    <s v="Convenience stores"/>
    <x v="10"/>
    <s v="Bavarian specialties"/>
    <s v="|86/01/06|"/>
    <n v="528"/>
    <n v="3.1"/>
    <n v="6.28"/>
  </r>
  <r>
    <x v="3"/>
    <s v="Convenience stores"/>
    <x v="10"/>
    <s v="Bavarian specialties"/>
    <s v="|86/01/21|"/>
    <n v="432"/>
    <n v="4.5199999999999996"/>
    <n v="5.43"/>
  </r>
  <r>
    <x v="3"/>
    <s v="Convenience stores"/>
    <x v="10"/>
    <s v="Bavarian specialties"/>
    <s v="|86/01/22|"/>
    <n v="444"/>
    <n v="4.17"/>
    <n v="6.11"/>
  </r>
  <r>
    <x v="3"/>
    <s v="Convenience stores"/>
    <x v="10"/>
    <s v="Bavarian specialties"/>
    <s v="|86/01/23|"/>
    <n v="396"/>
    <n v="4.1399999999999997"/>
    <n v="5.03"/>
  </r>
  <r>
    <x v="3"/>
    <s v="Convenience stores"/>
    <x v="10"/>
    <s v="Bavarian specialties"/>
    <s v="|86/01/31|"/>
    <n v="504"/>
    <n v="4.21"/>
    <n v="6.07"/>
  </r>
  <r>
    <x v="3"/>
    <s v="Convenience stores"/>
    <x v="10"/>
    <s v="Bavarian specialties"/>
    <s v="|86/01/32|"/>
    <n v="480"/>
    <n v="4.55"/>
    <n v="5.9"/>
  </r>
  <r>
    <x v="3"/>
    <s v="Convenience stores"/>
    <x v="10"/>
    <s v="Bavarian specialties"/>
    <s v="|86/01/33|"/>
    <n v="504"/>
    <n v="3.13"/>
    <n v="6.71"/>
  </r>
  <r>
    <x v="3"/>
    <s v="Convenience stores"/>
    <x v="10"/>
    <s v="Bavarian specialties"/>
    <s v="|86/01/34|"/>
    <n v="384"/>
    <n v="3.98"/>
    <n v="5.04"/>
  </r>
  <r>
    <x v="3"/>
    <s v="Convenience stores"/>
    <x v="10"/>
    <s v="Bavarian specialties"/>
    <s v="|86/01/35|"/>
    <n v="396"/>
    <n v="4.46"/>
    <n v="6.39"/>
  </r>
  <r>
    <x v="3"/>
    <s v="Convenience stores"/>
    <x v="10"/>
    <s v="Bavarian specialties"/>
    <s v="|86/01/41|"/>
    <n v="528"/>
    <n v="3.52"/>
    <n v="6"/>
  </r>
  <r>
    <x v="3"/>
    <s v="Convenience stores"/>
    <x v="10"/>
    <s v="Bavarian specialties"/>
    <s v="|86/01/42|"/>
    <n v="468"/>
    <n v="4.67"/>
    <n v="6.19"/>
  </r>
  <r>
    <x v="3"/>
    <s v="Convenience stores"/>
    <x v="10"/>
    <s v="Bavarian specialties"/>
    <s v="|86/01/43|"/>
    <n v="504"/>
    <n v="3.44"/>
    <n v="5.22"/>
  </r>
  <r>
    <x v="3"/>
    <s v="Convenience stores"/>
    <x v="10"/>
    <s v="Bavarian specialties"/>
    <s v="|86/01/44|"/>
    <n v="516"/>
    <n v="4.16"/>
    <n v="6.93"/>
  </r>
  <r>
    <x v="3"/>
    <s v="Convenience stores"/>
    <x v="10"/>
    <s v="Bavarian specialties"/>
    <s v="|86/01/45|"/>
    <n v="360"/>
    <n v="3.89"/>
    <n v="5.19"/>
  </r>
  <r>
    <x v="3"/>
    <s v="Convenience stores"/>
    <x v="10"/>
    <s v="Bavarian specialties"/>
    <s v="|86/01/51|"/>
    <n v="456"/>
    <n v="3.07"/>
    <n v="5.24"/>
  </r>
  <r>
    <x v="3"/>
    <s v="Convenience stores"/>
    <x v="10"/>
    <s v="Bavarian specialties"/>
    <s v="|86/01/52|"/>
    <n v="528"/>
    <n v="4.07"/>
    <n v="6.17"/>
  </r>
  <r>
    <x v="3"/>
    <s v="Convenience stores"/>
    <x v="10"/>
    <s v="Bavarian specialties"/>
    <s v="|86/01/53|"/>
    <n v="528"/>
    <n v="3.42"/>
    <n v="6.4"/>
  </r>
  <r>
    <x v="3"/>
    <s v="Convenience stores"/>
    <x v="10"/>
    <s v="Bavarian specialties"/>
    <s v="|86/01/54|"/>
    <n v="372"/>
    <n v="4.13"/>
    <n v="6.74"/>
  </r>
  <r>
    <x v="3"/>
    <s v="Convenience stores"/>
    <x v="10"/>
    <s v="Bavarian specialties"/>
    <s v="|86/01/55|"/>
    <n v="468"/>
    <n v="3.1"/>
    <n v="5.6"/>
  </r>
  <r>
    <x v="3"/>
    <s v="Convenience stores"/>
    <x v="10"/>
    <s v="Bavarian specialties"/>
    <s v="|86/01/56|"/>
    <n v="528"/>
    <n v="4.43"/>
    <n v="5.78"/>
  </r>
  <r>
    <x v="3"/>
    <s v="Convenience stores"/>
    <x v="10"/>
    <s v="Bavarian specialties"/>
    <s v="|86/01/57|"/>
    <n v="420"/>
    <n v="4.1500000000000004"/>
    <n v="6.01"/>
  </r>
  <r>
    <x v="3"/>
    <s v="Convenience stores"/>
    <x v="10"/>
    <s v="Bavarian specialties"/>
    <s v="|86/01/58|"/>
    <n v="372"/>
    <n v="4.4000000000000004"/>
    <n v="5.29"/>
  </r>
  <r>
    <x v="3"/>
    <s v="Convenience stores"/>
    <x v="10"/>
    <s v="Bavarian specialties"/>
    <s v="|86/01/59|"/>
    <n v="420"/>
    <n v="4.16"/>
    <n v="5.61"/>
  </r>
  <r>
    <x v="3"/>
    <s v="Convenience stores"/>
    <x v="10"/>
    <s v="Bavarian specialties"/>
    <s v="|86/01/60|"/>
    <n v="396"/>
    <n v="3.93"/>
    <n v="5.67"/>
  </r>
  <r>
    <x v="3"/>
    <s v="Convenience stores"/>
    <x v="10"/>
    <s v="Bavarian specialties"/>
    <s v="|86/01/70|"/>
    <n v="504"/>
    <n v="4.51"/>
    <n v="6.28"/>
  </r>
  <r>
    <x v="3"/>
    <s v="Convenience stores"/>
    <x v="10"/>
    <s v="Bavarian specialties"/>
    <s v="|86/01/71|"/>
    <n v="432"/>
    <n v="3.81"/>
    <n v="5.32"/>
  </r>
  <r>
    <x v="3"/>
    <s v="Convenience stores"/>
    <x v="10"/>
    <s v="Bavarian specialties"/>
    <s v="|86/01/80|"/>
    <n v="396"/>
    <n v="3.84"/>
    <n v="6.11"/>
  </r>
  <r>
    <x v="3"/>
    <s v="Convenience stores"/>
    <x v="10"/>
    <s v="Bavarian specialties"/>
    <s v="|86/01/81|"/>
    <n v="372"/>
    <n v="4.12"/>
    <n v="6.38"/>
  </r>
  <r>
    <x v="3"/>
    <s v="Convenience stores"/>
    <x v="10"/>
    <s v="Bavarian specialties"/>
    <s v="|86/01/82|"/>
    <n v="396"/>
    <n v="4.46"/>
    <n v="7"/>
  </r>
  <r>
    <x v="3"/>
    <s v="Convenience stores"/>
    <x v="7"/>
    <s v="Freshco"/>
    <s v="|99/05/02|"/>
    <n v="1176"/>
    <n v="2.04"/>
    <n v="3.28"/>
  </r>
  <r>
    <x v="3"/>
    <s v="Convenience stores"/>
    <x v="7"/>
    <s v="Freshco"/>
    <s v="|99/05/05|"/>
    <n v="948"/>
    <n v="2.23"/>
    <n v="3.95"/>
  </r>
  <r>
    <x v="3"/>
    <s v="Convenience stores"/>
    <x v="7"/>
    <s v="Freshco"/>
    <s v="|99/05/09|"/>
    <n v="1104"/>
    <n v="2.66"/>
    <n v="3.55"/>
  </r>
  <r>
    <x v="3"/>
    <s v="Convenience stores"/>
    <x v="7"/>
    <s v="Freshco"/>
    <s v="|99/05/18|"/>
    <n v="768"/>
    <n v="2.5099999999999998"/>
    <n v="3.39"/>
  </r>
  <r>
    <x v="3"/>
    <s v="Convenience stores"/>
    <x v="7"/>
    <s v="Freshco"/>
    <s v="|99/05/10|"/>
    <n v="900"/>
    <n v="2.5499999999999998"/>
    <n v="3.55"/>
  </r>
  <r>
    <x v="3"/>
    <s v="Convenience stores"/>
    <x v="7"/>
    <s v="Freshco"/>
    <s v="|99/05/17|"/>
    <n v="1008"/>
    <n v="2.65"/>
    <n v="3.25"/>
  </r>
  <r>
    <x v="3"/>
    <s v="Convenience stores"/>
    <x v="7"/>
    <s v="Freshco"/>
    <s v="|99/05/20|"/>
    <n v="840"/>
    <n v="2.83"/>
    <n v="3.83"/>
  </r>
  <r>
    <x v="3"/>
    <s v="Convenience stores"/>
    <x v="7"/>
    <s v="Freshco"/>
    <s v="|99/05/21|"/>
    <n v="960"/>
    <n v="2.0499999999999998"/>
    <n v="3.32"/>
  </r>
  <r>
    <x v="3"/>
    <s v="Convenience stores"/>
    <x v="7"/>
    <s v="Freshco"/>
    <s v="|99/05/22|"/>
    <n v="1020"/>
    <n v="2.5099999999999998"/>
    <n v="3.83"/>
  </r>
  <r>
    <x v="3"/>
    <s v="Convenience stores"/>
    <x v="7"/>
    <s v="Freshco"/>
    <s v="|99/05/23|"/>
    <n v="888"/>
    <n v="2.68"/>
    <n v="3.62"/>
  </r>
  <r>
    <x v="3"/>
    <s v="Convenience stores"/>
    <x v="7"/>
    <s v="Freshco"/>
    <s v="|99/05/24|"/>
    <n v="1152"/>
    <n v="2.98"/>
    <n v="3.41"/>
  </r>
  <r>
    <x v="3"/>
    <s v="Convenience stores"/>
    <x v="7"/>
    <s v="Freshco"/>
    <s v="|99/05/26|"/>
    <n v="804"/>
    <n v="2.13"/>
    <n v="3.6"/>
  </r>
  <r>
    <x v="3"/>
    <s v="Convenience stores"/>
    <x v="7"/>
    <s v="Freshco"/>
    <s v="|99/05/27|"/>
    <n v="732"/>
    <n v="2.39"/>
    <n v="3.41"/>
  </r>
  <r>
    <x v="3"/>
    <s v="Convenience stores"/>
    <x v="7"/>
    <s v="Freshco"/>
    <s v="|99/05/28|"/>
    <n v="672"/>
    <n v="2.64"/>
    <n v="3.33"/>
  </r>
  <r>
    <x v="3"/>
    <s v="Convenience stores"/>
    <x v="7"/>
    <s v="Freshco"/>
    <s v="|99/05/30|"/>
    <n v="1104"/>
    <n v="2.0499999999999998"/>
    <n v="3.26"/>
  </r>
  <r>
    <x v="3"/>
    <s v="Convenience stores"/>
    <x v="7"/>
    <s v="Freshco"/>
    <s v="|99/05/31|"/>
    <n v="912"/>
    <n v="2.29"/>
    <n v="3.69"/>
  </r>
  <r>
    <x v="3"/>
    <s v="Convenience stores"/>
    <x v="7"/>
    <s v="Freshco"/>
    <s v="|99/05/43|"/>
    <n v="828"/>
    <n v="2.68"/>
    <n v="3.67"/>
  </r>
  <r>
    <x v="3"/>
    <s v="Convenience stores"/>
    <x v="7"/>
    <s v="Freshco"/>
    <s v="|99/05/44|"/>
    <n v="1008"/>
    <n v="2.72"/>
    <n v="3.75"/>
  </r>
  <r>
    <x v="3"/>
    <s v="Convenience stores"/>
    <x v="7"/>
    <s v="Freshco"/>
    <s v="|99/05/113|"/>
    <n v="936"/>
    <n v="2.23"/>
    <n v="3.9"/>
  </r>
  <r>
    <x v="3"/>
    <s v="Convenience stores"/>
    <x v="7"/>
    <s v="Freshco"/>
    <s v="|99/05/125|"/>
    <n v="636"/>
    <n v="2.82"/>
    <n v="3.77"/>
  </r>
  <r>
    <x v="3"/>
    <s v="Convenience stores"/>
    <x v="7"/>
    <s v="Freshco"/>
    <s v="|99/05/130|"/>
    <n v="1008"/>
    <n v="2.98"/>
    <n v="3.45"/>
  </r>
  <r>
    <x v="3"/>
    <s v="Convenience stores"/>
    <x v="7"/>
    <s v="Freshco"/>
    <s v="|99/05/135|"/>
    <n v="948"/>
    <n v="2.9"/>
    <n v="3.64"/>
  </r>
  <r>
    <x v="3"/>
    <s v="Convenience stores"/>
    <x v="7"/>
    <s v="Freshco"/>
    <s v="|99/05/48|"/>
    <n v="1128"/>
    <n v="2.3199999999999998"/>
    <n v="3.6"/>
  </r>
  <r>
    <x v="3"/>
    <s v="Convenience stores"/>
    <x v="7"/>
    <s v="Freshco"/>
    <s v="|99/05/49|"/>
    <n v="876"/>
    <n v="2.2400000000000002"/>
    <n v="3.69"/>
  </r>
  <r>
    <x v="3"/>
    <s v="Convenience stores"/>
    <x v="7"/>
    <s v="Freshco"/>
    <s v="|99/05/50|"/>
    <n v="648"/>
    <n v="2.97"/>
    <n v="3.95"/>
  </r>
  <r>
    <x v="3"/>
    <s v="Convenience stores"/>
    <x v="7"/>
    <s v="Freshco"/>
    <s v="|99/05/52|"/>
    <n v="756"/>
    <n v="2.58"/>
    <n v="3.99"/>
  </r>
  <r>
    <x v="3"/>
    <s v="Convenience stores"/>
    <x v="7"/>
    <s v="Freshco"/>
    <s v="|99/05/53|"/>
    <n v="1128"/>
    <n v="2.27"/>
    <n v="3.78"/>
  </r>
  <r>
    <x v="3"/>
    <s v="Convenience stores"/>
    <x v="7"/>
    <s v="Freshco"/>
    <s v="|99/05/54|"/>
    <n v="1164"/>
    <n v="2.48"/>
    <n v="3.66"/>
  </r>
  <r>
    <x v="3"/>
    <s v="Convenience stores"/>
    <x v="7"/>
    <s v="Freshco"/>
    <s v="|99/05/57|"/>
    <n v="1056"/>
    <n v="2.69"/>
    <n v="3.39"/>
  </r>
  <r>
    <x v="3"/>
    <s v="Convenience stores"/>
    <x v="7"/>
    <s v="Freshco"/>
    <s v="|99/05/60|"/>
    <n v="912"/>
    <n v="2.06"/>
    <n v="3.34"/>
  </r>
  <r>
    <x v="3"/>
    <s v="Convenience stores"/>
    <x v="7"/>
    <s v="Freshco"/>
    <s v="|99/05/62|"/>
    <n v="744"/>
    <n v="2.29"/>
    <n v="3.56"/>
  </r>
  <r>
    <x v="3"/>
    <s v="Convenience stores"/>
    <x v="7"/>
    <s v="Freshco"/>
    <s v="|99/05/68|"/>
    <n v="636"/>
    <n v="2.0499999999999998"/>
    <n v="3.63"/>
  </r>
  <r>
    <x v="3"/>
    <s v="Convenience stores"/>
    <x v="7"/>
    <s v="Freshco"/>
    <s v="|99/05/70|"/>
    <n v="936"/>
    <n v="2.4"/>
    <n v="3.37"/>
  </r>
  <r>
    <x v="3"/>
    <s v="Convenience stores"/>
    <x v="7"/>
    <s v="Freshco"/>
    <s v="|99/05/93|"/>
    <n v="996"/>
    <n v="2.42"/>
    <n v="3.62"/>
  </r>
  <r>
    <x v="3"/>
    <s v="Convenience stores"/>
    <x v="7"/>
    <s v="Freshco"/>
    <s v="|99/05/94|"/>
    <n v="864"/>
    <n v="2.08"/>
    <n v="3.69"/>
  </r>
  <r>
    <x v="3"/>
    <s v="Convenience stores"/>
    <x v="7"/>
    <s v="Freshco"/>
    <s v="|99/05/98|"/>
    <n v="684"/>
    <n v="2.38"/>
    <n v="3.63"/>
  </r>
  <r>
    <x v="3"/>
    <s v="Convenience stores"/>
    <x v="7"/>
    <s v="Freshco"/>
    <s v="|99/05/106|"/>
    <n v="876"/>
    <n v="2.99"/>
    <n v="3.45"/>
  </r>
  <r>
    <x v="3"/>
    <s v="Convenience stores"/>
    <x v="7"/>
    <s v="Freshco"/>
    <s v="|99/05/107|"/>
    <n v="696"/>
    <n v="2.12"/>
    <n v="4"/>
  </r>
  <r>
    <x v="3"/>
    <s v="Convenience stores"/>
    <x v="7"/>
    <s v="Freshco"/>
    <s v="|99/05/124|"/>
    <n v="756"/>
    <n v="2.5"/>
    <n v="3.28"/>
  </r>
  <r>
    <x v="3"/>
    <s v="Convenience stores"/>
    <x v="7"/>
    <s v="Freshco"/>
    <s v="|99/05/133|"/>
    <n v="1044"/>
    <n v="2.59"/>
    <n v="3.3"/>
  </r>
  <r>
    <x v="3"/>
    <s v="Convenience stores"/>
    <x v="7"/>
    <s v="Freshco"/>
    <s v="|99/05/136|"/>
    <n v="1164"/>
    <n v="2.74"/>
    <n v="3.39"/>
  </r>
  <r>
    <x v="3"/>
    <s v="Convenience stores"/>
    <x v="7"/>
    <s v="Freshco"/>
    <s v="|99/05/137|"/>
    <n v="1044"/>
    <n v="2.42"/>
    <n v="3.82"/>
  </r>
  <r>
    <x v="3"/>
    <s v="Convenience stores"/>
    <x v="7"/>
    <s v="Freshco"/>
    <s v="|99/05/138|"/>
    <n v="1008"/>
    <n v="2.02"/>
    <n v="3.31"/>
  </r>
  <r>
    <x v="3"/>
    <s v="Convenience stores"/>
    <x v="7"/>
    <s v="Freshco"/>
    <s v="|99/05/139|"/>
    <n v="1164"/>
    <n v="2.93"/>
    <n v="3.83"/>
  </r>
  <r>
    <x v="3"/>
    <s v="Convenience stores"/>
    <x v="7"/>
    <s v="Freshco"/>
    <s v="|99/05/140|"/>
    <n v="984"/>
    <n v="2.4900000000000002"/>
    <n v="3.24"/>
  </r>
  <r>
    <x v="3"/>
    <s v="Convenience stores"/>
    <x v="7"/>
    <s v="Freshco"/>
    <s v="|99/05/141|"/>
    <n v="756"/>
    <n v="2.41"/>
    <n v="3.66"/>
  </r>
  <r>
    <x v="3"/>
    <s v="Convenience stores"/>
    <x v="7"/>
    <s v="Freshco"/>
    <s v="|99/05/160|"/>
    <n v="672"/>
    <n v="2.99"/>
    <n v="3.73"/>
  </r>
  <r>
    <x v="3"/>
    <s v="Convenience stores"/>
    <x v="3"/>
    <s v="Ortalli"/>
    <s v="|92/02/02|"/>
    <n v="84"/>
    <n v="1.1399999999999999"/>
    <n v="1.33"/>
  </r>
  <r>
    <x v="3"/>
    <s v="Convenience stores"/>
    <x v="3"/>
    <s v="Ortalli"/>
    <s v="|93/01/01|"/>
    <n v="204"/>
    <n v="1.1399999999999999"/>
    <n v="1.24"/>
  </r>
  <r>
    <x v="3"/>
    <s v="Convenience stores"/>
    <x v="3"/>
    <s v="Ortalli"/>
    <s v="|93/01/02|"/>
    <n v="228"/>
    <n v="1.05"/>
    <n v="1.32"/>
  </r>
  <r>
    <x v="3"/>
    <s v="Convenience stores"/>
    <x v="3"/>
    <s v="Ortalli"/>
    <s v="|93/01/03|"/>
    <n v="180"/>
    <n v="1.01"/>
    <n v="1.35"/>
  </r>
  <r>
    <x v="3"/>
    <s v="Convenience stores"/>
    <x v="3"/>
    <s v="Ortalli"/>
    <s v="|93/01/04|"/>
    <n v="192"/>
    <n v="1.17"/>
    <n v="1.22"/>
  </r>
  <r>
    <x v="3"/>
    <s v="Convenience stores"/>
    <x v="3"/>
    <s v="Ortalli"/>
    <s v="|93/01/05|"/>
    <n v="72"/>
    <n v="1.1200000000000001"/>
    <n v="1.23"/>
  </r>
  <r>
    <x v="3"/>
    <s v="Convenience stores"/>
    <x v="3"/>
    <s v="Ortalli"/>
    <s v="|93/01/06|"/>
    <n v="228"/>
    <n v="1.1399999999999999"/>
    <n v="1.3"/>
  </r>
  <r>
    <x v="3"/>
    <s v="Convenience stores"/>
    <x v="3"/>
    <s v="Ortalli"/>
    <s v="|93/01/07|"/>
    <n v="228"/>
    <n v="1.2"/>
    <n v="1.22"/>
  </r>
  <r>
    <x v="3"/>
    <s v="Convenience stores"/>
    <x v="3"/>
    <s v="Ortalli"/>
    <s v="|93/01/08|"/>
    <n v="120"/>
    <n v="1.19"/>
    <n v="1.35"/>
  </r>
  <r>
    <x v="3"/>
    <s v="Convenience stores"/>
    <x v="3"/>
    <s v="Ortalli"/>
    <s v="|93/01/09|"/>
    <n v="84"/>
    <n v="1.1200000000000001"/>
    <n v="1.36"/>
  </r>
  <r>
    <x v="3"/>
    <s v="Convenience stores"/>
    <x v="3"/>
    <s v="Ortalli"/>
    <s v="|93/01/10|"/>
    <n v="204"/>
    <n v="1.17"/>
    <n v="1.35"/>
  </r>
  <r>
    <x v="3"/>
    <s v="Convenience stores"/>
    <x v="3"/>
    <s v="Ortalli"/>
    <s v="|93/01/11|"/>
    <n v="120"/>
    <n v="1.1599999999999999"/>
    <n v="1.26"/>
  </r>
  <r>
    <x v="3"/>
    <s v="Convenience stores"/>
    <x v="3"/>
    <s v="Ortalli"/>
    <s v="|93/02/01|"/>
    <n v="132"/>
    <n v="1"/>
    <n v="1.34"/>
  </r>
  <r>
    <x v="3"/>
    <s v="Convenience stores"/>
    <x v="10"/>
    <s v="The food world"/>
    <s v="|90/00/01|"/>
    <n v="456"/>
    <n v="3.17"/>
    <n v="5.66"/>
  </r>
  <r>
    <x v="3"/>
    <s v="Convenience stores"/>
    <x v="10"/>
    <s v="The food world"/>
    <s v="|90/00/02|"/>
    <n v="480"/>
    <n v="3.56"/>
    <n v="6.01"/>
  </r>
  <r>
    <x v="3"/>
    <s v="Convenience stores"/>
    <x v="10"/>
    <s v="The food world"/>
    <s v="|90/00/03|"/>
    <n v="480"/>
    <n v="4.54"/>
    <n v="6.66"/>
  </r>
  <r>
    <x v="3"/>
    <s v="Convenience stores"/>
    <x v="10"/>
    <s v="The food world"/>
    <s v="|90/00/04|"/>
    <n v="420"/>
    <n v="4.96"/>
    <n v="5.81"/>
  </r>
  <r>
    <x v="3"/>
    <s v="Convenience stores"/>
    <x v="10"/>
    <s v="The food world"/>
    <s v="|90/00/05|"/>
    <n v="456"/>
    <n v="3.08"/>
    <n v="5.17"/>
  </r>
  <r>
    <x v="3"/>
    <s v="Convenience stores"/>
    <x v="10"/>
    <s v="The food world"/>
    <s v="|90/00/06|"/>
    <n v="492"/>
    <n v="3.56"/>
    <n v="5.42"/>
  </r>
  <r>
    <x v="3"/>
    <s v="Convenience stores"/>
    <x v="10"/>
    <s v="The food world"/>
    <s v="|90/00/07|"/>
    <n v="396"/>
    <n v="4.0999999999999996"/>
    <n v="6.4"/>
  </r>
  <r>
    <x v="3"/>
    <s v="Convenience stores"/>
    <x v="10"/>
    <s v="The food world"/>
    <s v="|90/00/08|"/>
    <n v="444"/>
    <n v="4.53"/>
    <n v="5.48"/>
  </r>
  <r>
    <x v="3"/>
    <s v="Convenience stores"/>
    <x v="10"/>
    <s v="The food world"/>
    <s v="|90/00/09|"/>
    <n v="408"/>
    <n v="4.04"/>
    <n v="6.49"/>
  </r>
  <r>
    <x v="3"/>
    <s v="Convenience stores"/>
    <x v="10"/>
    <s v="The food world"/>
    <s v="|90/00/10|"/>
    <n v="396"/>
    <n v="3.99"/>
    <n v="6.15"/>
  </r>
  <r>
    <x v="3"/>
    <s v="Convenience stores"/>
    <x v="10"/>
    <s v="The food world"/>
    <s v="|90/00/11|"/>
    <n v="372"/>
    <n v="4.24"/>
    <n v="6.29"/>
  </r>
  <r>
    <x v="3"/>
    <s v="Convenience stores"/>
    <x v="10"/>
    <s v="The food world"/>
    <s v="|90/00/12|"/>
    <n v="408"/>
    <n v="4.5599999999999996"/>
    <n v="6.95"/>
  </r>
  <r>
    <x v="3"/>
    <s v="Convenience stores"/>
    <x v="10"/>
    <s v="The food world"/>
    <s v="|90/00/13|"/>
    <n v="372"/>
    <n v="3.56"/>
    <n v="6.44"/>
  </r>
  <r>
    <x v="3"/>
    <s v="Convenience stores"/>
    <x v="10"/>
    <s v="The food world"/>
    <s v="|90/01/01|"/>
    <n v="516"/>
    <n v="3.9"/>
    <n v="6.36"/>
  </r>
  <r>
    <x v="3"/>
    <s v="Convenience stores"/>
    <x v="10"/>
    <s v="The food world"/>
    <s v="|90/01/02|"/>
    <n v="456"/>
    <n v="3.2"/>
    <n v="6.98"/>
  </r>
  <r>
    <x v="3"/>
    <s v="Convenience stores"/>
    <x v="10"/>
    <s v="The food world"/>
    <s v="|90/01/03|"/>
    <n v="528"/>
    <n v="3.54"/>
    <n v="5.36"/>
  </r>
  <r>
    <x v="3"/>
    <s v="Convenience stores"/>
    <x v="10"/>
    <s v="The food world"/>
    <s v="|90/01/04|"/>
    <n v="420"/>
    <n v="4.93"/>
    <n v="5.51"/>
  </r>
  <r>
    <x v="3"/>
    <s v="Convenience stores"/>
    <x v="10"/>
    <s v="The food world"/>
    <s v="|90/01/05|"/>
    <n v="504"/>
    <n v="3.97"/>
    <n v="6.19"/>
  </r>
  <r>
    <x v="3"/>
    <s v="Convenience stores"/>
    <x v="10"/>
    <s v="The food world"/>
    <s v="|90/01/06|"/>
    <n v="528"/>
    <n v="4.62"/>
    <n v="5.86"/>
  </r>
  <r>
    <x v="3"/>
    <s v="Convenience stores"/>
    <x v="10"/>
    <s v="The food world"/>
    <s v="|90/01/07|"/>
    <n v="432"/>
    <n v="3.63"/>
    <n v="5.1100000000000003"/>
  </r>
  <r>
    <x v="3"/>
    <s v="Convenience stores"/>
    <x v="10"/>
    <s v="The food world"/>
    <s v="|90/01/08|"/>
    <n v="492"/>
    <n v="3.39"/>
    <n v="6.04"/>
  </r>
  <r>
    <x v="3"/>
    <s v="Convenience stores"/>
    <x v="10"/>
    <s v="The food world"/>
    <s v="|90/01/09|"/>
    <n v="372"/>
    <n v="4.38"/>
    <n v="6.92"/>
  </r>
  <r>
    <x v="3"/>
    <s v="Convenience stores"/>
    <x v="10"/>
    <s v="The food world"/>
    <s v="|90/01/10|"/>
    <n v="372"/>
    <n v="4.49"/>
    <n v="6.78"/>
  </r>
  <r>
    <x v="3"/>
    <s v="Convenience stores"/>
    <x v="10"/>
    <s v="The food world"/>
    <s v="|90/01/11|"/>
    <n v="444"/>
    <n v="3.97"/>
    <n v="6.14"/>
  </r>
  <r>
    <x v="3"/>
    <s v="Convenience stores"/>
    <x v="10"/>
    <s v="The food world"/>
    <s v="|90/01/12|"/>
    <n v="492"/>
    <n v="3.46"/>
    <n v="5.39"/>
  </r>
  <r>
    <x v="3"/>
    <s v="Convenience stores"/>
    <x v="10"/>
    <s v="The food world"/>
    <s v="|90/01/13|"/>
    <n v="516"/>
    <n v="4.88"/>
    <n v="5.3"/>
  </r>
  <r>
    <x v="3"/>
    <s v="Convenience stores"/>
    <x v="10"/>
    <s v="The food world"/>
    <s v="|90/01/14|"/>
    <n v="432"/>
    <n v="4.37"/>
    <n v="5.5"/>
  </r>
  <r>
    <x v="3"/>
    <s v="Convenience stores"/>
    <x v="10"/>
    <s v="The food world"/>
    <s v="|90/01/15|"/>
    <n v="480"/>
    <n v="4"/>
    <n v="5.72"/>
  </r>
  <r>
    <x v="3"/>
    <s v="Convenience stores"/>
    <x v="10"/>
    <s v="The food world"/>
    <s v="|90/01/16|"/>
    <n v="480"/>
    <n v="4.72"/>
    <n v="5.76"/>
  </r>
  <r>
    <x v="3"/>
    <s v="Convenience stores"/>
    <x v="10"/>
    <s v="The food world"/>
    <s v="|90/01/17|"/>
    <n v="408"/>
    <n v="3.78"/>
    <n v="6.58"/>
  </r>
  <r>
    <x v="3"/>
    <s v="Convenience stores"/>
    <x v="10"/>
    <s v="The food world"/>
    <s v="|90/01/18|"/>
    <n v="372"/>
    <n v="4.71"/>
    <n v="5.04"/>
  </r>
  <r>
    <x v="3"/>
    <s v="Convenience stores"/>
    <x v="10"/>
    <s v="The food world"/>
    <s v="|90/02/01|"/>
    <n v="444"/>
    <n v="4.1399999999999997"/>
    <n v="6.54"/>
  </r>
  <r>
    <x v="3"/>
    <s v="Convenience stores"/>
    <x v="10"/>
    <s v="The food world"/>
    <s v="|90/02/02|"/>
    <n v="432"/>
    <n v="4.2"/>
    <n v="6.54"/>
  </r>
  <r>
    <x v="3"/>
    <s v="Convenience stores"/>
    <x v="10"/>
    <s v="The food world"/>
    <s v="|90/02/03|"/>
    <n v="444"/>
    <n v="3.22"/>
    <n v="5.27"/>
  </r>
  <r>
    <x v="3"/>
    <s v="Convenience stores"/>
    <x v="10"/>
    <s v="The food world"/>
    <s v="|90/02/04|"/>
    <n v="420"/>
    <n v="4.97"/>
    <n v="5.05"/>
  </r>
  <r>
    <x v="3"/>
    <s v="Convenience stores"/>
    <x v="10"/>
    <s v="The food world"/>
    <s v="|90/02/05|"/>
    <n v="504"/>
    <n v="3.58"/>
    <n v="5.63"/>
  </r>
  <r>
    <x v="3"/>
    <s v="Convenience stores"/>
    <x v="1"/>
    <s v="Delta"/>
    <s v="|04/00/01|"/>
    <n v="540"/>
    <n v="6.58"/>
    <n v="7.7866666666666671"/>
  </r>
  <r>
    <x v="3"/>
    <s v="Convenience stores"/>
    <x v="1"/>
    <s v="Delta"/>
    <s v="|04/00/02|"/>
    <n v="492"/>
    <n v="5.3133333333333335"/>
    <n v="7.7866666666666671"/>
  </r>
  <r>
    <x v="3"/>
    <s v="Convenience stores"/>
    <x v="1"/>
    <s v="Delta"/>
    <s v="|04/00/03|"/>
    <n v="552"/>
    <n v="6.3266666666666671"/>
    <n v="7.6333333333333337"/>
  </r>
  <r>
    <x v="3"/>
    <s v="Convenience stores"/>
    <x v="1"/>
    <s v="Delta"/>
    <s v="|04/00/04|"/>
    <n v="480"/>
    <n v="5.8733333333333331"/>
    <n v="7.7133333333333329"/>
  </r>
  <r>
    <x v="3"/>
    <s v="Convenience stores"/>
    <x v="1"/>
    <s v="Delta"/>
    <s v="|04/00/05|"/>
    <n v="576"/>
    <n v="6.4466666666666663"/>
    <n v="7.8466666666666667"/>
  </r>
  <r>
    <x v="3"/>
    <s v="Convenience stores"/>
    <x v="6"/>
    <s v="Delta"/>
    <s v="|04/04/01|"/>
    <n v="1812"/>
    <n v="2.41"/>
    <n v="3.64"/>
  </r>
  <r>
    <x v="3"/>
    <s v="Convenience stores"/>
    <x v="6"/>
    <s v="Delta"/>
    <s v="|04/04/02|"/>
    <n v="1368"/>
    <n v="2.5"/>
    <n v="3.58"/>
  </r>
  <r>
    <x v="3"/>
    <s v="Convenience stores"/>
    <x v="6"/>
    <s v="Delta"/>
    <s v="|04/04/03|"/>
    <n v="1824"/>
    <n v="2.71"/>
    <n v="3.64"/>
  </r>
  <r>
    <x v="3"/>
    <s v="Convenience stores"/>
    <x v="6"/>
    <s v="Delta"/>
    <s v="|04/04/04|"/>
    <n v="2568"/>
    <n v="2.4500000000000002"/>
    <n v="3.96"/>
  </r>
  <r>
    <x v="3"/>
    <s v="Convenience stores"/>
    <x v="6"/>
    <s v="Delta"/>
    <s v="|04/04/05|"/>
    <n v="1344"/>
    <n v="2.68"/>
    <n v="3.87"/>
  </r>
  <r>
    <x v="3"/>
    <s v="Convenience stores"/>
    <x v="6"/>
    <s v="Delta"/>
    <s v="|04/04/06|"/>
    <n v="2436"/>
    <n v="2.33"/>
    <n v="3.51"/>
  </r>
  <r>
    <x v="3"/>
    <s v="Convenience stores"/>
    <x v="6"/>
    <s v="Delta"/>
    <s v="|04/04/07|"/>
    <n v="1788"/>
    <n v="2.5"/>
    <n v="3.68"/>
  </r>
  <r>
    <x v="3"/>
    <s v="Convenience stores"/>
    <x v="6"/>
    <s v="Delta"/>
    <s v="|04/04/08|"/>
    <n v="2520"/>
    <n v="2.4"/>
    <n v="3.6"/>
  </r>
  <r>
    <x v="3"/>
    <s v="Convenience stores"/>
    <x v="6"/>
    <s v="Delta"/>
    <s v="|04/04/09|"/>
    <n v="1320"/>
    <n v="2.83"/>
    <n v="3.69"/>
  </r>
  <r>
    <x v="3"/>
    <s v="Convenience stores"/>
    <x v="6"/>
    <s v="Delta"/>
    <s v="|04/04/10|"/>
    <n v="2676"/>
    <n v="2.57"/>
    <n v="3.52"/>
  </r>
  <r>
    <x v="3"/>
    <s v="Convenience stores"/>
    <x v="6"/>
    <s v="Delta"/>
    <s v="|04/04/11|"/>
    <n v="2268"/>
    <n v="2.97"/>
    <n v="3.9"/>
  </r>
  <r>
    <x v="3"/>
    <s v="Convenience stores"/>
    <x v="6"/>
    <s v="Delta"/>
    <s v="|04/04/12|"/>
    <n v="1200"/>
    <n v="2.5299999999999998"/>
    <n v="3.58"/>
  </r>
  <r>
    <x v="3"/>
    <s v="Convenience stores"/>
    <x v="6"/>
    <s v="Delta"/>
    <s v="|04/04/13|"/>
    <n v="2220"/>
    <n v="2.41"/>
    <n v="3.64"/>
  </r>
  <r>
    <x v="3"/>
    <s v="Convenience stores"/>
    <x v="6"/>
    <s v="Delta"/>
    <s v="|04/04/14|"/>
    <n v="1980"/>
    <n v="2.87"/>
    <n v="3.33"/>
  </r>
  <r>
    <x v="3"/>
    <s v="Convenience stores"/>
    <x v="6"/>
    <s v="Delta"/>
    <s v="|04/04/15|"/>
    <n v="2568"/>
    <n v="2.5"/>
    <n v="3.78"/>
  </r>
  <r>
    <x v="3"/>
    <s v="Convenience stores"/>
    <x v="6"/>
    <s v="Delta"/>
    <s v="|04/04/16|"/>
    <n v="1512"/>
    <n v="2.8"/>
    <n v="3.44"/>
  </r>
  <r>
    <x v="3"/>
    <s v="Convenience stores"/>
    <x v="6"/>
    <s v="Delta"/>
    <s v="|04/04/17|"/>
    <n v="1308"/>
    <n v="2.4300000000000002"/>
    <n v="3.96"/>
  </r>
  <r>
    <x v="3"/>
    <s v="Convenience stores"/>
    <x v="6"/>
    <s v="Delta"/>
    <s v="|04/04/18|"/>
    <n v="1620"/>
    <n v="3"/>
    <n v="3.9"/>
  </r>
  <r>
    <x v="3"/>
    <s v="Convenience stores"/>
    <x v="6"/>
    <s v="Delta"/>
    <s v="|04/04/19|"/>
    <n v="1836"/>
    <n v="2.91"/>
    <n v="3.69"/>
  </r>
  <r>
    <x v="3"/>
    <s v="Convenience stores"/>
    <x v="6"/>
    <s v="Delta"/>
    <s v="|04/04/20|"/>
    <n v="1236"/>
    <n v="2.39"/>
    <n v="3.45"/>
  </r>
  <r>
    <x v="3"/>
    <s v="Convenience stores"/>
    <x v="6"/>
    <s v="Delta"/>
    <s v="|04/04/21|"/>
    <n v="1248"/>
    <n v="2.69"/>
    <n v="3.84"/>
  </r>
  <r>
    <x v="3"/>
    <s v="Convenience stores"/>
    <x v="6"/>
    <s v="Delta"/>
    <s v="|04/04/22|"/>
    <n v="1236"/>
    <n v="2.76"/>
    <n v="3.33"/>
  </r>
  <r>
    <x v="3"/>
    <s v="Convenience stores"/>
    <x v="6"/>
    <s v="Delta"/>
    <s v="|04/04/23|"/>
    <n v="1800"/>
    <n v="2.94"/>
    <n v="3.79"/>
  </r>
  <r>
    <x v="3"/>
    <s v="Convenience stores"/>
    <x v="6"/>
    <s v="Delta"/>
    <s v="|04/04/24|"/>
    <n v="1944"/>
    <n v="2.37"/>
    <n v="3.48"/>
  </r>
  <r>
    <x v="3"/>
    <s v="Convenience stores"/>
    <x v="6"/>
    <s v="Delta"/>
    <s v="|04/04/25|"/>
    <n v="2256"/>
    <n v="2.31"/>
    <n v="3.46"/>
  </r>
  <r>
    <x v="3"/>
    <s v="Convenience stores"/>
    <x v="6"/>
    <s v="Delta"/>
    <s v="|04/04/26|"/>
    <n v="1368"/>
    <n v="2.56"/>
    <n v="3.85"/>
  </r>
  <r>
    <x v="3"/>
    <s v="Convenience stores"/>
    <x v="6"/>
    <s v="Delta"/>
    <s v="|04/04/27|"/>
    <n v="1848"/>
    <n v="2.58"/>
    <n v="3.66"/>
  </r>
  <r>
    <x v="3"/>
    <s v="Convenience stores"/>
    <x v="6"/>
    <s v="Delta"/>
    <s v="|04/04/28|"/>
    <n v="1764"/>
    <n v="2.61"/>
    <n v="3.65"/>
  </r>
  <r>
    <x v="3"/>
    <s v="Convenience stores"/>
    <x v="6"/>
    <s v="Delta"/>
    <s v="|04/04/29|"/>
    <n v="2004"/>
    <n v="2.5499999999999998"/>
    <n v="3.43"/>
  </r>
  <r>
    <x v="3"/>
    <s v="Convenience stores"/>
    <x v="6"/>
    <s v="Delta"/>
    <s v="|04/04/30|"/>
    <n v="1284"/>
    <n v="2.87"/>
    <n v="3.33"/>
  </r>
  <r>
    <x v="3"/>
    <s v="Convenience stores"/>
    <x v="6"/>
    <s v="Delta"/>
    <s v="|04/04/31|"/>
    <n v="2160"/>
    <n v="2.78"/>
    <n v="3.47"/>
  </r>
  <r>
    <x v="3"/>
    <s v="Convenience stores"/>
    <x v="6"/>
    <s v="Delta"/>
    <s v="|04/04/32|"/>
    <n v="2244"/>
    <n v="2.33"/>
    <n v="3.62"/>
  </r>
  <r>
    <x v="3"/>
    <s v="Convenience stores"/>
    <x v="6"/>
    <s v="Delta"/>
    <s v="|04/04/33|"/>
    <n v="1344"/>
    <n v="2.83"/>
    <n v="3.36"/>
  </r>
  <r>
    <x v="3"/>
    <s v="Convenience stores"/>
    <x v="6"/>
    <s v="Delta"/>
    <s v="|04/04/34|"/>
    <n v="1800"/>
    <n v="2.61"/>
    <n v="3.59"/>
  </r>
  <r>
    <x v="3"/>
    <s v="Convenience stores"/>
    <x v="6"/>
    <s v="Delta"/>
    <s v="|04/04/35|"/>
    <n v="1452"/>
    <n v="2.93"/>
    <n v="3.57"/>
  </r>
  <r>
    <x v="3"/>
    <s v="Convenience stores"/>
    <x v="6"/>
    <s v="Delta"/>
    <s v="|04/04/36|"/>
    <n v="1716"/>
    <n v="2.66"/>
    <n v="3.36"/>
  </r>
  <r>
    <x v="3"/>
    <s v="Convenience stores"/>
    <x v="6"/>
    <s v="Delta"/>
    <s v="|04/04/37|"/>
    <n v="2004"/>
    <n v="2.85"/>
    <n v="3.97"/>
  </r>
  <r>
    <x v="3"/>
    <s v="Convenience stores"/>
    <x v="6"/>
    <s v="Delta"/>
    <s v="|04/04/38|"/>
    <n v="2700"/>
    <n v="2.35"/>
    <n v="3.54"/>
  </r>
  <r>
    <x v="3"/>
    <s v="Convenience stores"/>
    <x v="6"/>
    <s v="Delta"/>
    <s v="|04/04/39|"/>
    <n v="2496"/>
    <n v="2.67"/>
    <n v="3.33"/>
  </r>
  <r>
    <x v="3"/>
    <s v="Convenience stores"/>
    <x v="6"/>
    <s v="Delta"/>
    <s v="|04/04/40|"/>
    <n v="2532"/>
    <n v="2.44"/>
    <n v="3.72"/>
  </r>
  <r>
    <x v="3"/>
    <s v="Convenience stores"/>
    <x v="6"/>
    <s v="Delta"/>
    <s v="|04/04/41|"/>
    <n v="2616"/>
    <n v="2.83"/>
    <n v="3.3"/>
  </r>
  <r>
    <x v="3"/>
    <s v="Convenience stores"/>
    <x v="6"/>
    <s v="Delta"/>
    <s v="|04/04/42|"/>
    <n v="1740"/>
    <n v="2.66"/>
    <n v="3.82"/>
  </r>
  <r>
    <x v="3"/>
    <s v="Convenience stores"/>
    <x v="6"/>
    <s v="Delta"/>
    <s v="|04/04/43|"/>
    <n v="1356"/>
    <n v="2.44"/>
    <n v="3.34"/>
  </r>
  <r>
    <x v="3"/>
    <s v="Convenience stores"/>
    <x v="6"/>
    <s v="Delta"/>
    <s v="|04/04/44|"/>
    <n v="1368"/>
    <n v="2.93"/>
    <n v="3.99"/>
  </r>
  <r>
    <x v="3"/>
    <s v="Convenience stores"/>
    <x v="6"/>
    <s v="Delta"/>
    <s v="|04/04/45|"/>
    <n v="1572"/>
    <n v="2.94"/>
    <n v="3.8"/>
  </r>
  <r>
    <x v="3"/>
    <s v="Convenience stores"/>
    <x v="6"/>
    <s v="Delta"/>
    <s v="|04/04/46|"/>
    <n v="2340"/>
    <n v="2.9"/>
    <n v="3.48"/>
  </r>
  <r>
    <x v="3"/>
    <s v="Convenience stores"/>
    <x v="6"/>
    <s v="Delta"/>
    <s v="|04/04/47|"/>
    <n v="2604"/>
    <n v="2.97"/>
    <n v="3.95"/>
  </r>
  <r>
    <x v="3"/>
    <s v="Convenience stores"/>
    <x v="6"/>
    <s v="Delta"/>
    <s v="|04/04/48|"/>
    <n v="2136"/>
    <n v="2.92"/>
    <n v="3.55"/>
  </r>
  <r>
    <x v="3"/>
    <s v="Convenience stores"/>
    <x v="6"/>
    <s v="Delta"/>
    <s v="|04/04/49|"/>
    <n v="2568"/>
    <n v="2.5"/>
    <n v="3.45"/>
  </r>
  <r>
    <x v="3"/>
    <s v="Convenience stores"/>
    <x v="6"/>
    <s v="Delta"/>
    <s v="|04/04/50|"/>
    <n v="2544"/>
    <n v="2.65"/>
    <n v="3.96"/>
  </r>
  <r>
    <x v="3"/>
    <s v="Convenience stores"/>
    <x v="6"/>
    <s v="Delta"/>
    <s v="|04/04/51|"/>
    <n v="1728"/>
    <n v="2.39"/>
    <n v="3.91"/>
  </r>
  <r>
    <x v="3"/>
    <s v="Convenience stores"/>
    <x v="6"/>
    <s v="Delta"/>
    <s v="|04/04/52|"/>
    <n v="1308"/>
    <n v="2.77"/>
    <n v="3.5"/>
  </r>
  <r>
    <x v="3"/>
    <s v="Convenience stores"/>
    <x v="6"/>
    <s v="Delta"/>
    <s v="|04/04/53|"/>
    <n v="2184"/>
    <n v="2.31"/>
    <n v="3.5"/>
  </r>
  <r>
    <x v="3"/>
    <s v="Convenience stores"/>
    <x v="6"/>
    <s v="Delta"/>
    <s v="|04/04/54|"/>
    <n v="1704"/>
    <n v="2.96"/>
    <n v="3.86"/>
  </r>
  <r>
    <x v="3"/>
    <s v="Convenience stores"/>
    <x v="6"/>
    <s v="Delta"/>
    <s v="|04/04/55|"/>
    <n v="2388"/>
    <n v="2.48"/>
    <n v="3.31"/>
  </r>
  <r>
    <x v="3"/>
    <s v="Convenience stores"/>
    <x v="6"/>
    <s v="Delta"/>
    <s v="|04/04/56|"/>
    <n v="1944"/>
    <n v="2.4"/>
    <n v="3.95"/>
  </r>
  <r>
    <x v="3"/>
    <s v="Convenience stores"/>
    <x v="6"/>
    <s v="Delta"/>
    <s v="|04/04/57|"/>
    <n v="2532"/>
    <n v="2.78"/>
    <n v="3.91"/>
  </r>
  <r>
    <x v="3"/>
    <s v="Convenience stores"/>
    <x v="6"/>
    <s v="Delta"/>
    <s v="|04/04/58|"/>
    <n v="1584"/>
    <n v="2.37"/>
    <n v="3.74"/>
  </r>
  <r>
    <x v="3"/>
    <s v="Convenience stores"/>
    <x v="6"/>
    <s v="Delta"/>
    <s v="|04/04/59|"/>
    <n v="2316"/>
    <n v="2.4900000000000002"/>
    <n v="3.68"/>
  </r>
  <r>
    <x v="3"/>
    <s v="Convenience stores"/>
    <x v="6"/>
    <s v="Delta"/>
    <s v="|04/04/60|"/>
    <n v="1200"/>
    <n v="2.73"/>
    <n v="3.3"/>
  </r>
  <r>
    <x v="3"/>
    <s v="Convenience stores"/>
    <x v="6"/>
    <s v="Delta"/>
    <s v="|04/04/61|"/>
    <n v="2160"/>
    <n v="2.75"/>
    <n v="3.63"/>
  </r>
  <r>
    <x v="3"/>
    <s v="Convenience stores"/>
    <x v="6"/>
    <s v="Delta"/>
    <s v="|04/04/62|"/>
    <n v="2052"/>
    <n v="2.5499999999999998"/>
    <n v="3.69"/>
  </r>
  <r>
    <x v="3"/>
    <s v="Convenience stores"/>
    <x v="6"/>
    <s v="Delta"/>
    <s v="|04/04/63|"/>
    <n v="2376"/>
    <n v="2.8"/>
    <n v="3.96"/>
  </r>
  <r>
    <x v="3"/>
    <s v="Convenience stores"/>
    <x v="6"/>
    <s v="Delta"/>
    <s v="|04/04/64|"/>
    <n v="2340"/>
    <n v="2.92"/>
    <n v="3.97"/>
  </r>
  <r>
    <x v="3"/>
    <s v="Convenience stores"/>
    <x v="6"/>
    <s v="Delta"/>
    <s v="|04/04/65|"/>
    <n v="1200"/>
    <n v="2.91"/>
    <n v="3.92"/>
  </r>
  <r>
    <x v="3"/>
    <s v="Convenience stores"/>
    <x v="6"/>
    <s v="Delta"/>
    <s v="|04/04/66|"/>
    <n v="1272"/>
    <n v="2.4500000000000002"/>
    <n v="3.87"/>
  </r>
  <r>
    <x v="3"/>
    <s v="Convenience stores"/>
    <x v="6"/>
    <s v="Delta"/>
    <s v="|04/04/67|"/>
    <n v="2448"/>
    <n v="2.92"/>
    <n v="3.5"/>
  </r>
  <r>
    <x v="3"/>
    <s v="Convenience stores"/>
    <x v="6"/>
    <s v="Delta"/>
    <s v="|04/04/68|"/>
    <n v="2256"/>
    <n v="2.56"/>
    <n v="3.85"/>
  </r>
  <r>
    <x v="3"/>
    <s v="Convenience stores"/>
    <x v="6"/>
    <s v="Delta"/>
    <s v="|04/04/69|"/>
    <n v="2640"/>
    <n v="2.85"/>
    <n v="3.93"/>
  </r>
  <r>
    <x v="3"/>
    <s v="Convenience stores"/>
    <x v="6"/>
    <s v="Delta"/>
    <s v="|04/04/70|"/>
    <n v="2496"/>
    <n v="2.81"/>
    <n v="3.87"/>
  </r>
  <r>
    <x v="3"/>
    <s v="Convenience stores"/>
    <x v="6"/>
    <s v="Delta"/>
    <s v="|04/04/71|"/>
    <n v="2280"/>
    <n v="2.4500000000000002"/>
    <n v="3.58"/>
  </r>
  <r>
    <x v="3"/>
    <s v="Convenience stores"/>
    <x v="6"/>
    <s v="Delta"/>
    <s v="|04/04/72|"/>
    <n v="1368"/>
    <n v="2.71"/>
    <n v="3.85"/>
  </r>
  <r>
    <x v="3"/>
    <s v="Convenience stores"/>
    <x v="6"/>
    <s v="Delta"/>
    <s v="|04/04/73|"/>
    <n v="2052"/>
    <n v="2.65"/>
    <n v="3.36"/>
  </r>
  <r>
    <x v="3"/>
    <s v="Convenience stores"/>
    <x v="6"/>
    <s v="Delta"/>
    <s v="|04/04/74|"/>
    <n v="2160"/>
    <n v="2.36"/>
    <n v="3.95"/>
  </r>
  <r>
    <x v="3"/>
    <s v="Convenience stores"/>
    <x v="6"/>
    <s v="Delta"/>
    <s v="|04/04/75|"/>
    <n v="2196"/>
    <n v="2.71"/>
    <n v="3.32"/>
  </r>
  <r>
    <x v="3"/>
    <s v="Convenience stores"/>
    <x v="6"/>
    <s v="Delta"/>
    <s v="|04/04/76|"/>
    <n v="2160"/>
    <n v="2.64"/>
    <n v="3.76"/>
  </r>
  <r>
    <x v="3"/>
    <s v="Convenience stores"/>
    <x v="6"/>
    <s v="Delta"/>
    <s v="|04/04/77|"/>
    <n v="1884"/>
    <n v="2.34"/>
    <n v="3.51"/>
  </r>
  <r>
    <x v="3"/>
    <s v="Convenience stores"/>
    <x v="6"/>
    <s v="Delta"/>
    <s v="|04/04/78|"/>
    <n v="1776"/>
    <n v="2.7"/>
    <n v="3.63"/>
  </r>
  <r>
    <x v="3"/>
    <s v="Convenience stores"/>
    <x v="6"/>
    <s v="Delta"/>
    <s v="|04/04/79|"/>
    <n v="1752"/>
    <n v="2.69"/>
    <n v="3.56"/>
  </r>
  <r>
    <x v="3"/>
    <s v="Convenience stores"/>
    <x v="6"/>
    <s v="Delta"/>
    <s v="|04/04/80|"/>
    <n v="1476"/>
    <n v="2.68"/>
    <n v="3.91"/>
  </r>
  <r>
    <x v="3"/>
    <s v="Convenience stores"/>
    <x v="6"/>
    <s v="Delta"/>
    <s v="|04/04/81|"/>
    <n v="2148"/>
    <n v="2.85"/>
    <n v="3.77"/>
  </r>
  <r>
    <x v="3"/>
    <s v="Convenience stores"/>
    <x v="6"/>
    <s v="Delta"/>
    <s v="|04/04/82|"/>
    <n v="2604"/>
    <n v="2.4"/>
    <n v="3.41"/>
  </r>
  <r>
    <x v="3"/>
    <s v="Convenience stores"/>
    <x v="6"/>
    <s v="Delta"/>
    <s v="|04/04/83|"/>
    <n v="2340"/>
    <n v="2.65"/>
    <n v="3.56"/>
  </r>
  <r>
    <x v="3"/>
    <s v="Convenience stores"/>
    <x v="6"/>
    <s v="Delta"/>
    <s v="|04/04/84|"/>
    <n v="1464"/>
    <n v="2.41"/>
    <n v="3.46"/>
  </r>
  <r>
    <x v="3"/>
    <s v="Convenience stores"/>
    <x v="6"/>
    <s v="Delta"/>
    <s v="|04/04/85|"/>
    <n v="2760"/>
    <n v="2.38"/>
    <n v="3.33"/>
  </r>
  <r>
    <x v="3"/>
    <s v="Convenience stores"/>
    <x v="6"/>
    <s v="Delta"/>
    <s v="|04/04/86|"/>
    <n v="1596"/>
    <n v="2.99"/>
    <n v="3.79"/>
  </r>
  <r>
    <x v="3"/>
    <s v="Convenience stores"/>
    <x v="6"/>
    <s v="Delta"/>
    <s v="|04/04/87|"/>
    <n v="1332"/>
    <n v="2.41"/>
    <n v="3.35"/>
  </r>
  <r>
    <x v="3"/>
    <s v="Convenience stores"/>
    <x v="6"/>
    <s v="Delta"/>
    <s v="|04/04/88|"/>
    <n v="1992"/>
    <n v="2.83"/>
    <n v="3.53"/>
  </r>
  <r>
    <x v="3"/>
    <s v="Convenience stores"/>
    <x v="6"/>
    <s v="Delta"/>
    <s v="|04/04/89|"/>
    <n v="1908"/>
    <n v="2.82"/>
    <n v="3.7"/>
  </r>
  <r>
    <x v="3"/>
    <s v="Convenience stores"/>
    <x v="6"/>
    <s v="Delta"/>
    <s v="|04/04/90|"/>
    <n v="2436"/>
    <n v="2.77"/>
    <n v="3.59"/>
  </r>
  <r>
    <x v="3"/>
    <s v="Convenience stores"/>
    <x v="6"/>
    <s v="Delta"/>
    <s v="|04/04/91|"/>
    <n v="2244"/>
    <n v="2.84"/>
    <n v="3.4"/>
  </r>
  <r>
    <x v="3"/>
    <s v="Convenience stores"/>
    <x v="6"/>
    <s v="Delta"/>
    <s v="|04/04/92|"/>
    <n v="2652"/>
    <n v="2.91"/>
    <n v="3.47"/>
  </r>
  <r>
    <x v="3"/>
    <s v="Convenience stores"/>
    <x v="6"/>
    <s v="Delta"/>
    <s v="|04/04/93|"/>
    <n v="1632"/>
    <n v="2.7"/>
    <n v="3.86"/>
  </r>
  <r>
    <x v="3"/>
    <s v="Convenience stores"/>
    <x v="6"/>
    <s v="Delta"/>
    <s v="|04/04/94|"/>
    <n v="1320"/>
    <n v="2.54"/>
    <n v="3.61"/>
  </r>
  <r>
    <x v="3"/>
    <s v="Convenience stores"/>
    <x v="6"/>
    <s v="Delta"/>
    <s v="|04/04/95|"/>
    <n v="2484"/>
    <n v="2.31"/>
    <n v="3.49"/>
  </r>
  <r>
    <x v="3"/>
    <s v="Convenience stores"/>
    <x v="6"/>
    <s v="Delta"/>
    <s v="|04/04/96|"/>
    <n v="2316"/>
    <n v="2.67"/>
    <n v="3.52"/>
  </r>
  <r>
    <x v="3"/>
    <s v="Convenience stores"/>
    <x v="6"/>
    <s v="Delta"/>
    <s v="|04/04/97|"/>
    <n v="1416"/>
    <n v="2.89"/>
    <n v="3.58"/>
  </r>
  <r>
    <x v="3"/>
    <s v="Convenience stores"/>
    <x v="6"/>
    <s v="Delta"/>
    <s v="|04/04/98|"/>
    <n v="1860"/>
    <n v="2.91"/>
    <n v="3.44"/>
  </r>
  <r>
    <x v="3"/>
    <s v="Convenience stores"/>
    <x v="6"/>
    <s v="Delta"/>
    <s v="|04/04/99|"/>
    <n v="1596"/>
    <n v="2.56"/>
    <n v="3.42"/>
  </r>
  <r>
    <x v="3"/>
    <s v="Convenience stores"/>
    <x v="6"/>
    <s v="Delta"/>
    <s v="|04/05/01|"/>
    <n v="2304"/>
    <n v="2.37"/>
    <n v="3.57"/>
  </r>
  <r>
    <x v="3"/>
    <s v="Convenience stores"/>
    <x v="6"/>
    <s v="Delta"/>
    <s v="|04/05/02|"/>
    <n v="2076"/>
    <n v="2.5099999999999998"/>
    <n v="3.55"/>
  </r>
  <r>
    <x v="3"/>
    <s v="Convenience stores"/>
    <x v="6"/>
    <s v="Delta"/>
    <s v="|04/05/03|"/>
    <n v="2088"/>
    <n v="2.75"/>
    <n v="3.31"/>
  </r>
  <r>
    <x v="3"/>
    <s v="Convenience stores"/>
    <x v="6"/>
    <s v="Delta"/>
    <s v="|04/05/04|"/>
    <n v="1836"/>
    <n v="2.74"/>
    <n v="3.33"/>
  </r>
  <r>
    <x v="3"/>
    <s v="Convenience stores"/>
    <x v="6"/>
    <s v="Delta"/>
    <s v="|04/05/05|"/>
    <n v="2712"/>
    <n v="2.4300000000000002"/>
    <n v="3.33"/>
  </r>
  <r>
    <x v="3"/>
    <s v="Convenience stores"/>
    <x v="6"/>
    <s v="Delta"/>
    <s v="|04/05/06|"/>
    <n v="2628"/>
    <n v="2.84"/>
    <n v="3.95"/>
  </r>
  <r>
    <x v="3"/>
    <s v="Convenience stores"/>
    <x v="6"/>
    <s v="Delta"/>
    <s v="|04/05/07|"/>
    <n v="1224"/>
    <n v="2.59"/>
    <n v="3.98"/>
  </r>
  <r>
    <x v="3"/>
    <s v="Convenience stores"/>
    <x v="6"/>
    <s v="Delta"/>
    <s v="|04/05/08|"/>
    <n v="1980"/>
    <n v="2.36"/>
    <n v="3.77"/>
  </r>
  <r>
    <x v="3"/>
    <s v="Convenience stores"/>
    <x v="6"/>
    <s v="Delta"/>
    <s v="|04/05/09|"/>
    <n v="1248"/>
    <n v="2.87"/>
    <n v="3.69"/>
  </r>
  <r>
    <x v="3"/>
    <s v="Convenience stores"/>
    <x v="6"/>
    <s v="Delta"/>
    <s v="|04/05/10|"/>
    <n v="2100"/>
    <n v="2.37"/>
    <n v="3.87"/>
  </r>
  <r>
    <x v="3"/>
    <s v="Convenience stores"/>
    <x v="6"/>
    <s v="Delta"/>
    <s v="|04/05/11|"/>
    <n v="1296"/>
    <n v="2.99"/>
    <n v="3.71"/>
  </r>
  <r>
    <x v="3"/>
    <s v="Convenience stores"/>
    <x v="6"/>
    <s v="Delta"/>
    <s v="|04/05/12|"/>
    <n v="1524"/>
    <n v="2.71"/>
    <n v="3.67"/>
  </r>
  <r>
    <x v="3"/>
    <s v="Convenience stores"/>
    <x v="6"/>
    <s v="Delta"/>
    <s v="|04/05/13|"/>
    <n v="1536"/>
    <n v="2.98"/>
    <n v="3.65"/>
  </r>
  <r>
    <x v="3"/>
    <s v="Convenience stores"/>
    <x v="6"/>
    <s v="Delta"/>
    <s v="|04/05/14|"/>
    <n v="1440"/>
    <n v="2.77"/>
    <n v="3.41"/>
  </r>
  <r>
    <x v="3"/>
    <s v="Convenience stores"/>
    <x v="6"/>
    <s v="Delta"/>
    <s v="|04/05/15|"/>
    <n v="2076"/>
    <n v="2.4500000000000002"/>
    <n v="3.75"/>
  </r>
  <r>
    <x v="3"/>
    <s v="Convenience stores"/>
    <x v="6"/>
    <s v="Delta"/>
    <s v="|04/05/16|"/>
    <n v="2160"/>
    <n v="2.94"/>
    <n v="3.85"/>
  </r>
  <r>
    <x v="3"/>
    <s v="Convenience stores"/>
    <x v="6"/>
    <s v="Delta"/>
    <s v="|04/06/01|"/>
    <n v="2484"/>
    <n v="2.96"/>
    <n v="3.65"/>
  </r>
  <r>
    <x v="3"/>
    <s v="Convenience stores"/>
    <x v="6"/>
    <s v="Delta"/>
    <s v="|04/06/02|"/>
    <n v="2676"/>
    <n v="2.82"/>
    <n v="3.82"/>
  </r>
  <r>
    <x v="3"/>
    <s v="Convenience stores"/>
    <x v="6"/>
    <s v="Delta"/>
    <s v="|04/06/04|"/>
    <n v="1728"/>
    <n v="2.75"/>
    <n v="3.99"/>
  </r>
  <r>
    <x v="3"/>
    <s v="Convenience stores"/>
    <x v="6"/>
    <s v="Delta"/>
    <s v="|08/04/03|"/>
    <n v="1764"/>
    <n v="2.92"/>
    <n v="3.52"/>
  </r>
  <r>
    <x v="3"/>
    <s v="Convenience stores"/>
    <x v="6"/>
    <s v="Delta"/>
    <s v="|08/04/04|"/>
    <n v="1260"/>
    <n v="3"/>
    <n v="3.95"/>
  </r>
  <r>
    <x v="3"/>
    <s v="Convenience stores"/>
    <x v="6"/>
    <s v="Delta"/>
    <s v="|08/04/05|"/>
    <n v="1464"/>
    <n v="2.41"/>
    <n v="3.6"/>
  </r>
  <r>
    <x v="3"/>
    <s v="Convenience stores"/>
    <x v="6"/>
    <s v="Delta"/>
    <s v="|08/04/06|"/>
    <n v="2328"/>
    <n v="2.4700000000000002"/>
    <n v="3.97"/>
  </r>
  <r>
    <x v="3"/>
    <s v="Convenience stores"/>
    <x v="6"/>
    <s v="Delta"/>
    <s v="|08/04/08|"/>
    <n v="1968"/>
    <n v="2.4"/>
    <n v="3.32"/>
  </r>
  <r>
    <x v="3"/>
    <s v="Convenience stores"/>
    <x v="6"/>
    <s v="Delta"/>
    <s v="|08/04/10|"/>
    <n v="2580"/>
    <n v="2.44"/>
    <n v="3.72"/>
  </r>
  <r>
    <x v="3"/>
    <s v="Convenience stores"/>
    <x v="6"/>
    <s v="Delta"/>
    <s v="|08/04/20|"/>
    <n v="2580"/>
    <n v="2.99"/>
    <n v="3.93"/>
  </r>
  <r>
    <x v="3"/>
    <s v="Convenience stores"/>
    <x v="6"/>
    <s v="Milky"/>
    <s v="|05/05/05|"/>
    <n v="2340"/>
    <n v="2.81"/>
    <n v="3.78"/>
  </r>
  <r>
    <x v="3"/>
    <s v="Convenience stores"/>
    <x v="5"/>
    <s v="Suchard"/>
    <s v="|99/03/01|"/>
    <n v="876"/>
    <n v="1.22"/>
    <n v="1.76"/>
  </r>
  <r>
    <x v="3"/>
    <s v="Convenience stores"/>
    <x v="5"/>
    <s v="Suchard"/>
    <s v="|99/03/02|"/>
    <n v="1080"/>
    <n v="1.34"/>
    <n v="1.79"/>
  </r>
  <r>
    <x v="3"/>
    <s v="Convenience stores"/>
    <x v="5"/>
    <s v="Suchard"/>
    <s v="|99/03/03|"/>
    <n v="1092"/>
    <n v="1.43"/>
    <n v="1.85"/>
  </r>
  <r>
    <x v="3"/>
    <s v="Convenience stores"/>
    <x v="5"/>
    <s v="Suchard"/>
    <s v="|99/03/04|"/>
    <n v="1104"/>
    <n v="1.4"/>
    <n v="1.81"/>
  </r>
  <r>
    <x v="3"/>
    <s v="Convenience stores"/>
    <x v="5"/>
    <s v="Suchard"/>
    <s v="|99/03/05|"/>
    <n v="1152"/>
    <n v="1.43"/>
    <n v="1.66"/>
  </r>
  <r>
    <x v="3"/>
    <s v="Convenience stores"/>
    <x v="5"/>
    <s v="Suchard"/>
    <s v="|99/03/06|"/>
    <n v="1284"/>
    <n v="1.27"/>
    <n v="1.65"/>
  </r>
  <r>
    <x v="3"/>
    <s v="Convenience stores"/>
    <x v="5"/>
    <s v="Suchard"/>
    <s v="|99/03/07|"/>
    <n v="1020"/>
    <n v="1.1399999999999999"/>
    <n v="1.83"/>
  </r>
  <r>
    <x v="3"/>
    <s v="Convenience stores"/>
    <x v="5"/>
    <s v="Suchard"/>
    <s v="|99/03/08|"/>
    <n v="1248"/>
    <n v="1.44"/>
    <n v="1.77"/>
  </r>
  <r>
    <x v="3"/>
    <s v="Convenience stores"/>
    <x v="5"/>
    <s v="Suchard"/>
    <s v="|99/03/09|"/>
    <n v="756"/>
    <n v="1.4"/>
    <n v="1.79"/>
  </r>
  <r>
    <x v="3"/>
    <s v="Convenience stores"/>
    <x v="5"/>
    <s v="Suchard"/>
    <s v="|128/02/01|"/>
    <n v="1032"/>
    <n v="1.45"/>
    <n v="1.63"/>
  </r>
  <r>
    <x v="3"/>
    <s v="Convenience stores"/>
    <x v="5"/>
    <s v="Suchard"/>
    <s v="|128/02/02|"/>
    <n v="660"/>
    <n v="1.33"/>
    <n v="1.62"/>
  </r>
  <r>
    <x v="3"/>
    <s v="Convenience stores"/>
    <x v="5"/>
    <s v="Suchard"/>
    <s v="|128/03/01|"/>
    <n v="888"/>
    <n v="1.45"/>
    <n v="1.61"/>
  </r>
  <r>
    <x v="3"/>
    <s v="Convenience stores"/>
    <x v="5"/>
    <s v="Suchard"/>
    <s v="|128/03/02|"/>
    <n v="636"/>
    <n v="1.49"/>
    <n v="1.61"/>
  </r>
  <r>
    <x v="3"/>
    <s v="Convenience stores"/>
    <x v="5"/>
    <s v="Suchard"/>
    <s v="|128/03/03|"/>
    <n v="1056"/>
    <n v="1.3"/>
    <n v="1.81"/>
  </r>
  <r>
    <x v="3"/>
    <s v="Convenience stores"/>
    <x v="5"/>
    <s v="Suchard"/>
    <s v="|128/03/04|"/>
    <n v="996"/>
    <n v="1.43"/>
    <n v="1.62"/>
  </r>
  <r>
    <x v="3"/>
    <s v="Convenience stores"/>
    <x v="6"/>
    <s v="Creamy treat"/>
    <s v="|60/01/01|"/>
    <n v="2508"/>
    <n v="2.72"/>
    <n v="3.88"/>
  </r>
  <r>
    <x v="3"/>
    <s v="Convenience stores"/>
    <x v="6"/>
    <s v="Creamy treat"/>
    <s v="|60/01/02|"/>
    <n v="1764"/>
    <n v="2.76"/>
    <n v="3.61"/>
  </r>
  <r>
    <x v="3"/>
    <s v="Convenience stores"/>
    <x v="6"/>
    <s v="Creamy treat"/>
    <s v="|60/01/03|"/>
    <n v="2580"/>
    <n v="2.79"/>
    <n v="3.59"/>
  </r>
  <r>
    <x v="3"/>
    <s v="Convenience stores"/>
    <x v="6"/>
    <s v="Creamy treat"/>
    <s v="|60/01/04|"/>
    <n v="2748"/>
    <n v="2.4700000000000002"/>
    <n v="3.65"/>
  </r>
  <r>
    <x v="3"/>
    <s v="Convenience stores"/>
    <x v="6"/>
    <s v="Creamy treat"/>
    <s v="|60/01/05|"/>
    <n v="1836"/>
    <n v="2.57"/>
    <n v="3.63"/>
  </r>
  <r>
    <x v="3"/>
    <s v="Convenience stores"/>
    <x v="6"/>
    <s v="Creamy treat"/>
    <s v="|60/01/06|"/>
    <n v="1368"/>
    <n v="2.86"/>
    <n v="3.92"/>
  </r>
  <r>
    <x v="3"/>
    <s v="Convenience stores"/>
    <x v="2"/>
    <s v="Kimbo"/>
    <s v="|30/01/01|"/>
    <n v="7860"/>
    <n v="0.56000000000000005"/>
    <n v="1.1299999999999999"/>
  </r>
  <r>
    <x v="3"/>
    <s v="Convenience stores"/>
    <x v="2"/>
    <s v="Kimbo"/>
    <s v="|30/01/02|"/>
    <n v="5544"/>
    <n v="0.59"/>
    <n v="1.0900000000000001"/>
  </r>
  <r>
    <x v="3"/>
    <s v="Convenience stores"/>
    <x v="2"/>
    <s v="Kimbo"/>
    <s v="|30/01/03|"/>
    <n v="7020"/>
    <n v="0.4"/>
    <n v="1.1599999999999999"/>
  </r>
  <r>
    <x v="3"/>
    <s v="Convenience stores"/>
    <x v="2"/>
    <s v="Kimbo"/>
    <s v="|30/01/04|"/>
    <n v="7068"/>
    <n v="1"/>
    <n v="0.91"/>
  </r>
  <r>
    <x v="3"/>
    <s v="Convenience stores"/>
    <x v="2"/>
    <s v="Kimbo"/>
    <s v="|30/01/05|"/>
    <n v="7536"/>
    <n v="0.67"/>
    <n v="1.17"/>
  </r>
  <r>
    <x v="3"/>
    <s v="Convenience stores"/>
    <x v="2"/>
    <s v="Kimbo"/>
    <s v="|30/01/06|"/>
    <n v="6456"/>
    <n v="0.94"/>
    <n v="1.0900000000000001"/>
  </r>
  <r>
    <x v="3"/>
    <s v="Convenience stores"/>
    <x v="2"/>
    <s v="Kimbo"/>
    <s v="|30/01/07|"/>
    <n v="5076"/>
    <n v="0.48"/>
    <n v="0.92"/>
  </r>
  <r>
    <x v="3"/>
    <s v="Convenience stores"/>
    <x v="2"/>
    <s v="Kimbo"/>
    <s v="|30/01/08|"/>
    <n v="6336"/>
    <n v="0.79"/>
    <n v="0.99"/>
  </r>
  <r>
    <x v="3"/>
    <s v="Convenience stores"/>
    <x v="2"/>
    <s v="Kimbo"/>
    <s v="|30/01/09|"/>
    <n v="8100"/>
    <n v="0.73"/>
    <n v="0.99"/>
  </r>
  <r>
    <x v="3"/>
    <s v="Convenience stores"/>
    <x v="2"/>
    <s v="Kimbo"/>
    <s v="|30/01/10|"/>
    <n v="5340"/>
    <n v="1.1599999999999999"/>
    <n v="1.05"/>
  </r>
  <r>
    <x v="3"/>
    <s v="Convenience stores"/>
    <x v="2"/>
    <s v="Kimbo"/>
    <s v="|30/01/11|"/>
    <n v="9420"/>
    <n v="1.08"/>
    <n v="1.07"/>
  </r>
  <r>
    <x v="3"/>
    <s v="Convenience stores"/>
    <x v="2"/>
    <s v="Kimbo"/>
    <s v="|30/01/12|"/>
    <n v="8832"/>
    <n v="0.67"/>
    <n v="1.2"/>
  </r>
  <r>
    <x v="3"/>
    <s v="Convenience stores"/>
    <x v="2"/>
    <s v="Kimbo"/>
    <s v="|30/01/13|"/>
    <n v="5340"/>
    <n v="0.63"/>
    <n v="0.96"/>
  </r>
  <r>
    <x v="3"/>
    <s v="Convenience stores"/>
    <x v="2"/>
    <s v="Kimbo"/>
    <s v="|30/01/14|"/>
    <n v="6144"/>
    <n v="0.64"/>
    <n v="0.96"/>
  </r>
  <r>
    <x v="3"/>
    <s v="Convenience stores"/>
    <x v="2"/>
    <s v="Kimbo"/>
    <s v="|30/01/15|"/>
    <n v="6564"/>
    <n v="1.05"/>
    <n v="1.02"/>
  </r>
  <r>
    <x v="3"/>
    <s v="Convenience stores"/>
    <x v="2"/>
    <s v="Kimbo"/>
    <s v="|30/01/16|"/>
    <n v="6336"/>
    <n v="0.99"/>
    <n v="1.0900000000000001"/>
  </r>
  <r>
    <x v="3"/>
    <s v="Convenience stores"/>
    <x v="2"/>
    <s v="Kimbo"/>
    <s v="|30/01/17|"/>
    <n v="6828"/>
    <n v="0.4"/>
    <n v="0.96"/>
  </r>
  <r>
    <x v="3"/>
    <s v="Convenience stores"/>
    <x v="2"/>
    <s v="Kimbo"/>
    <s v="|30/01/18|"/>
    <n v="5136"/>
    <n v="1.19"/>
    <n v="0.91"/>
  </r>
  <r>
    <x v="3"/>
    <s v="Convenience stores"/>
    <x v="2"/>
    <s v="Kimbo"/>
    <s v="|30/01/19|"/>
    <n v="7056"/>
    <n v="0.4"/>
    <n v="1.06"/>
  </r>
  <r>
    <x v="3"/>
    <s v="Convenience stores"/>
    <x v="11"/>
    <s v="Chocopops"/>
    <s v="|94/00/01|"/>
    <n v="300"/>
    <n v="1.48"/>
    <n v="1.73"/>
  </r>
  <r>
    <x v="3"/>
    <s v="Convenience stores"/>
    <x v="11"/>
    <s v="Chocopops"/>
    <s v="|94/00/02|"/>
    <n v="348"/>
    <n v="1.46"/>
    <n v="1.78"/>
  </r>
  <r>
    <x v="3"/>
    <s v="Convenience stores"/>
    <x v="11"/>
    <s v="Chocopops"/>
    <s v="|94/00/03|"/>
    <n v="636"/>
    <n v="1.59"/>
    <n v="1.78"/>
  </r>
  <r>
    <x v="3"/>
    <s v="Convenience stores"/>
    <x v="11"/>
    <s v="Chocopops"/>
    <s v="|94/00/04|"/>
    <n v="252"/>
    <n v="1.49"/>
    <n v="1.75"/>
  </r>
  <r>
    <x v="3"/>
    <s v="Convenience stores"/>
    <x v="11"/>
    <s v="Chocopops"/>
    <s v="|94/00/05|"/>
    <n v="420"/>
    <n v="1.54"/>
    <n v="1.87"/>
  </r>
  <r>
    <x v="3"/>
    <s v="Convenience stores"/>
    <x v="11"/>
    <s v="Chocopops"/>
    <s v="|94/00/06|"/>
    <n v="456"/>
    <n v="1.4"/>
    <n v="1.83"/>
  </r>
  <r>
    <x v="3"/>
    <s v="Convenience stores"/>
    <x v="11"/>
    <s v="Chocopops"/>
    <s v="|94/00/07|"/>
    <n v="420"/>
    <n v="1.43"/>
    <n v="1.75"/>
  </r>
  <r>
    <x v="3"/>
    <s v="Convenience stores"/>
    <x v="11"/>
    <s v="Chocopops"/>
    <s v="|94/00/08|"/>
    <n v="576"/>
    <n v="1.43"/>
    <n v="1.71"/>
  </r>
  <r>
    <x v="3"/>
    <s v="Convenience stores"/>
    <x v="11"/>
    <s v="Chocopops"/>
    <s v="|94/00/09|"/>
    <n v="288"/>
    <n v="1.55"/>
    <n v="1.9"/>
  </r>
  <r>
    <x v="3"/>
    <s v="Convenience stores"/>
    <x v="11"/>
    <s v="Chocopops"/>
    <s v="|94/00/10|"/>
    <n v="648"/>
    <n v="1.47"/>
    <n v="1.88"/>
  </r>
  <r>
    <x v="3"/>
    <s v="Convenience stores"/>
    <x v="11"/>
    <s v="Chocopops"/>
    <s v="|94/00/11|"/>
    <n v="588"/>
    <n v="1.41"/>
    <n v="1.7"/>
  </r>
  <r>
    <x v="3"/>
    <s v="Convenience stores"/>
    <x v="11"/>
    <s v="Chocopops"/>
    <s v="|94/00/12|"/>
    <n v="492"/>
    <n v="1.41"/>
    <n v="1.75"/>
  </r>
  <r>
    <x v="3"/>
    <s v="Convenience stores"/>
    <x v="11"/>
    <s v="Chocopops"/>
    <s v="|94/00/13|"/>
    <n v="396"/>
    <n v="1.47"/>
    <n v="1.78"/>
  </r>
  <r>
    <x v="3"/>
    <s v="Convenience stores"/>
    <x v="11"/>
    <s v="Chocopops"/>
    <s v="|94/00/14|"/>
    <n v="552"/>
    <n v="1.5"/>
    <n v="1.84"/>
  </r>
  <r>
    <x v="3"/>
    <s v="Convenience stores"/>
    <x v="11"/>
    <s v="Chocopops"/>
    <s v="|94/00/15|"/>
    <n v="708"/>
    <n v="1.51"/>
    <n v="1.85"/>
  </r>
  <r>
    <x v="3"/>
    <s v="Convenience stores"/>
    <x v="11"/>
    <s v="Chocopops"/>
    <s v="|94/00/16|"/>
    <n v="660"/>
    <n v="1.52"/>
    <n v="1.87"/>
  </r>
  <r>
    <x v="3"/>
    <s v="Convenience stores"/>
    <x v="11"/>
    <s v="Chocopops"/>
    <s v="|94/00/17|"/>
    <n v="384"/>
    <n v="1.57"/>
    <n v="1.8"/>
  </r>
  <r>
    <x v="3"/>
    <s v="Convenience stores"/>
    <x v="11"/>
    <s v="Chocopops"/>
    <s v="|94/00/18|"/>
    <n v="396"/>
    <n v="1.52"/>
    <n v="1.86"/>
  </r>
  <r>
    <x v="3"/>
    <s v="Convenience stores"/>
    <x v="11"/>
    <s v="Chocopops"/>
    <s v="|94/00/19|"/>
    <n v="456"/>
    <n v="1.56"/>
    <n v="1.79"/>
  </r>
  <r>
    <x v="3"/>
    <s v="Convenience stores"/>
    <x v="11"/>
    <s v="Chocopops"/>
    <s v="|94/00/20|"/>
    <n v="480"/>
    <n v="1.46"/>
    <n v="1.74"/>
  </r>
  <r>
    <x v="3"/>
    <s v="Convenience stores"/>
    <x v="11"/>
    <s v="Chocopops"/>
    <s v="|94/00/30|"/>
    <n v="648"/>
    <n v="1.54"/>
    <n v="1.8"/>
  </r>
  <r>
    <x v="3"/>
    <s v="Convenience stores"/>
    <x v="11"/>
    <s v="Chocopops"/>
    <s v="|94/00/31|"/>
    <n v="564"/>
    <n v="1.5"/>
    <n v="1.83"/>
  </r>
  <r>
    <x v="3"/>
    <s v="Convenience stores"/>
    <x v="11"/>
    <s v="Chocopops"/>
    <s v="|94/00/32|"/>
    <n v="516"/>
    <n v="1.59"/>
    <n v="1.81"/>
  </r>
  <r>
    <x v="3"/>
    <s v="Convenience stores"/>
    <x v="11"/>
    <s v="Chocopops"/>
    <s v="|94/00/50|"/>
    <n v="420"/>
    <n v="1.54"/>
    <n v="1.75"/>
  </r>
  <r>
    <x v="3"/>
    <s v="Convenience stores"/>
    <x v="11"/>
    <s v="Chocopops"/>
    <s v="|94/00/51|"/>
    <n v="588"/>
    <n v="1.6"/>
    <n v="1.7"/>
  </r>
  <r>
    <x v="3"/>
    <s v="Convenience stores"/>
    <x v="11"/>
    <s v="Chocopops"/>
    <s v="|94/00/52|"/>
    <n v="636"/>
    <n v="1.51"/>
    <n v="1.89"/>
  </r>
  <r>
    <x v="3"/>
    <s v="Convenience stores"/>
    <x v="11"/>
    <s v="Chocopops"/>
    <s v="|94/00/53|"/>
    <n v="384"/>
    <n v="1.52"/>
    <n v="1.8"/>
  </r>
  <r>
    <x v="3"/>
    <s v="Convenience stores"/>
    <x v="11"/>
    <s v="Chocopops"/>
    <s v="|94/01/00|"/>
    <n v="696"/>
    <n v="1.58"/>
    <n v="1.86"/>
  </r>
  <r>
    <x v="3"/>
    <s v="Convenience stores"/>
    <x v="11"/>
    <s v="Chocopops"/>
    <s v="|94/01/01|"/>
    <n v="576"/>
    <n v="1.4"/>
    <n v="1.85"/>
  </r>
  <r>
    <x v="3"/>
    <s v="Convenience stores"/>
    <x v="11"/>
    <s v="Chocopops"/>
    <s v="|94/01/02|"/>
    <n v="720"/>
    <n v="1.49"/>
    <n v="1.76"/>
  </r>
  <r>
    <x v="3"/>
    <s v="Convenience stores"/>
    <x v="11"/>
    <s v="Chocopops"/>
    <s v="|94/01/03|"/>
    <n v="552"/>
    <n v="1.6"/>
    <n v="1.7"/>
  </r>
  <r>
    <x v="3"/>
    <s v="Convenience stores"/>
    <x v="11"/>
    <s v="Chocopops"/>
    <s v="|94/01/04|"/>
    <n v="564"/>
    <n v="1.46"/>
    <n v="1.79"/>
  </r>
  <r>
    <x v="3"/>
    <s v="Convenience stores"/>
    <x v="11"/>
    <s v="Chocopops"/>
    <s v="|94/02/01|"/>
    <n v="660"/>
    <n v="1.55"/>
    <n v="1.72"/>
  </r>
  <r>
    <x v="3"/>
    <s v="Convenience stores"/>
    <x v="11"/>
    <s v="Chocopops"/>
    <s v="|94/02/02|"/>
    <n v="624"/>
    <n v="1.46"/>
    <n v="1.83"/>
  </r>
  <r>
    <x v="3"/>
    <s v="Convenience stores"/>
    <x v="11"/>
    <s v="Chocopops"/>
    <s v="|94/02/04|"/>
    <n v="540"/>
    <n v="1.41"/>
    <n v="1.81"/>
  </r>
  <r>
    <x v="3"/>
    <s v="Convenience stores"/>
    <x v="11"/>
    <s v="Chocopops"/>
    <s v="|94/02/07|"/>
    <n v="696"/>
    <n v="1.47"/>
    <n v="1.8"/>
  </r>
  <r>
    <x v="3"/>
    <s v="Convenience stores"/>
    <x v="11"/>
    <s v="Chocopops"/>
    <s v="|94/03/01|"/>
    <n v="432"/>
    <n v="1.46"/>
    <n v="1.79"/>
  </r>
  <r>
    <x v="3"/>
    <s v="Convenience stores"/>
    <x v="11"/>
    <s v="Chocopops"/>
    <s v="|94/03/02|"/>
    <n v="648"/>
    <n v="1.4"/>
    <n v="1.8"/>
  </r>
  <r>
    <x v="3"/>
    <s v="Convenience stores"/>
    <x v="11"/>
    <s v="Chocopops"/>
    <s v="|94/03/03|"/>
    <n v="528"/>
    <n v="1.45"/>
    <n v="1.71"/>
  </r>
  <r>
    <x v="3"/>
    <s v="Convenience stores"/>
    <x v="11"/>
    <s v="Chocopops"/>
    <s v="|94/03/04|"/>
    <n v="240"/>
    <n v="1.48"/>
    <n v="1.85"/>
  </r>
  <r>
    <x v="3"/>
    <s v="Convenience stores"/>
    <x v="11"/>
    <s v="Chocopops"/>
    <s v="|94/03/05|"/>
    <n v="396"/>
    <n v="1.59"/>
    <n v="1.72"/>
  </r>
  <r>
    <x v="3"/>
    <s v="Convenience stores"/>
    <x v="11"/>
    <s v="Chocopops"/>
    <s v="|94/03/06|"/>
    <n v="408"/>
    <n v="1.55"/>
    <n v="1.78"/>
  </r>
  <r>
    <x v="3"/>
    <s v="Convenience stores"/>
    <x v="11"/>
    <s v="Chocopops"/>
    <s v="|94/03/07|"/>
    <n v="588"/>
    <n v="1.42"/>
    <n v="1.79"/>
  </r>
  <r>
    <x v="3"/>
    <s v="Convenience stores"/>
    <x v="11"/>
    <s v="Chocopops"/>
    <s v="|94/03/08|"/>
    <n v="252"/>
    <n v="1.46"/>
    <n v="1.81"/>
  </r>
  <r>
    <x v="3"/>
    <s v="Convenience stores"/>
    <x v="11"/>
    <s v="Chocopops"/>
    <s v="|94/03/09|"/>
    <n v="600"/>
    <n v="1.41"/>
    <n v="1.84"/>
  </r>
  <r>
    <x v="3"/>
    <s v="Convenience stores"/>
    <x v="11"/>
    <s v="Chocopops"/>
    <s v="|94/03/10|"/>
    <n v="408"/>
    <n v="1.6"/>
    <n v="1.88"/>
  </r>
  <r>
    <x v="3"/>
    <s v="Convenience stores"/>
    <x v="11"/>
    <s v="Chocopops"/>
    <s v="|94/03/11|"/>
    <n v="396"/>
    <n v="1.55"/>
    <n v="1.77"/>
  </r>
  <r>
    <x v="3"/>
    <s v="Convenience stores"/>
    <x v="11"/>
    <s v="Chocopops"/>
    <s v="|94/03/12|"/>
    <n v="636"/>
    <n v="1.57"/>
    <n v="1.77"/>
  </r>
  <r>
    <x v="3"/>
    <s v="Convenience stores"/>
    <x v="11"/>
    <s v="Chocopops"/>
    <s v="|94/03/14|"/>
    <n v="600"/>
    <n v="1.56"/>
    <n v="1.85"/>
  </r>
  <r>
    <x v="3"/>
    <s v="Convenience stores"/>
    <x v="11"/>
    <s v="Chocopops"/>
    <s v="|94/03/15|"/>
    <n v="324"/>
    <n v="1.5"/>
    <n v="1.9"/>
  </r>
  <r>
    <x v="3"/>
    <s v="Convenience stores"/>
    <x v="11"/>
    <s v="Chocopops"/>
    <s v="|94/03/16|"/>
    <n v="264"/>
    <n v="1.57"/>
    <n v="1.85"/>
  </r>
  <r>
    <x v="3"/>
    <s v="Convenience stores"/>
    <x v="11"/>
    <s v="Chocopops"/>
    <s v="|94/03/17|"/>
    <n v="396"/>
    <n v="1.55"/>
    <n v="1.85"/>
  </r>
  <r>
    <x v="3"/>
    <s v="Convenience stores"/>
    <x v="11"/>
    <s v="Chocopops"/>
    <s v="|94/03/18|"/>
    <n v="636"/>
    <n v="1.59"/>
    <n v="1.86"/>
  </r>
  <r>
    <x v="3"/>
    <s v="Convenience stores"/>
    <x v="11"/>
    <s v="Chocopops"/>
    <s v="|94/04/01|"/>
    <n v="660"/>
    <n v="1.51"/>
    <n v="1.81"/>
  </r>
  <r>
    <x v="3"/>
    <s v="Convenience stores"/>
    <x v="11"/>
    <s v="Chocopops"/>
    <s v="|94/04/02|"/>
    <n v="252"/>
    <n v="1.47"/>
    <n v="1.71"/>
  </r>
  <r>
    <x v="3"/>
    <s v="Convenience stores"/>
    <x v="11"/>
    <s v="Chocopops"/>
    <s v="|94/04/03|"/>
    <n v="564"/>
    <n v="1.59"/>
    <n v="1.8"/>
  </r>
  <r>
    <x v="3"/>
    <s v="Convenience stores"/>
    <x v="11"/>
    <s v="Chocopops"/>
    <s v="|94/04/05|"/>
    <n v="348"/>
    <n v="1.54"/>
    <n v="1.73"/>
  </r>
  <r>
    <x v="3"/>
    <s v="Convenience stores"/>
    <x v="11"/>
    <s v="Chocopops"/>
    <s v="|94/04/06|"/>
    <n v="468"/>
    <n v="1.42"/>
    <n v="1.73"/>
  </r>
  <r>
    <x v="3"/>
    <s v="Convenience stores"/>
    <x v="11"/>
    <s v="Chocopops"/>
    <s v="|94/04/07|"/>
    <n v="480"/>
    <n v="1.5"/>
    <n v="1.75"/>
  </r>
  <r>
    <x v="3"/>
    <s v="Convenience stores"/>
    <x v="11"/>
    <s v="Chocopops"/>
    <s v="|94/04/08|"/>
    <n v="660"/>
    <n v="1.51"/>
    <n v="1.89"/>
  </r>
  <r>
    <x v="3"/>
    <s v="Convenience stores"/>
    <x v="11"/>
    <s v="Chocopops"/>
    <s v="|94/04/09|"/>
    <n v="648"/>
    <n v="1.49"/>
    <n v="1.79"/>
  </r>
  <r>
    <x v="3"/>
    <s v="Convenience stores"/>
    <x v="11"/>
    <s v="Chocopops"/>
    <s v="|94/05/01|"/>
    <n v="708"/>
    <n v="1.56"/>
    <n v="1.73"/>
  </r>
  <r>
    <x v="3"/>
    <s v="Convenience stores"/>
    <x v="11"/>
    <s v="Chocopops"/>
    <s v="|94/05/02|"/>
    <n v="324"/>
    <n v="1.44"/>
    <n v="1.89"/>
  </r>
  <r>
    <x v="3"/>
    <s v="Convenience stores"/>
    <x v="11"/>
    <s v="Chocopops"/>
    <s v="|94/05/03|"/>
    <n v="240"/>
    <n v="1.48"/>
    <n v="1.72"/>
  </r>
  <r>
    <x v="3"/>
    <s v="Convenience stores"/>
    <x v="11"/>
    <s v="Chocopops"/>
    <s v="|94/05/08|"/>
    <n v="360"/>
    <n v="1.58"/>
    <n v="1.8"/>
  </r>
  <r>
    <x v="3"/>
    <s v="Convenience stores"/>
    <x v="11"/>
    <s v="Chocopops"/>
    <s v="|94/05/09|"/>
    <n v="660"/>
    <n v="1.47"/>
    <n v="1.84"/>
  </r>
  <r>
    <x v="3"/>
    <s v="Convenience stores"/>
    <x v="11"/>
    <s v="Chocopops"/>
    <s v="|94/05/10|"/>
    <n v="300"/>
    <n v="1.44"/>
    <n v="1.72"/>
  </r>
  <r>
    <x v="3"/>
    <s v="Convenience stores"/>
    <x v="11"/>
    <s v="Chocopops"/>
    <s v="|94/05/11|"/>
    <n v="240"/>
    <n v="1.52"/>
    <n v="1.78"/>
  </r>
  <r>
    <x v="3"/>
    <s v="Convenience stores"/>
    <x v="11"/>
    <s v="Chocopops"/>
    <s v="|94/05/12|"/>
    <n v="672"/>
    <n v="1.5"/>
    <n v="1.73"/>
  </r>
  <r>
    <x v="3"/>
    <s v="Convenience stores"/>
    <x v="11"/>
    <s v="Chocopops"/>
    <s v="|94/05/13|"/>
    <n v="420"/>
    <n v="1.54"/>
    <n v="1.85"/>
  </r>
  <r>
    <x v="3"/>
    <s v="Convenience stores"/>
    <x v="11"/>
    <s v="Chocopops"/>
    <s v="|94/05/14|"/>
    <n v="540"/>
    <n v="1.41"/>
    <n v="1.74"/>
  </r>
  <r>
    <x v="3"/>
    <s v="Convenience stores"/>
    <x v="11"/>
    <s v="Chocopops"/>
    <s v="|94/05/15|"/>
    <n v="516"/>
    <n v="1.57"/>
    <n v="1.9"/>
  </r>
  <r>
    <x v="3"/>
    <s v="Convenience stores"/>
    <x v="11"/>
    <s v="Chocopops"/>
    <s v="|94/05/16|"/>
    <n v="384"/>
    <n v="1.45"/>
    <n v="1.75"/>
  </r>
  <r>
    <x v="3"/>
    <s v="Convenience stores"/>
    <x v="11"/>
    <s v="Chocopops"/>
    <s v="|94/05/17|"/>
    <n v="384"/>
    <n v="1.54"/>
    <n v="1.82"/>
  </r>
  <r>
    <x v="3"/>
    <s v="Convenience stores"/>
    <x v="11"/>
    <s v="Chocopops"/>
    <s v="|94/05/21|"/>
    <n v="504"/>
    <n v="1.55"/>
    <n v="1.89"/>
  </r>
  <r>
    <x v="3"/>
    <s v="Convenience stores"/>
    <x v="11"/>
    <s v="Chocopops"/>
    <s v="|94/06/01|"/>
    <n v="480"/>
    <n v="1.4"/>
    <n v="1.88"/>
  </r>
  <r>
    <x v="3"/>
    <s v="Convenience stores"/>
    <x v="11"/>
    <s v="Chocopops"/>
    <s v="|94/06/02|"/>
    <n v="588"/>
    <n v="1.53"/>
    <n v="1.75"/>
  </r>
  <r>
    <x v="3"/>
    <s v="Convenience stores"/>
    <x v="11"/>
    <s v="Chocopops"/>
    <s v="|94/04/101|"/>
    <n v="324"/>
    <n v="1.48"/>
    <n v="1.89"/>
  </r>
  <r>
    <x v="3"/>
    <s v="Convenience stores"/>
    <x v="11"/>
    <s v="Chocopops"/>
    <s v="|94/04/102|"/>
    <n v="672"/>
    <n v="1.47"/>
    <n v="1.86"/>
  </r>
  <r>
    <x v="3"/>
    <s v="Convenience stores"/>
    <x v="11"/>
    <s v="Chocopops"/>
    <s v="|94/04/103|"/>
    <n v="396"/>
    <n v="1.41"/>
    <n v="1.71"/>
  </r>
  <r>
    <x v="3"/>
    <s v="Convenience stores"/>
    <x v="11"/>
    <s v="Chocopops"/>
    <s v="|94/04/104|"/>
    <n v="672"/>
    <n v="1.41"/>
    <n v="1.77"/>
  </r>
  <r>
    <x v="3"/>
    <s v="Convenience stores"/>
    <x v="11"/>
    <s v="Chocopops"/>
    <s v="|94/04/105|"/>
    <n v="480"/>
    <n v="1.4"/>
    <n v="1.83"/>
  </r>
  <r>
    <x v="3"/>
    <s v="Convenience stores"/>
    <x v="11"/>
    <s v="Chocopops"/>
    <s v="|94/04/106|"/>
    <n v="312"/>
    <n v="1.51"/>
    <n v="1.72"/>
  </r>
  <r>
    <x v="3"/>
    <s v="Convenience stores"/>
    <x v="11"/>
    <s v="Chocopops"/>
    <s v="|94/04/107|"/>
    <n v="480"/>
    <n v="1.42"/>
    <n v="1.81"/>
  </r>
  <r>
    <x v="3"/>
    <s v="Convenience stores"/>
    <x v="11"/>
    <s v="Chocopops"/>
    <s v="|94/04/108|"/>
    <n v="612"/>
    <n v="1.54"/>
    <n v="1.72"/>
  </r>
  <r>
    <x v="3"/>
    <s v="Convenience stores"/>
    <x v="11"/>
    <s v="Chocopops"/>
    <s v="|94/04/109|"/>
    <n v="588"/>
    <n v="1.57"/>
    <n v="1.87"/>
  </r>
  <r>
    <x v="3"/>
    <s v="Convenience stores"/>
    <x v="11"/>
    <s v="Chocopops"/>
    <s v="|94/04/110|"/>
    <n v="456"/>
    <n v="1.59"/>
    <n v="1.86"/>
  </r>
  <r>
    <x v="3"/>
    <s v="Convenience stores"/>
    <x v="11"/>
    <s v="Chocopops"/>
    <s v="|94/04/111|"/>
    <n v="240"/>
    <n v="1.57"/>
    <n v="1.9"/>
  </r>
  <r>
    <x v="3"/>
    <s v="Convenience stores"/>
    <x v="11"/>
    <s v="Chocopops"/>
    <s v="|94/04/114|"/>
    <n v="528"/>
    <n v="1.49"/>
    <n v="1.84"/>
  </r>
  <r>
    <x v="3"/>
    <s v="Convenience stores"/>
    <x v="11"/>
    <s v="Chocopops"/>
    <s v="|94/06/03|"/>
    <n v="504"/>
    <n v="1.42"/>
    <n v="1.84"/>
  </r>
  <r>
    <x v="3"/>
    <s v="Convenience stores"/>
    <x v="5"/>
    <s v="Chocowaff"/>
    <s v="|96/01/01|"/>
    <n v="816"/>
    <n v="1.24"/>
    <n v="1.7"/>
  </r>
  <r>
    <x v="3"/>
    <s v="Convenience stores"/>
    <x v="5"/>
    <s v="Chocowaff"/>
    <s v="|96/01/02|"/>
    <n v="888"/>
    <n v="1.27"/>
    <n v="1.77"/>
  </r>
  <r>
    <x v="3"/>
    <s v="Convenience stores"/>
    <x v="5"/>
    <s v="Chocowaff"/>
    <s v="|96/01/03|"/>
    <n v="1044"/>
    <n v="1.48"/>
    <n v="1.71"/>
  </r>
  <r>
    <x v="3"/>
    <s v="Convenience stores"/>
    <x v="5"/>
    <s v="Chocowaff"/>
    <s v="|96/01/04|"/>
    <n v="708"/>
    <n v="1.32"/>
    <n v="1.62"/>
  </r>
  <r>
    <x v="3"/>
    <s v="Convenience stores"/>
    <x v="5"/>
    <s v="Chocowaff"/>
    <s v="|96/01/05|"/>
    <n v="1284"/>
    <n v="1.1399999999999999"/>
    <n v="1.6"/>
  </r>
  <r>
    <x v="3"/>
    <s v="Convenience stores"/>
    <x v="5"/>
    <s v="Chocowaff"/>
    <s v="|96/01/06a|"/>
    <n v="912"/>
    <n v="1.19"/>
    <n v="1.89"/>
  </r>
  <r>
    <x v="3"/>
    <s v="Convenience stores"/>
    <x v="5"/>
    <s v="Chocowaff"/>
    <s v="|96/01/07a|"/>
    <n v="1104"/>
    <n v="1.42"/>
    <n v="1.73"/>
  </r>
  <r>
    <x v="3"/>
    <s v="Convenience stores"/>
    <x v="5"/>
    <s v="Chocowaff"/>
    <s v="|96/01/08|"/>
    <n v="948"/>
    <n v="1.1499999999999999"/>
    <n v="1.9"/>
  </r>
  <r>
    <x v="3"/>
    <s v="Convenience stores"/>
    <x v="5"/>
    <s v="Chocowaff"/>
    <s v="|96/01/09|"/>
    <n v="1116"/>
    <n v="1.1100000000000001"/>
    <n v="1.67"/>
  </r>
  <r>
    <x v="3"/>
    <s v="Convenience stores"/>
    <x v="5"/>
    <s v="Chocowaff"/>
    <s v="|96/01/10|"/>
    <n v="1248"/>
    <n v="1.48"/>
    <n v="1.8"/>
  </r>
  <r>
    <x v="3"/>
    <s v="Convenience stores"/>
    <x v="5"/>
    <s v="Chocowaff"/>
    <s v="|96/01/11|"/>
    <n v="924"/>
    <n v="1.34"/>
    <n v="1.82"/>
  </r>
  <r>
    <x v="3"/>
    <s v="Convenience stores"/>
    <x v="5"/>
    <s v="Chocowaff"/>
    <s v="|96/01/12|"/>
    <n v="996"/>
    <n v="1.19"/>
    <n v="1.67"/>
  </r>
  <r>
    <x v="3"/>
    <s v="Convenience stores"/>
    <x v="3"/>
    <s v="Dr Pepper"/>
    <s v="|03/01/01|"/>
    <n v="180"/>
    <n v="1.01"/>
    <n v="1.29"/>
  </r>
  <r>
    <x v="3"/>
    <s v="Convenience stores"/>
    <x v="3"/>
    <s v="Dr Pepper"/>
    <s v="|03/01/02|"/>
    <n v="216"/>
    <n v="1.17"/>
    <n v="1.2"/>
  </r>
  <r>
    <x v="3"/>
    <s v="Convenience stores"/>
    <x v="2"/>
    <s v="Pausa Caffe'"/>
    <s v="|12/12/00|"/>
    <n v="5520"/>
    <n v="0.63"/>
    <n v="1.02"/>
  </r>
  <r>
    <x v="3"/>
    <s v="Convenience stores"/>
    <x v="2"/>
    <s v="Pausa Caffe'"/>
    <s v="|12/12/01|"/>
    <n v="5028"/>
    <n v="0.49"/>
    <n v="1.1299999999999999"/>
  </r>
  <r>
    <x v="3"/>
    <s v="Convenience stores"/>
    <x v="2"/>
    <s v="Pausa Caffe'"/>
    <s v="|12/12/02|"/>
    <n v="5724"/>
    <n v="1.1000000000000001"/>
    <n v="1.01"/>
  </r>
  <r>
    <x v="3"/>
    <s v="Convenience stores"/>
    <x v="2"/>
    <s v="Pausa Caffe'"/>
    <s v="|12/12/03|"/>
    <n v="5832"/>
    <n v="1.1599999999999999"/>
    <n v="1.03"/>
  </r>
  <r>
    <x v="3"/>
    <s v="Convenience stores"/>
    <x v="2"/>
    <s v="Pausa Caffe'"/>
    <s v="|12/12/04|"/>
    <n v="8748"/>
    <n v="1.1599999999999999"/>
    <n v="1.1200000000000001"/>
  </r>
  <r>
    <x v="3"/>
    <s v="Convenience stores"/>
    <x v="2"/>
    <s v="Pausa Caffe'"/>
    <s v="|12/12/06|"/>
    <n v="6132"/>
    <n v="0.91"/>
    <n v="1.1200000000000001"/>
  </r>
  <r>
    <x v="3"/>
    <s v="Convenience stores"/>
    <x v="2"/>
    <s v="Pausa Caffe'"/>
    <s v="|12/12/07|"/>
    <n v="5868"/>
    <n v="0.61"/>
    <n v="1.05"/>
  </r>
  <r>
    <x v="3"/>
    <s v="Convenience stores"/>
    <x v="2"/>
    <s v="Pausa Caffe'"/>
    <s v="|12/12/105|"/>
    <n v="6684"/>
    <n v="0.73"/>
    <n v="1.07"/>
  </r>
  <r>
    <x v="3"/>
    <s v="Convenience stores"/>
    <x v="2"/>
    <s v="Pausa Caffe'"/>
    <s v="|12/12/107|"/>
    <n v="5916"/>
    <n v="0.6"/>
    <n v="1.18"/>
  </r>
  <r>
    <x v="3"/>
    <s v="Convenience stores"/>
    <x v="2"/>
    <s v="Pausa Caffe'"/>
    <s v="|12/12/108|"/>
    <n v="8736"/>
    <n v="0.92"/>
    <n v="1.08"/>
  </r>
  <r>
    <x v="3"/>
    <s v="Convenience stores"/>
    <x v="2"/>
    <s v="Pausa Caffe'"/>
    <s v="|12/12/110|"/>
    <n v="7128"/>
    <n v="0.95"/>
    <n v="1.1200000000000001"/>
  </r>
  <r>
    <x v="3"/>
    <s v="Convenience stores"/>
    <x v="2"/>
    <s v="Pausa Caffe'"/>
    <s v="|12/12/112|"/>
    <n v="7260"/>
    <n v="0.52"/>
    <n v="0.98"/>
  </r>
  <r>
    <x v="3"/>
    <s v="Convenience stores"/>
    <x v="2"/>
    <s v="Pausa Caffe'"/>
    <s v="|12/12/113|"/>
    <n v="8016"/>
    <n v="1"/>
    <n v="1.07"/>
  </r>
  <r>
    <x v="3"/>
    <s v="Convenience stores"/>
    <x v="2"/>
    <s v="Pausa Caffe'"/>
    <s v="|12/12/13|"/>
    <n v="6348"/>
    <n v="1.07"/>
    <n v="1.1599999999999999"/>
  </r>
  <r>
    <x v="3"/>
    <s v="Convenience stores"/>
    <x v="2"/>
    <s v="Pausa Caffe'"/>
    <s v="|12/12/18|"/>
    <n v="8508"/>
    <n v="1.2"/>
    <n v="1.18"/>
  </r>
  <r>
    <x v="3"/>
    <s v="Convenience stores"/>
    <x v="2"/>
    <s v="Pausa Caffe'"/>
    <s v="|12/12/27|"/>
    <n v="8976"/>
    <n v="1.04"/>
    <n v="1.1100000000000001"/>
  </r>
  <r>
    <x v="3"/>
    <s v="Convenience stores"/>
    <x v="2"/>
    <s v="Pausa Caffe'"/>
    <s v="|12/12/36|"/>
    <n v="5640"/>
    <n v="1.04"/>
    <n v="1.02"/>
  </r>
  <r>
    <x v="3"/>
    <s v="Convenience stores"/>
    <x v="2"/>
    <s v="Pausa Caffe'"/>
    <s v="|12/12/43|"/>
    <n v="4872"/>
    <n v="0.84"/>
    <n v="1.05"/>
  </r>
  <r>
    <x v="3"/>
    <s v="Convenience stores"/>
    <x v="2"/>
    <s v="Pausa Caffe'"/>
    <s v="|12/12/45|"/>
    <n v="8040"/>
    <n v="1.1499999999999999"/>
    <n v="0.93"/>
  </r>
  <r>
    <x v="3"/>
    <s v="Convenience stores"/>
    <x v="2"/>
    <s v="Pausa Caffe'"/>
    <s v="|12/12/47|"/>
    <n v="8340"/>
    <n v="0.64"/>
    <n v="0.97"/>
  </r>
  <r>
    <x v="3"/>
    <s v="Convenience stores"/>
    <x v="2"/>
    <s v="Pausa Caffe'"/>
    <s v="|12/12/50|"/>
    <n v="7272"/>
    <n v="0.93"/>
    <n v="1.17"/>
  </r>
  <r>
    <x v="3"/>
    <s v="Convenience stores"/>
    <x v="2"/>
    <s v="Pausa Caffe'"/>
    <s v="|12/12/51|"/>
    <n v="6468"/>
    <n v="1.05"/>
    <n v="1.18"/>
  </r>
  <r>
    <x v="3"/>
    <s v="Convenience stores"/>
    <x v="2"/>
    <s v="Pausa Caffe'"/>
    <s v="|12/12/53|"/>
    <n v="9060"/>
    <n v="0.55000000000000004"/>
    <n v="1.06"/>
  </r>
  <r>
    <x v="3"/>
    <s v="Convenience stores"/>
    <x v="2"/>
    <s v="Pausa Caffe'"/>
    <s v="|12/12/586|"/>
    <n v="7416"/>
    <n v="0.97"/>
    <n v="0.93"/>
  </r>
  <r>
    <x v="3"/>
    <s v="Convenience stores"/>
    <x v="2"/>
    <s v="Pausa Caffe'"/>
    <s v="|12/12/62|"/>
    <n v="5568"/>
    <n v="0.78"/>
    <n v="0.98"/>
  </r>
  <r>
    <x v="3"/>
    <s v="Convenience stores"/>
    <x v="2"/>
    <s v="Pausa Caffe'"/>
    <s v="|12/12/67|"/>
    <n v="4992"/>
    <n v="1.1100000000000001"/>
    <n v="0.9"/>
  </r>
  <r>
    <x v="3"/>
    <s v="Convenience stores"/>
    <x v="2"/>
    <s v="Pausa Caffe'"/>
    <s v="|12/12/68|"/>
    <n v="5256"/>
    <n v="0.62"/>
    <n v="0.9"/>
  </r>
  <r>
    <x v="3"/>
    <s v="Convenience stores"/>
    <x v="2"/>
    <s v="Pausa Caffe'"/>
    <s v="|12/12/69|"/>
    <n v="6492"/>
    <n v="0.83"/>
    <n v="1.08"/>
  </r>
  <r>
    <x v="3"/>
    <s v="Convenience stores"/>
    <x v="2"/>
    <s v="Pausa Caffe'"/>
    <s v="|12/12/71|"/>
    <n v="9516"/>
    <n v="0.64"/>
    <n v="1.1100000000000001"/>
  </r>
  <r>
    <x v="3"/>
    <s v="Convenience stores"/>
    <x v="2"/>
    <s v="Pausa Caffe'"/>
    <s v="|12/12/73|"/>
    <n v="5820"/>
    <n v="0.78"/>
    <n v="0.95"/>
  </r>
  <r>
    <x v="3"/>
    <s v="Convenience stores"/>
    <x v="2"/>
    <s v="Pausa Caffe'"/>
    <s v="|12/12/74|"/>
    <n v="5616"/>
    <n v="0.7"/>
    <n v="1"/>
  </r>
  <r>
    <x v="3"/>
    <s v="Convenience stores"/>
    <x v="2"/>
    <s v="Pausa Caffe'"/>
    <s v="|12/12/75|"/>
    <n v="4920"/>
    <n v="0.94"/>
    <n v="1.1399999999999999"/>
  </r>
  <r>
    <x v="3"/>
    <s v="Convenience stores"/>
    <x v="2"/>
    <s v="Pausa Caffe'"/>
    <s v="|12/12/76|"/>
    <n v="7032"/>
    <n v="0.43"/>
    <n v="1.05"/>
  </r>
  <r>
    <x v="3"/>
    <s v="Convenience stores"/>
    <x v="2"/>
    <s v="Pausa Caffe'"/>
    <s v="|12/12/77|"/>
    <n v="8064"/>
    <n v="0.82"/>
    <n v="0.99"/>
  </r>
  <r>
    <x v="3"/>
    <s v="Convenience stores"/>
    <x v="2"/>
    <s v="Pausa Caffe'"/>
    <s v="|12/12/78|"/>
    <n v="5808"/>
    <n v="1.01"/>
    <n v="1.1399999999999999"/>
  </r>
  <r>
    <x v="3"/>
    <s v="Convenience stores"/>
    <x v="2"/>
    <s v="Pausa Caffe'"/>
    <s v="|12/12/81|"/>
    <n v="6600"/>
    <n v="0.51"/>
    <n v="1.1399999999999999"/>
  </r>
  <r>
    <x v="3"/>
    <s v="Convenience stores"/>
    <x v="2"/>
    <s v="Pausa Caffe'"/>
    <s v="|12/12/83|"/>
    <n v="5904"/>
    <n v="0.69"/>
    <n v="1.07"/>
  </r>
  <r>
    <x v="3"/>
    <s v="Convenience stores"/>
    <x v="2"/>
    <s v="Pausa Caffe'"/>
    <s v="|12/12/86|"/>
    <n v="5316"/>
    <n v="0.98"/>
    <n v="0.9"/>
  </r>
  <r>
    <x v="3"/>
    <s v="Convenience stores"/>
    <x v="2"/>
    <s v="Pausa Caffe'"/>
    <s v="|12/12/86B|"/>
    <n v="5940"/>
    <n v="0.93"/>
    <n v="1.2"/>
  </r>
  <r>
    <x v="3"/>
    <s v="Convenience stores"/>
    <x v="2"/>
    <s v="Pausa Caffe'"/>
    <s v="|12/12/876|"/>
    <n v="8484"/>
    <n v="0.75"/>
    <n v="1.1200000000000001"/>
  </r>
  <r>
    <x v="3"/>
    <s v="Convenience stores"/>
    <x v="2"/>
    <s v="Pausa Caffe'"/>
    <s v="|12/12/91|"/>
    <n v="6564"/>
    <n v="0.85"/>
    <n v="1.01"/>
  </r>
  <r>
    <x v="3"/>
    <s v="Convenience stores"/>
    <x v="2"/>
    <s v="Pausa Caffe'"/>
    <s v="|12/12/93|"/>
    <n v="6072"/>
    <n v="0.78"/>
    <n v="1.1299999999999999"/>
  </r>
  <r>
    <x v="3"/>
    <s v="Convenience stores"/>
    <x v="2"/>
    <s v="Pausa Caffe'"/>
    <s v="|12/12/95|"/>
    <n v="7812"/>
    <n v="0.53"/>
    <n v="1.08"/>
  </r>
  <r>
    <x v="3"/>
    <s v="Convenience stores"/>
    <x v="2"/>
    <s v="Pausa Caffe'"/>
    <s v="|12/12/96|"/>
    <n v="9372"/>
    <n v="0.71"/>
    <n v="1.03"/>
  </r>
  <r>
    <x v="3"/>
    <s v="Convenience stores"/>
    <x v="2"/>
    <s v="Pausa Caffe'"/>
    <s v="|12/12/97|"/>
    <n v="6816"/>
    <n v="0.65"/>
    <n v="0.91"/>
  </r>
  <r>
    <x v="3"/>
    <s v="Convenience stores"/>
    <x v="2"/>
    <s v="Pausa Caffe'"/>
    <s v="|12/12/98|"/>
    <n v="7536"/>
    <n v="0.79"/>
    <n v="0.97"/>
  </r>
  <r>
    <x v="3"/>
    <s v="Convenience stores"/>
    <x v="2"/>
    <s v="Pausa Caffe'"/>
    <s v="|12/12/99|"/>
    <n v="6432"/>
    <n v="0.73"/>
    <n v="1.19"/>
  </r>
  <r>
    <x v="3"/>
    <s v="Convenience stores"/>
    <x v="2"/>
    <s v="Pausa Caffe'"/>
    <s v="|12/12/C 86|"/>
    <n v="5556"/>
    <n v="0.9"/>
    <n v="1.04"/>
  </r>
  <r>
    <x v="3"/>
    <s v="Convenience stores"/>
    <x v="2"/>
    <s v="Pausa Caffe'"/>
    <s v="|12/12/S|"/>
    <n v="7632"/>
    <n v="0.49"/>
    <n v="1.05"/>
  </r>
  <r>
    <x v="3"/>
    <s v="Convenience stores"/>
    <x v="2"/>
    <s v="Caffe Italiano"/>
    <s v="|15/15/01|"/>
    <n v="8580"/>
    <n v="1"/>
    <n v="1.17"/>
  </r>
  <r>
    <x v="3"/>
    <s v="Convenience stores"/>
    <x v="2"/>
    <s v="Caffe Italiano"/>
    <s v="|15/15/02|"/>
    <n v="6240"/>
    <n v="0.76"/>
    <n v="1.18"/>
  </r>
  <r>
    <x v="3"/>
    <s v="Convenience stores"/>
    <x v="2"/>
    <s v="Caffe Italiano"/>
    <s v="|15/15/03|"/>
    <n v="7080"/>
    <n v="0.4"/>
    <n v="1.1299999999999999"/>
  </r>
  <r>
    <x v="3"/>
    <s v="Convenience stores"/>
    <x v="2"/>
    <s v="Caffe Italiano"/>
    <s v="|15/15/04|"/>
    <n v="5424"/>
    <n v="0.88"/>
    <n v="1.08"/>
  </r>
  <r>
    <x v="3"/>
    <s v="Convenience stores"/>
    <x v="2"/>
    <s v="Caffe Italiano"/>
    <s v="|15/15/05|"/>
    <n v="4920"/>
    <n v="0.98"/>
    <n v="1.1000000000000001"/>
  </r>
  <r>
    <x v="3"/>
    <s v="Convenience stores"/>
    <x v="2"/>
    <s v="Caffe Italiano"/>
    <s v="|15/15/06|"/>
    <n v="5244"/>
    <n v="0.81"/>
    <n v="1.1100000000000001"/>
  </r>
  <r>
    <x v="3"/>
    <s v="Convenience stores"/>
    <x v="2"/>
    <s v="Caffe Italiano"/>
    <s v="|15/15/07|"/>
    <n v="7980"/>
    <n v="0.56000000000000005"/>
    <n v="0.98"/>
  </r>
  <r>
    <x v="3"/>
    <s v="Convenience stores"/>
    <x v="2"/>
    <s v="Caffe Italiano"/>
    <s v="|15/15/08|"/>
    <n v="6048"/>
    <n v="0.6"/>
    <n v="0.94"/>
  </r>
  <r>
    <x v="3"/>
    <s v="Convenience stores"/>
    <x v="2"/>
    <s v="Caffe Italiano"/>
    <s v="|15/15/09|"/>
    <n v="8856"/>
    <n v="1.1399999999999999"/>
    <n v="0.92"/>
  </r>
  <r>
    <x v="3"/>
    <s v="Convenience stores"/>
    <x v="2"/>
    <s v="Caffe Italiano"/>
    <s v="|15/15/10|"/>
    <n v="8952"/>
    <n v="0.65"/>
    <n v="0.96"/>
  </r>
  <r>
    <x v="3"/>
    <s v="Convenience stores"/>
    <x v="2"/>
    <s v="Caffe Italiano"/>
    <s v="|15/15/11|"/>
    <n v="5112"/>
    <n v="1.02"/>
    <n v="0.95"/>
  </r>
  <r>
    <x v="3"/>
    <s v="Convenience stores"/>
    <x v="2"/>
    <s v="Caffe Italiano"/>
    <s v="|15/15/12|"/>
    <n v="8256"/>
    <n v="1.1599999999999999"/>
    <n v="0.96"/>
  </r>
  <r>
    <x v="3"/>
    <s v="Convenience stores"/>
    <x v="2"/>
    <s v="Caffe Italiano"/>
    <s v="|15/15/13|"/>
    <n v="8436"/>
    <n v="1.1499999999999999"/>
    <n v="1.06"/>
  </r>
  <r>
    <x v="3"/>
    <s v="Convenience stores"/>
    <x v="2"/>
    <s v="Caffe Italiano"/>
    <s v="|15/15/14|"/>
    <n v="5124"/>
    <n v="0.42"/>
    <n v="1.03"/>
  </r>
  <r>
    <x v="3"/>
    <s v="Convenience stores"/>
    <x v="2"/>
    <s v="Caffe Italiano"/>
    <s v="|15/15/15|"/>
    <n v="4968"/>
    <n v="0.6"/>
    <n v="0.94"/>
  </r>
  <r>
    <x v="3"/>
    <s v="Convenience stores"/>
    <x v="2"/>
    <s v="Caffe Italiano"/>
    <s v="|15/15/16|"/>
    <n v="6324"/>
    <n v="0.79"/>
    <n v="0.96"/>
  </r>
  <r>
    <x v="3"/>
    <s v="Convenience stores"/>
    <x v="2"/>
    <s v="Caffe Italiano"/>
    <s v="|15/15/17|"/>
    <n v="8016"/>
    <n v="1"/>
    <n v="1.1200000000000001"/>
  </r>
  <r>
    <x v="3"/>
    <s v="Convenience stores"/>
    <x v="2"/>
    <s v="Caffe Italiano"/>
    <s v="|15/15/18|"/>
    <n v="5580"/>
    <n v="0.85"/>
    <n v="0.99"/>
  </r>
  <r>
    <x v="3"/>
    <s v="Convenience stores"/>
    <x v="2"/>
    <s v="Caffe Italiano"/>
    <s v="|15/15/19|"/>
    <n v="9456"/>
    <n v="0.55000000000000004"/>
    <n v="1.1299999999999999"/>
  </r>
  <r>
    <x v="3"/>
    <s v="Convenience stores"/>
    <x v="2"/>
    <s v="Caffe Italiano"/>
    <s v="|15/15/20|"/>
    <n v="7524"/>
    <n v="0.57999999999999996"/>
    <n v="0.94"/>
  </r>
  <r>
    <x v="3"/>
    <s v="Convenience stores"/>
    <x v="2"/>
    <s v="Caffe Italiano"/>
    <s v="|15/15/21|"/>
    <n v="9360"/>
    <n v="1.2"/>
    <n v="0.98"/>
  </r>
  <r>
    <x v="3"/>
    <s v="Convenience stores"/>
    <x v="2"/>
    <s v="Caffe Italiano"/>
    <s v="|15/15/22|"/>
    <n v="9396"/>
    <n v="1"/>
    <n v="1.06"/>
  </r>
  <r>
    <x v="3"/>
    <s v="Convenience stores"/>
    <x v="2"/>
    <s v="Caffe Italiano"/>
    <s v="|15/15/23|"/>
    <n v="7020"/>
    <n v="1.06"/>
    <n v="1.1299999999999999"/>
  </r>
  <r>
    <x v="3"/>
    <s v="Convenience stores"/>
    <x v="2"/>
    <s v="Caffe Italiano"/>
    <s v="|15/15/24|"/>
    <n v="6720"/>
    <n v="1.04"/>
    <n v="1.1000000000000001"/>
  </r>
  <r>
    <x v="3"/>
    <s v="Convenience stores"/>
    <x v="2"/>
    <s v="Caffe Italiano"/>
    <s v="|15/15/25|"/>
    <n v="9036"/>
    <n v="0.97"/>
    <n v="0.92"/>
  </r>
  <r>
    <x v="3"/>
    <s v="Convenience stores"/>
    <x v="2"/>
    <s v="Caffe Italiano"/>
    <s v="|15/15/26|"/>
    <n v="8112"/>
    <n v="0.79"/>
    <n v="1.05"/>
  </r>
  <r>
    <x v="3"/>
    <s v="Convenience stores"/>
    <x v="2"/>
    <s v="Caffe Italiano"/>
    <s v="|15/15/27|"/>
    <n v="4800"/>
    <n v="1.18"/>
    <n v="0.95"/>
  </r>
  <r>
    <x v="3"/>
    <s v="Convenience stores"/>
    <x v="2"/>
    <s v="Caffe Italiano"/>
    <s v="|15/15/28|"/>
    <n v="6924"/>
    <n v="1.04"/>
    <n v="0.95"/>
  </r>
  <r>
    <x v="3"/>
    <s v="Convenience stores"/>
    <x v="2"/>
    <s v="Caffe Italiano"/>
    <s v="|15/15/29|"/>
    <n v="7668"/>
    <n v="0.85"/>
    <n v="1.19"/>
  </r>
  <r>
    <x v="3"/>
    <s v="Convenience stores"/>
    <x v="2"/>
    <s v="Caffe Italiano"/>
    <s v="|15/15/30|"/>
    <n v="5544"/>
    <n v="0.57999999999999996"/>
    <n v="1.1399999999999999"/>
  </r>
  <r>
    <x v="3"/>
    <s v="Convenience stores"/>
    <x v="2"/>
    <s v="Caffe Italiano"/>
    <s v="|15/15/31|"/>
    <n v="5652"/>
    <n v="0.82"/>
    <n v="0.94"/>
  </r>
  <r>
    <x v="3"/>
    <s v="Convenience stores"/>
    <x v="2"/>
    <s v="Caffe Italiano"/>
    <s v="|15/15/32|"/>
    <n v="7908"/>
    <n v="0.54"/>
    <n v="1.2"/>
  </r>
  <r>
    <x v="3"/>
    <s v="Convenience stores"/>
    <x v="2"/>
    <s v="Caffe Italiano"/>
    <s v="|15/15/40|"/>
    <n v="5076"/>
    <n v="0.79"/>
    <n v="0.96"/>
  </r>
  <r>
    <x v="3"/>
    <s v="Convenience stores"/>
    <x v="2"/>
    <s v="Caffe Italiano"/>
    <s v="|15/15/41|"/>
    <n v="5628"/>
    <n v="0.76"/>
    <n v="1.1499999999999999"/>
  </r>
  <r>
    <x v="3"/>
    <s v="Convenience stores"/>
    <x v="2"/>
    <s v="Caffe Italiano"/>
    <s v="|15/15/42|"/>
    <n v="4896"/>
    <n v="0.69"/>
    <n v="0.92"/>
  </r>
  <r>
    <x v="3"/>
    <s v="Convenience stores"/>
    <x v="2"/>
    <s v="Caffe Italiano"/>
    <s v="|15/15/43|"/>
    <n v="8676"/>
    <n v="0.63"/>
    <n v="1.06"/>
  </r>
  <r>
    <x v="3"/>
    <s v="Convenience stores"/>
    <x v="2"/>
    <s v="Caffe Italiano"/>
    <s v="|15/15/44|"/>
    <n v="8340"/>
    <n v="0.57999999999999996"/>
    <n v="1.06"/>
  </r>
  <r>
    <x v="3"/>
    <s v="Convenience stores"/>
    <x v="2"/>
    <s v="Caffe Italiano"/>
    <s v="|15/15/45|"/>
    <n v="8808"/>
    <n v="0.72"/>
    <n v="0.93"/>
  </r>
  <r>
    <x v="3"/>
    <s v="Convenience stores"/>
    <x v="2"/>
    <s v="Caffe Italiano"/>
    <s v="|15/15/46|"/>
    <n v="6612"/>
    <n v="1.08"/>
    <n v="0.96"/>
  </r>
  <r>
    <x v="3"/>
    <s v="Convenience stores"/>
    <x v="2"/>
    <s v="Caffe Italiano"/>
    <s v="|15/15/47|"/>
    <n v="8928"/>
    <n v="0.63"/>
    <n v="1.1100000000000001"/>
  </r>
  <r>
    <x v="3"/>
    <s v="Convenience stores"/>
    <x v="2"/>
    <s v="Caffe Italiano"/>
    <s v="|15/15/48|"/>
    <n v="8424"/>
    <n v="0.5"/>
    <n v="0.99"/>
  </r>
  <r>
    <x v="3"/>
    <s v="Convenience stores"/>
    <x v="2"/>
    <s v="Caffe Italiano"/>
    <s v="|15/15/49|"/>
    <n v="7752"/>
    <n v="0.41"/>
    <n v="1.06"/>
  </r>
  <r>
    <x v="3"/>
    <s v="Convenience stores"/>
    <x v="2"/>
    <s v="Caffe Italiano"/>
    <s v="|15/15/60|"/>
    <n v="7524"/>
    <n v="0.52"/>
    <n v="1.08"/>
  </r>
  <r>
    <x v="3"/>
    <s v="Convenience stores"/>
    <x v="2"/>
    <s v="Caffe Italiano"/>
    <s v="|15/15/61|"/>
    <n v="7644"/>
    <n v="0.86"/>
    <n v="0.93"/>
  </r>
  <r>
    <x v="3"/>
    <s v="Convenience stores"/>
    <x v="2"/>
    <s v="Caffe Italiano"/>
    <s v="|15/15/62|"/>
    <n v="7224"/>
    <n v="1.04"/>
    <n v="1.06"/>
  </r>
  <r>
    <x v="3"/>
    <s v="Convenience stores"/>
    <x v="2"/>
    <s v="Caffe Italiano"/>
    <s v="|15/15/63|"/>
    <n v="6228"/>
    <n v="1"/>
    <n v="1.06"/>
  </r>
  <r>
    <x v="3"/>
    <s v="Convenience stores"/>
    <x v="2"/>
    <s v="Caffe Italiano"/>
    <s v="|15/15/64|"/>
    <n v="8256"/>
    <n v="0.83"/>
    <n v="1.08"/>
  </r>
  <r>
    <x v="3"/>
    <s v="Convenience stores"/>
    <x v="2"/>
    <s v="Caffe Italiano"/>
    <s v="|15/15/65|"/>
    <n v="8136"/>
    <n v="1.1499999999999999"/>
    <n v="0.93"/>
  </r>
  <r>
    <x v="3"/>
    <s v="Convenience stores"/>
    <x v="2"/>
    <s v="Caffe Italiano"/>
    <s v="|15/15/66|"/>
    <n v="8556"/>
    <n v="0.67"/>
    <n v="0.95"/>
  </r>
  <r>
    <x v="3"/>
    <s v="Convenience stores"/>
    <x v="2"/>
    <s v="Caffe Italiano"/>
    <s v="|15/15/67|"/>
    <n v="6924"/>
    <n v="1.1000000000000001"/>
    <n v="1.04"/>
  </r>
  <r>
    <x v="3"/>
    <s v="Convenience stores"/>
    <x v="2"/>
    <s v="Caffe Italiano"/>
    <s v="|15/15/69|"/>
    <n v="8112"/>
    <n v="0.6"/>
    <n v="1.03"/>
  </r>
  <r>
    <x v="3"/>
    <s v="Convenience stores"/>
    <x v="2"/>
    <s v="Caffe Italiano"/>
    <s v="|15/16/01|"/>
    <n v="6792"/>
    <n v="0.64"/>
    <n v="0.98"/>
  </r>
  <r>
    <x v="3"/>
    <s v="Convenience stores"/>
    <x v="2"/>
    <s v="Caffe Italiano"/>
    <s v="|15/16/02|"/>
    <n v="6072"/>
    <n v="0.66"/>
    <n v="0.95"/>
  </r>
  <r>
    <x v="3"/>
    <s v="Convenience stores"/>
    <x v="2"/>
    <s v="Caffe Italiano"/>
    <s v="|15/16/03|"/>
    <n v="7056"/>
    <n v="0.7"/>
    <n v="0.9"/>
  </r>
  <r>
    <x v="3"/>
    <s v="Convenience stores"/>
    <x v="2"/>
    <s v="Caffe Italiano"/>
    <s v="|15/16/04|"/>
    <n v="5256"/>
    <n v="1.2"/>
    <n v="1.1100000000000001"/>
  </r>
  <r>
    <x v="3"/>
    <s v="Convenience stores"/>
    <x v="2"/>
    <s v="Caffe Italiano"/>
    <s v="|15/16/05|"/>
    <n v="7716"/>
    <n v="1.05"/>
    <n v="1.17"/>
  </r>
  <r>
    <x v="3"/>
    <s v="Convenience stores"/>
    <x v="2"/>
    <s v="Caffe Italiano"/>
    <s v="|15/16/06|"/>
    <n v="8556"/>
    <n v="0.64"/>
    <n v="0.92"/>
  </r>
  <r>
    <x v="3"/>
    <s v="Convenience stores"/>
    <x v="2"/>
    <s v="Caffe Italiano"/>
    <s v="|15/16/07|"/>
    <n v="7200"/>
    <n v="0.81"/>
    <n v="1.02"/>
  </r>
  <r>
    <x v="3"/>
    <s v="Convenience stores"/>
    <x v="2"/>
    <s v="Caffe Italiano"/>
    <s v="|15/16/08|"/>
    <n v="5724"/>
    <n v="1.08"/>
    <n v="1.1200000000000001"/>
  </r>
  <r>
    <x v="3"/>
    <s v="Convenience stores"/>
    <x v="2"/>
    <s v="Caffe Italiano"/>
    <s v="|15/16/09|"/>
    <n v="7908"/>
    <n v="0.46"/>
    <n v="0.94"/>
  </r>
  <r>
    <x v="3"/>
    <s v="Convenience stores"/>
    <x v="2"/>
    <s v="Caffe Italiano"/>
    <s v="|15/16/09a|"/>
    <n v="7452"/>
    <n v="0.73"/>
    <n v="0.94"/>
  </r>
  <r>
    <x v="3"/>
    <s v="Convenience stores"/>
    <x v="2"/>
    <s v="Caffe Italiano"/>
    <s v="|15/16/10|"/>
    <n v="7452"/>
    <n v="0.82"/>
    <n v="1.1200000000000001"/>
  </r>
  <r>
    <x v="3"/>
    <s v="Convenience stores"/>
    <x v="2"/>
    <s v="Caffe Italiano"/>
    <s v="|15/16/11|"/>
    <n v="9300"/>
    <n v="1.17"/>
    <n v="0.96"/>
  </r>
  <r>
    <x v="3"/>
    <s v="Convenience stores"/>
    <x v="5"/>
    <s v="Dole"/>
    <s v="|17/01/01|"/>
    <n v="684"/>
    <n v="1.5"/>
    <n v="1.62"/>
  </r>
  <r>
    <x v="3"/>
    <s v="Convenience stores"/>
    <x v="5"/>
    <s v="Dole"/>
    <s v="|17/01/02|"/>
    <n v="660"/>
    <n v="1.5"/>
    <n v="1.73"/>
  </r>
  <r>
    <x v="3"/>
    <s v="Convenience stores"/>
    <x v="5"/>
    <s v="Dole"/>
    <s v="|17/01/03|"/>
    <n v="636"/>
    <n v="1.47"/>
    <n v="1.78"/>
  </r>
  <r>
    <x v="3"/>
    <s v="Convenience stores"/>
    <x v="5"/>
    <s v="Dole"/>
    <s v="|17/01/04|"/>
    <n v="1176"/>
    <n v="1.45"/>
    <n v="1.67"/>
  </r>
  <r>
    <x v="3"/>
    <s v="Convenience stores"/>
    <x v="5"/>
    <s v="Dole"/>
    <s v="|17/01/05|"/>
    <n v="648"/>
    <n v="1.39"/>
    <n v="1.77"/>
  </r>
  <r>
    <x v="3"/>
    <s v="Convenience stores"/>
    <x v="5"/>
    <s v="Dole"/>
    <s v="|17/01/06|"/>
    <n v="1068"/>
    <n v="1.43"/>
    <n v="1.82"/>
  </r>
  <r>
    <x v="3"/>
    <s v="Convenience stores"/>
    <x v="5"/>
    <s v="Dole"/>
    <s v="|17/01/07|"/>
    <n v="1164"/>
    <n v="1.1100000000000001"/>
    <n v="1.67"/>
  </r>
  <r>
    <x v="3"/>
    <s v="Convenience stores"/>
    <x v="5"/>
    <s v="Dole"/>
    <s v="|17/01/08|"/>
    <n v="912"/>
    <n v="1.19"/>
    <n v="1.8"/>
  </r>
  <r>
    <x v="3"/>
    <s v="Convenience stores"/>
    <x v="5"/>
    <s v="Dole"/>
    <s v="|17/01/09|"/>
    <n v="1056"/>
    <n v="1.1000000000000001"/>
    <n v="1.61"/>
  </r>
  <r>
    <x v="3"/>
    <s v="Convenience stores"/>
    <x v="5"/>
    <s v="Dole"/>
    <s v="|17/01/10|"/>
    <n v="624"/>
    <n v="1.27"/>
    <n v="1.89"/>
  </r>
  <r>
    <x v="3"/>
    <s v="Convenience stores"/>
    <x v="5"/>
    <s v="Dole"/>
    <s v="|17/01/11|"/>
    <n v="792"/>
    <n v="1.21"/>
    <n v="1.85"/>
  </r>
  <r>
    <x v="3"/>
    <s v="Convenience stores"/>
    <x v="5"/>
    <s v="Dole"/>
    <s v="|17/01/13|"/>
    <n v="1164"/>
    <n v="1.19"/>
    <n v="1.74"/>
  </r>
  <r>
    <x v="3"/>
    <s v="Convenience stores"/>
    <x v="5"/>
    <s v="Dole"/>
    <s v="|17/01/14|"/>
    <n v="948"/>
    <n v="1.35"/>
    <n v="1.75"/>
  </r>
  <r>
    <x v="3"/>
    <s v="Convenience stores"/>
    <x v="5"/>
    <s v="Dole"/>
    <s v="|17/01/15|"/>
    <n v="876"/>
    <n v="1.4"/>
    <n v="1.62"/>
  </r>
  <r>
    <x v="3"/>
    <s v="Convenience stores"/>
    <x v="10"/>
    <s v="Dole"/>
    <s v="|17/01/16|"/>
    <n v="396"/>
    <n v="4.12"/>
    <n v="5.95"/>
  </r>
  <r>
    <x v="3"/>
    <s v="Convenience stores"/>
    <x v="10"/>
    <s v="Dole"/>
    <s v="|17/01/17|"/>
    <n v="420"/>
    <n v="3.06"/>
    <n v="6.8"/>
  </r>
  <r>
    <x v="3"/>
    <s v="Convenience stores"/>
    <x v="10"/>
    <s v="Dole"/>
    <s v="|17/01/19|"/>
    <n v="516"/>
    <n v="3.4"/>
    <n v="5.73"/>
  </r>
  <r>
    <x v="3"/>
    <s v="Convenience stores"/>
    <x v="10"/>
    <s v="Dole"/>
    <s v="|17/01/18|"/>
    <n v="528"/>
    <n v="3.94"/>
    <n v="6.36"/>
  </r>
  <r>
    <x v="3"/>
    <s v="Convenience stores"/>
    <x v="10"/>
    <s v="Dole"/>
    <s v="|17/01/16s|"/>
    <n v="372"/>
    <n v="3.4"/>
    <n v="6.29"/>
  </r>
  <r>
    <x v="3"/>
    <s v="Convenience stores"/>
    <x v="10"/>
    <s v="Dole"/>
    <s v="|17/01/17s|"/>
    <n v="528"/>
    <n v="3.33"/>
    <n v="6.29"/>
  </r>
  <r>
    <x v="3"/>
    <s v="Convenience stores"/>
    <x v="10"/>
    <s v="Dole"/>
    <s v="|17/01/18s|"/>
    <n v="540"/>
    <n v="4.1399999999999997"/>
    <n v="6.82"/>
  </r>
  <r>
    <x v="3"/>
    <s v="Convenience stores"/>
    <x v="5"/>
    <s v="Dole"/>
    <s v="|17/01/20|"/>
    <n v="1092"/>
    <n v="1.1100000000000001"/>
    <n v="1.66"/>
  </r>
  <r>
    <x v="3"/>
    <s v="Convenience stores"/>
    <x v="4"/>
    <s v="Kimberley Clark"/>
    <s v="|61/01/01|"/>
    <n v="372"/>
    <n v="4.91"/>
    <n v="5.03"/>
  </r>
  <r>
    <x v="3"/>
    <s v="Convenience stores"/>
    <x v="4"/>
    <s v="Kimberley Clark"/>
    <s v="|61/01/02|"/>
    <n v="360"/>
    <n v="4.84"/>
    <n v="5.01"/>
  </r>
  <r>
    <x v="3"/>
    <s v="Convenience stores"/>
    <x v="4"/>
    <s v="Kimberley Clark"/>
    <s v="|61/01/03|"/>
    <n v="660"/>
    <n v="4.29"/>
    <n v="5.15"/>
  </r>
  <r>
    <x v="3"/>
    <s v="Convenience stores"/>
    <x v="4"/>
    <s v="Kimberley Clark"/>
    <s v="|61/01/04|"/>
    <n v="516"/>
    <n v="4.33"/>
    <n v="5.29"/>
  </r>
  <r>
    <x v="3"/>
    <s v="Convenience stores"/>
    <x v="4"/>
    <s v="Kimberley Clark"/>
    <s v="|61/01/05|"/>
    <n v="384"/>
    <n v="4.62"/>
    <n v="5.25"/>
  </r>
  <r>
    <x v="3"/>
    <s v="Convenience stores"/>
    <x v="4"/>
    <s v="Kimberley Clark"/>
    <s v="|61/01/06|"/>
    <n v="588"/>
    <n v="4.91"/>
    <n v="5.14"/>
  </r>
  <r>
    <x v="3"/>
    <s v="Convenience stores"/>
    <x v="4"/>
    <s v="Kimberley Clark"/>
    <s v="|61/01/07|"/>
    <n v="240"/>
    <n v="4.7699999999999996"/>
    <n v="5.0199999999999996"/>
  </r>
  <r>
    <x v="3"/>
    <s v="Convenience stores"/>
    <x v="4"/>
    <s v="Kimberley Clark"/>
    <s v="|61/01/08|"/>
    <n v="348"/>
    <n v="4.17"/>
    <n v="5.33"/>
  </r>
  <r>
    <x v="3"/>
    <s v="Convenience stores"/>
    <x v="4"/>
    <s v="Kimberley Clark"/>
    <s v="|61/01/09|"/>
    <n v="588"/>
    <n v="4.22"/>
    <n v="5.16"/>
  </r>
  <r>
    <x v="3"/>
    <s v="Convenience stores"/>
    <x v="4"/>
    <s v="Kimberley Clark"/>
    <s v="|61/01/10|"/>
    <n v="672"/>
    <n v="4.22"/>
    <n v="5.1100000000000003"/>
  </r>
  <r>
    <x v="3"/>
    <s v="Convenience stores"/>
    <x v="4"/>
    <s v="Kimberley Clark"/>
    <s v="|61/01/11|"/>
    <n v="456"/>
    <n v="4.46"/>
    <n v="5.2"/>
  </r>
  <r>
    <x v="3"/>
    <s v="Convenience stores"/>
    <x v="4"/>
    <s v="Kimberley Clark"/>
    <s v="|61/01/12|"/>
    <n v="468"/>
    <n v="4.5599999999999996"/>
    <n v="5.36"/>
  </r>
  <r>
    <x v="3"/>
    <s v="Convenience stores"/>
    <x v="4"/>
    <s v="Kimberley Clark"/>
    <s v="|61/01/13|"/>
    <n v="384"/>
    <n v="4.45"/>
    <n v="5.33"/>
  </r>
  <r>
    <x v="3"/>
    <s v="Convenience stores"/>
    <x v="4"/>
    <s v="Kimberley Clark"/>
    <s v="|61/01/14|"/>
    <n v="636"/>
    <n v="4.03"/>
    <n v="5.35"/>
  </r>
  <r>
    <x v="3"/>
    <s v="Convenience stores"/>
    <x v="4"/>
    <s v="Kimberley Clark"/>
    <s v="|61/01/15|"/>
    <n v="288"/>
    <n v="4.0999999999999996"/>
    <n v="5.37"/>
  </r>
  <r>
    <x v="3"/>
    <s v="Convenience stores"/>
    <x v="4"/>
    <s v="Kimberley Clark"/>
    <s v="|61/01/16|"/>
    <n v="648"/>
    <n v="4.49"/>
    <n v="5.0999999999999996"/>
  </r>
  <r>
    <x v="3"/>
    <s v="Convenience stores"/>
    <x v="4"/>
    <s v="Kimberley Clark"/>
    <s v="|61/01/17|"/>
    <n v="708"/>
    <n v="4.03"/>
    <n v="5.35"/>
  </r>
  <r>
    <x v="3"/>
    <s v="Convenience stores"/>
    <x v="4"/>
    <s v="Kimberley Clark"/>
    <s v="|61/01/18|"/>
    <n v="696"/>
    <n v="4.46"/>
    <n v="5.24"/>
  </r>
  <r>
    <x v="3"/>
    <s v="Convenience stores"/>
    <x v="4"/>
    <s v="Kimberley Clark"/>
    <s v="|61/01/19|"/>
    <n v="396"/>
    <n v="4.07"/>
    <n v="5"/>
  </r>
  <r>
    <x v="3"/>
    <s v="Convenience stores"/>
    <x v="4"/>
    <s v="Kimberley Clark"/>
    <s v="|61/01/20|"/>
    <n v="480"/>
    <n v="4.32"/>
    <n v="5.29"/>
  </r>
  <r>
    <x v="3"/>
    <s v="Convenience stores"/>
    <x v="4"/>
    <s v="Kimberley Clark"/>
    <s v="|61/01/21|"/>
    <n v="636"/>
    <n v="4.96"/>
    <n v="5.1100000000000003"/>
  </r>
  <r>
    <x v="3"/>
    <s v="Convenience stores"/>
    <x v="4"/>
    <s v="Kimberley Clark"/>
    <s v="|61/01/22|"/>
    <n v="312"/>
    <n v="4.4400000000000004"/>
    <n v="5.31"/>
  </r>
  <r>
    <x v="3"/>
    <s v="Convenience stores"/>
    <x v="4"/>
    <s v="Kimberley Clark"/>
    <s v="|61/01/23|"/>
    <n v="504"/>
    <n v="4.8099999999999996"/>
    <n v="5.04"/>
  </r>
  <r>
    <x v="3"/>
    <s v="Convenience stores"/>
    <x v="4"/>
    <s v="Kimberley Clark"/>
    <s v="|61/01/24|"/>
    <n v="276"/>
    <n v="4.7"/>
    <n v="5.0599999999999996"/>
  </r>
  <r>
    <x v="3"/>
    <s v="Convenience stores"/>
    <x v="4"/>
    <s v="Kimberley Clark"/>
    <s v="|61/01/25|"/>
    <n v="612"/>
    <n v="4.0199999999999996"/>
    <n v="5.28"/>
  </r>
  <r>
    <x v="3"/>
    <s v="Convenience stores"/>
    <x v="4"/>
    <s v="Kimberley Clark"/>
    <s v="|61/01/26|"/>
    <n v="720"/>
    <n v="4.32"/>
    <n v="5.14"/>
  </r>
  <r>
    <x v="3"/>
    <s v="Convenience stores"/>
    <x v="4"/>
    <s v="Kimberley Clark"/>
    <s v="|61/01/27|"/>
    <n v="420"/>
    <n v="4.71"/>
    <n v="5.18"/>
  </r>
  <r>
    <x v="3"/>
    <s v="Convenience stores"/>
    <x v="4"/>
    <s v="Kimberley Clark"/>
    <s v="|61/01/28|"/>
    <n v="552"/>
    <n v="4.13"/>
    <n v="5.19"/>
  </r>
  <r>
    <x v="3"/>
    <s v="Convenience stores"/>
    <x v="4"/>
    <s v="Kimberley Clark"/>
    <s v="|61/01/29|"/>
    <n v="696"/>
    <n v="4.38"/>
    <n v="5.05"/>
  </r>
  <r>
    <x v="3"/>
    <s v="Convenience stores"/>
    <x v="4"/>
    <s v="Kimberley Clark"/>
    <s v="|61/01/30|"/>
    <n v="696"/>
    <n v="4.0199999999999996"/>
    <n v="5.01"/>
  </r>
  <r>
    <x v="3"/>
    <s v="Convenience stores"/>
    <x v="4"/>
    <s v="Kimberley Clark"/>
    <s v="|61/01/31|"/>
    <n v="276"/>
    <n v="4.66"/>
    <n v="5.0599999999999996"/>
  </r>
  <r>
    <x v="3"/>
    <s v="Convenience stores"/>
    <x v="4"/>
    <s v="Kimberley Clark"/>
    <s v="|61/01/32|"/>
    <n v="396"/>
    <n v="4.66"/>
    <n v="5.08"/>
  </r>
  <r>
    <x v="3"/>
    <s v="Convenience stores"/>
    <x v="4"/>
    <s v="Kimberley Clark"/>
    <s v="|61/01/33|"/>
    <n v="336"/>
    <n v="4.3499999999999996"/>
    <n v="5.04"/>
  </r>
  <r>
    <x v="3"/>
    <s v="Convenience stores"/>
    <x v="4"/>
    <s v="Kimberley Clark"/>
    <s v="|61/01/34|"/>
    <n v="480"/>
    <n v="4.97"/>
    <n v="5.28"/>
  </r>
  <r>
    <x v="3"/>
    <s v="Convenience stores"/>
    <x v="4"/>
    <s v="Kimberley Clark"/>
    <s v="|61/01/35|"/>
    <n v="240"/>
    <n v="4.6399999999999997"/>
    <n v="5.25"/>
  </r>
  <r>
    <x v="3"/>
    <s v="Convenience stores"/>
    <x v="4"/>
    <s v="Kimberley Clark"/>
    <s v="|61/01/36|"/>
    <n v="624"/>
    <n v="4.24"/>
    <n v="5.27"/>
  </r>
  <r>
    <x v="3"/>
    <s v="Convenience stores"/>
    <x v="4"/>
    <s v="Kimberley Clark"/>
    <s v="|61/01/37|"/>
    <n v="324"/>
    <n v="4.82"/>
    <n v="5.03"/>
  </r>
  <r>
    <x v="3"/>
    <s v="Convenience stores"/>
    <x v="4"/>
    <s v="Kimberley Clark"/>
    <s v="|61/01/38|"/>
    <n v="360"/>
    <n v="4.6100000000000003"/>
    <n v="5.04"/>
  </r>
  <r>
    <x v="3"/>
    <s v="Convenience stores"/>
    <x v="4"/>
    <s v="Kimberley Clark"/>
    <s v="|61/01/39|"/>
    <n v="360"/>
    <n v="4.1900000000000004"/>
    <n v="5.31"/>
  </r>
  <r>
    <x v="3"/>
    <s v="Convenience stores"/>
    <x v="4"/>
    <s v="Kimberley Clark"/>
    <s v="|61/01/40|"/>
    <n v="552"/>
    <n v="4.21"/>
    <n v="5.12"/>
  </r>
  <r>
    <x v="3"/>
    <s v="Convenience stores"/>
    <x v="4"/>
    <s v="Kimberley Clark"/>
    <s v="|61/01/41|"/>
    <n v="348"/>
    <n v="4.92"/>
    <n v="5.25"/>
  </r>
  <r>
    <x v="3"/>
    <s v="Convenience stores"/>
    <x v="4"/>
    <s v="Kimberley Clark"/>
    <s v="|61/01/42|"/>
    <n v="636"/>
    <n v="4.99"/>
    <n v="5.12"/>
  </r>
  <r>
    <x v="3"/>
    <s v="Convenience stores"/>
    <x v="4"/>
    <s v="Kimberley Clark"/>
    <s v="|61/01/43|"/>
    <n v="540"/>
    <n v="4.28"/>
    <n v="5.24"/>
  </r>
  <r>
    <x v="3"/>
    <s v="Convenience stores"/>
    <x v="4"/>
    <s v="Kimberley Clark"/>
    <s v="|61/01/44|"/>
    <n v="420"/>
    <n v="4.34"/>
    <n v="5.3"/>
  </r>
  <r>
    <x v="3"/>
    <s v="Convenience stores"/>
    <x v="4"/>
    <s v="Kimberley Clark"/>
    <s v="|61/01/45|"/>
    <n v="636"/>
    <n v="4.47"/>
    <n v="5.27"/>
  </r>
  <r>
    <x v="3"/>
    <s v="Convenience stores"/>
    <x v="4"/>
    <s v="Kimberley Clark"/>
    <s v="|61/01/46|"/>
    <n v="276"/>
    <n v="4.83"/>
    <n v="5.08"/>
  </r>
  <r>
    <x v="3"/>
    <s v="Convenience stores"/>
    <x v="4"/>
    <s v="Kimberley Clark"/>
    <s v="|61/01/47|"/>
    <n v="492"/>
    <n v="4.83"/>
    <n v="5.24"/>
  </r>
  <r>
    <x v="3"/>
    <s v="Convenience stores"/>
    <x v="4"/>
    <s v="Kimberley Clark"/>
    <s v="|61/01/48|"/>
    <n v="300"/>
    <n v="4.3"/>
    <n v="5.35"/>
  </r>
  <r>
    <x v="3"/>
    <s v="Convenience stores"/>
    <x v="4"/>
    <s v="Kimberley Clark"/>
    <s v="|61/01/49|"/>
    <n v="600"/>
    <n v="4.18"/>
    <n v="5.3"/>
  </r>
  <r>
    <x v="3"/>
    <s v="Convenience stores"/>
    <x v="4"/>
    <s v="Kimberley Clark"/>
    <s v="|61/01/50|"/>
    <n v="708"/>
    <n v="4.2"/>
    <n v="5.21"/>
  </r>
  <r>
    <x v="3"/>
    <s v="Convenience stores"/>
    <x v="4"/>
    <s v="Kimberley Clark"/>
    <s v="|61/01/51|"/>
    <n v="468"/>
    <n v="4.7300000000000004"/>
    <n v="5.38"/>
  </r>
  <r>
    <x v="3"/>
    <s v="Convenience stores"/>
    <x v="4"/>
    <s v="Kimberley Clark"/>
    <s v="|61/01/52|"/>
    <n v="600"/>
    <n v="4.7300000000000004"/>
    <n v="5.09"/>
  </r>
  <r>
    <x v="3"/>
    <s v="Convenience stores"/>
    <x v="4"/>
    <s v="Kimberley Clark"/>
    <s v="|61/01/53|"/>
    <n v="720"/>
    <n v="4.33"/>
    <n v="5.18"/>
  </r>
  <r>
    <x v="3"/>
    <s v="Convenience stores"/>
    <x v="4"/>
    <s v="Kimberley Clark"/>
    <s v="|61/01/54|"/>
    <n v="312"/>
    <n v="4.29"/>
    <n v="5.25"/>
  </r>
  <r>
    <x v="3"/>
    <s v="Convenience stores"/>
    <x v="4"/>
    <s v="Kimberley Clark"/>
    <s v="|61/01/55|"/>
    <n v="300"/>
    <n v="4.92"/>
    <n v="5.19"/>
  </r>
  <r>
    <x v="3"/>
    <s v="Convenience stores"/>
    <x v="4"/>
    <s v="Kimberley Clark"/>
    <s v="|61/01/56|"/>
    <n v="312"/>
    <n v="4.5999999999999996"/>
    <n v="5.33"/>
  </r>
  <r>
    <x v="3"/>
    <s v="Convenience stores"/>
    <x v="4"/>
    <s v="Kimberley Clark"/>
    <s v="|61/01/57|"/>
    <n v="636"/>
    <n v="4.18"/>
    <n v="5.39"/>
  </r>
  <r>
    <x v="3"/>
    <s v="Convenience stores"/>
    <x v="4"/>
    <s v="Kimberley Clark"/>
    <s v="|61/01/58|"/>
    <n v="576"/>
    <n v="4.78"/>
    <n v="5.36"/>
  </r>
  <r>
    <x v="3"/>
    <s v="Convenience stores"/>
    <x v="4"/>
    <s v="Kimberley Clark"/>
    <s v="|61/01/59|"/>
    <n v="684"/>
    <n v="4.3099999999999996"/>
    <n v="5.31"/>
  </r>
  <r>
    <x v="3"/>
    <s v="Convenience stores"/>
    <x v="4"/>
    <s v="Kimberley Clark"/>
    <s v="|61/01/60|"/>
    <n v="336"/>
    <n v="4.95"/>
    <n v="5.01"/>
  </r>
  <r>
    <x v="3"/>
    <s v="Convenience stores"/>
    <x v="4"/>
    <s v="Kimberley Clark"/>
    <s v="|61/01/61|"/>
    <n v="432"/>
    <n v="4.08"/>
    <n v="5.13"/>
  </r>
  <r>
    <x v="3"/>
    <s v="Convenience stores"/>
    <x v="4"/>
    <s v="Kimberley Clark"/>
    <s v="|61/01/62|"/>
    <n v="444"/>
    <n v="4.4000000000000004"/>
    <n v="5"/>
  </r>
  <r>
    <x v="3"/>
    <s v="Convenience stores"/>
    <x v="4"/>
    <s v="Kimberley Clark"/>
    <s v="|61/01/63|"/>
    <n v="312"/>
    <n v="4.47"/>
    <n v="5.1100000000000003"/>
  </r>
  <r>
    <x v="3"/>
    <s v="Convenience stores"/>
    <x v="4"/>
    <s v="Kimberley Clark"/>
    <s v="|61/01/64|"/>
    <n v="348"/>
    <n v="4.62"/>
    <n v="5.24"/>
  </r>
  <r>
    <x v="3"/>
    <s v="Convenience stores"/>
    <x v="4"/>
    <s v="Kimberley Clark"/>
    <s v="|61/01/65|"/>
    <n v="564"/>
    <n v="4.0199999999999996"/>
    <n v="5.27"/>
  </r>
  <r>
    <x v="3"/>
    <s v="Convenience stores"/>
    <x v="4"/>
    <s v="Kimberley Clark"/>
    <s v="|61/01/66|"/>
    <n v="372"/>
    <n v="4.29"/>
    <n v="5.09"/>
  </r>
  <r>
    <x v="3"/>
    <s v="Convenience stores"/>
    <x v="4"/>
    <s v="Kimberley Clark"/>
    <s v="|61/01/67|"/>
    <n v="336"/>
    <n v="4.5599999999999996"/>
    <n v="5.13"/>
  </r>
  <r>
    <x v="3"/>
    <s v="Convenience stores"/>
    <x v="4"/>
    <s v="Kimberley Clark"/>
    <s v="|61/01/68|"/>
    <n v="672"/>
    <n v="4.57"/>
    <n v="5.3"/>
  </r>
  <r>
    <x v="3"/>
    <s v="Convenience stores"/>
    <x v="4"/>
    <s v="Kimberley Clark"/>
    <s v="|61/01/69|"/>
    <n v="720"/>
    <n v="4.07"/>
    <n v="5.17"/>
  </r>
  <r>
    <x v="3"/>
    <s v="Convenience stores"/>
    <x v="4"/>
    <s v="Kimberley Clark"/>
    <s v="|61/01/70|"/>
    <n v="504"/>
    <n v="4.9400000000000004"/>
    <n v="5.15"/>
  </r>
  <r>
    <x v="3"/>
    <s v="Convenience stores"/>
    <x v="4"/>
    <s v="Kimberley Clark"/>
    <s v="|61/01/71|"/>
    <n v="624"/>
    <n v="4.7"/>
    <n v="5.16"/>
  </r>
  <r>
    <x v="3"/>
    <s v="Convenience stores"/>
    <x v="4"/>
    <s v="Kimberley Clark"/>
    <s v="|61/01/72*|"/>
    <n v="720"/>
    <n v="4.4400000000000004"/>
    <n v="5.3"/>
  </r>
  <r>
    <x v="3"/>
    <s v="Convenience stores"/>
    <x v="4"/>
    <s v="Kimberley Clark"/>
    <s v="|61/01/75|"/>
    <n v="528"/>
    <n v="4.0999999999999996"/>
    <n v="5.3"/>
  </r>
  <r>
    <x v="3"/>
    <s v="Convenience stores"/>
    <x v="4"/>
    <s v="Kimberley Clark"/>
    <s v="|61/01/76|"/>
    <n v="528"/>
    <n v="4.42"/>
    <n v="5.35"/>
  </r>
  <r>
    <x v="3"/>
    <s v="Convenience stores"/>
    <x v="4"/>
    <s v="Kimberley Clark"/>
    <s v="|61/01/77|"/>
    <n v="708"/>
    <n v="4.3600000000000003"/>
    <n v="5.19"/>
  </r>
  <r>
    <x v="3"/>
    <s v="Convenience stores"/>
    <x v="3"/>
    <s v="Salvadori"/>
    <s v="|26/02/01|"/>
    <n v="168"/>
    <n v="1.1000000000000001"/>
    <n v="1.26"/>
  </r>
  <r>
    <x v="3"/>
    <s v="Convenience stores"/>
    <x v="3"/>
    <s v="Salvadori"/>
    <s v="|26/02/02|"/>
    <n v="228"/>
    <n v="1.03"/>
    <n v="1.34"/>
  </r>
  <r>
    <x v="3"/>
    <s v="Convenience stores"/>
    <x v="3"/>
    <s v="Salvadori"/>
    <s v="|26/02/03|"/>
    <n v="180"/>
    <n v="1"/>
    <n v="1.22"/>
  </r>
  <r>
    <x v="3"/>
    <s v="Convenience stores"/>
    <x v="3"/>
    <s v="Salvadori"/>
    <s v="|26/02/04|"/>
    <n v="72"/>
    <n v="1.02"/>
    <n v="1.31"/>
  </r>
  <r>
    <x v="3"/>
    <s v="Convenience stores"/>
    <x v="3"/>
    <s v="Salvadori"/>
    <s v="|26/02/05|"/>
    <n v="108"/>
    <n v="1.1399999999999999"/>
    <n v="1.24"/>
  </r>
  <r>
    <x v="3"/>
    <s v="Convenience stores"/>
    <x v="3"/>
    <s v="Salvadori"/>
    <s v="|26/02/06|"/>
    <n v="144"/>
    <n v="1.02"/>
    <n v="1.28"/>
  </r>
  <r>
    <x v="3"/>
    <s v="Convenience stores"/>
    <x v="3"/>
    <s v="Salvadori"/>
    <s v="|26/02/07|"/>
    <n v="216"/>
    <n v="1.05"/>
    <n v="1.33"/>
  </r>
  <r>
    <x v="3"/>
    <s v="Convenience stores"/>
    <x v="3"/>
    <s v="Salvadori"/>
    <s v="|26/02/08|"/>
    <n v="216"/>
    <n v="1.2"/>
    <n v="1.37"/>
  </r>
  <r>
    <x v="3"/>
    <s v="Convenience stores"/>
    <x v="3"/>
    <s v="Salvadori"/>
    <s v="|26/02/09|"/>
    <n v="192"/>
    <n v="1.08"/>
    <n v="1.23"/>
  </r>
  <r>
    <x v="3"/>
    <s v="Convenience stores"/>
    <x v="3"/>
    <s v="Salvadori"/>
    <s v="|26/02/10|"/>
    <n v="168"/>
    <n v="1.06"/>
    <n v="1.2"/>
  </r>
  <r>
    <x v="3"/>
    <s v="Convenience stores"/>
    <x v="3"/>
    <s v="Salvadori"/>
    <s v="|26/02/11|"/>
    <n v="96"/>
    <n v="1.1399999999999999"/>
    <n v="1.34"/>
  </r>
  <r>
    <x v="3"/>
    <s v="Convenience stores"/>
    <x v="3"/>
    <s v="Salvadori"/>
    <s v="|26/02/12|"/>
    <n v="72"/>
    <n v="1.1599999999999999"/>
    <n v="1.34"/>
  </r>
  <r>
    <x v="3"/>
    <s v="Convenience stores"/>
    <x v="3"/>
    <s v="Salvadori"/>
    <s v="|26/02/13|"/>
    <n v="192"/>
    <n v="1.1200000000000001"/>
    <n v="1.33"/>
  </r>
  <r>
    <x v="3"/>
    <s v="Convenience stores"/>
    <x v="3"/>
    <s v="Salvadori"/>
    <s v="|26/02/14|"/>
    <n v="144"/>
    <n v="1.04"/>
    <n v="1.24"/>
  </r>
  <r>
    <x v="3"/>
    <s v="Convenience stores"/>
    <x v="3"/>
    <s v="Salvadori"/>
    <s v="|26/02/15|"/>
    <n v="168"/>
    <n v="1.04"/>
    <n v="1.38"/>
  </r>
  <r>
    <x v="3"/>
    <s v="Convenience stores"/>
    <x v="3"/>
    <s v="Salvadori"/>
    <s v="|26/02/16|"/>
    <n v="192"/>
    <n v="1.02"/>
    <n v="1.35"/>
  </r>
  <r>
    <x v="3"/>
    <s v="Convenience stores"/>
    <x v="3"/>
    <s v="Salvadori"/>
    <s v="|26/02/17|"/>
    <n v="72"/>
    <n v="1"/>
    <n v="1.28"/>
  </r>
  <r>
    <x v="3"/>
    <s v="Convenience stores"/>
    <x v="3"/>
    <s v="Salvadori"/>
    <s v="|26/02/18|"/>
    <n v="96"/>
    <n v="1.18"/>
    <n v="1.28"/>
  </r>
  <r>
    <x v="3"/>
    <s v="Convenience stores"/>
    <x v="3"/>
    <s v="Salvadori"/>
    <s v="|26/02/19|"/>
    <n v="228"/>
    <n v="1.1000000000000001"/>
    <n v="1.39"/>
  </r>
  <r>
    <x v="3"/>
    <s v="Convenience stores"/>
    <x v="3"/>
    <s v="Salvadori"/>
    <s v="|26/02/20|"/>
    <n v="120"/>
    <n v="1.17"/>
    <n v="1.22"/>
  </r>
  <r>
    <x v="3"/>
    <s v="Convenience stores"/>
    <x v="3"/>
    <s v="Salvadori"/>
    <s v="|26/02/21|"/>
    <n v="156"/>
    <n v="1.1599999999999999"/>
    <n v="1.25"/>
  </r>
  <r>
    <x v="3"/>
    <s v="Convenience stores"/>
    <x v="3"/>
    <s v="Salvadori"/>
    <s v="|26/02/22|"/>
    <n v="228"/>
    <n v="1.04"/>
    <n v="1.39"/>
  </r>
  <r>
    <x v="3"/>
    <s v="Convenience stores"/>
    <x v="3"/>
    <s v="Salvadori"/>
    <s v="|26/02/23|"/>
    <n v="204"/>
    <n v="1"/>
    <n v="1.33"/>
  </r>
  <r>
    <x v="3"/>
    <s v="Convenience stores"/>
    <x v="3"/>
    <s v="Salvadori"/>
    <s v="|26/02/24|"/>
    <n v="168"/>
    <n v="1.17"/>
    <n v="1.38"/>
  </r>
  <r>
    <x v="3"/>
    <s v="Convenience stores"/>
    <x v="3"/>
    <s v="Salvadori"/>
    <s v="|26/02/25|"/>
    <n v="156"/>
    <n v="1.2"/>
    <n v="1.38"/>
  </r>
  <r>
    <x v="3"/>
    <s v="Convenience stores"/>
    <x v="3"/>
    <s v="Salvadori"/>
    <s v="|26/02/26|"/>
    <n v="96"/>
    <n v="1.0900000000000001"/>
    <n v="1.23"/>
  </r>
  <r>
    <x v="3"/>
    <s v="Convenience stores"/>
    <x v="3"/>
    <s v="Salvadori"/>
    <s v="|26/02/27|"/>
    <n v="84"/>
    <n v="1.0900000000000001"/>
    <n v="1.27"/>
  </r>
  <r>
    <x v="3"/>
    <s v="Convenience stores"/>
    <x v="3"/>
    <s v="Salvadori"/>
    <s v="|26/02/28|"/>
    <n v="120"/>
    <n v="1.05"/>
    <n v="1.21"/>
  </r>
  <r>
    <x v="3"/>
    <s v="Convenience stores"/>
    <x v="3"/>
    <s v="Salvadori"/>
    <s v="|26/02/29|"/>
    <n v="228"/>
    <n v="1.01"/>
    <n v="1.2"/>
  </r>
  <r>
    <x v="3"/>
    <s v="Convenience stores"/>
    <x v="3"/>
    <s v="Salvadori"/>
    <s v="|26/02/30|"/>
    <n v="120"/>
    <n v="1.04"/>
    <n v="1.32"/>
  </r>
  <r>
    <x v="3"/>
    <s v="Convenience stores"/>
    <x v="3"/>
    <s v="Salvadori"/>
    <s v="|26/02/31|"/>
    <n v="132"/>
    <n v="1.17"/>
    <n v="1.34"/>
  </r>
  <r>
    <x v="3"/>
    <s v="Convenience stores"/>
    <x v="3"/>
    <s v="Salvadori"/>
    <s v="|26/02/32|"/>
    <n v="84"/>
    <n v="1.1299999999999999"/>
    <n v="1.36"/>
  </r>
  <r>
    <x v="3"/>
    <s v="Convenience stores"/>
    <x v="3"/>
    <s v="Salvadori"/>
    <s v="|26/02/33|"/>
    <n v="108"/>
    <n v="1.18"/>
    <n v="1.26"/>
  </r>
  <r>
    <x v="3"/>
    <s v="Convenience stores"/>
    <x v="3"/>
    <s v="Salvadori"/>
    <s v="|26/02/50|"/>
    <n v="156"/>
    <n v="1.03"/>
    <n v="1.3"/>
  </r>
  <r>
    <x v="3"/>
    <s v="Convenience stores"/>
    <x v="3"/>
    <s v="Salvadori"/>
    <s v="|26/02/51|"/>
    <n v="96"/>
    <n v="1.1499999999999999"/>
    <n v="1.38"/>
  </r>
  <r>
    <x v="3"/>
    <s v="Convenience stores"/>
    <x v="3"/>
    <s v="Salvadori"/>
    <s v="|26/02/52|"/>
    <n v="120"/>
    <n v="1.1299999999999999"/>
    <n v="1.3"/>
  </r>
  <r>
    <x v="3"/>
    <s v="Convenience stores"/>
    <x v="3"/>
    <s v="Salvadori"/>
    <s v="|26/02/53|"/>
    <n v="168"/>
    <n v="1.1000000000000001"/>
    <n v="1.3"/>
  </r>
  <r>
    <x v="3"/>
    <s v="Convenience stores"/>
    <x v="3"/>
    <s v="Salvadori"/>
    <s v="|26/02/54|"/>
    <n v="132"/>
    <n v="1"/>
    <n v="1.34"/>
  </r>
  <r>
    <x v="3"/>
    <s v="Convenience stores"/>
    <x v="3"/>
    <s v="Salvadori"/>
    <s v="|26/02/55|"/>
    <n v="204"/>
    <n v="1.1200000000000001"/>
    <n v="1.39"/>
  </r>
  <r>
    <x v="3"/>
    <s v="Convenience stores"/>
    <x v="3"/>
    <s v="Salvadori"/>
    <s v="|26/02/56|"/>
    <n v="156"/>
    <n v="1.19"/>
    <n v="1.24"/>
  </r>
  <r>
    <x v="3"/>
    <s v="Convenience stores"/>
    <x v="3"/>
    <s v="Salvadori"/>
    <s v="|26/02/57|"/>
    <n v="96"/>
    <n v="1.01"/>
    <n v="1.24"/>
  </r>
  <r>
    <x v="3"/>
    <s v="Convenience stores"/>
    <x v="3"/>
    <s v="Salvadori"/>
    <s v="|26/02/58|"/>
    <n v="144"/>
    <n v="1.17"/>
    <n v="1.2"/>
  </r>
  <r>
    <x v="3"/>
    <s v="Convenience stores"/>
    <x v="3"/>
    <s v="Salvadori"/>
    <s v="|26/02/59|"/>
    <n v="228"/>
    <n v="1.1000000000000001"/>
    <n v="1.32"/>
  </r>
  <r>
    <x v="3"/>
    <s v="Convenience stores"/>
    <x v="3"/>
    <s v="Salvadori"/>
    <s v="|26/02/60|"/>
    <n v="228"/>
    <n v="1.18"/>
    <n v="1.27"/>
  </r>
  <r>
    <x v="3"/>
    <s v="Convenience stores"/>
    <x v="3"/>
    <s v="Salvadori"/>
    <s v="|26/02/61|"/>
    <n v="60"/>
    <n v="1.03"/>
    <n v="1.23"/>
  </r>
  <r>
    <x v="3"/>
    <s v="Convenience stores"/>
    <x v="3"/>
    <s v="Salvadori"/>
    <s v="|26/02/62|"/>
    <n v="120"/>
    <n v="1.1299999999999999"/>
    <n v="1.28"/>
  </r>
  <r>
    <x v="3"/>
    <s v="Convenience stores"/>
    <x v="3"/>
    <s v="Salvadori"/>
    <s v="|26/02/63|"/>
    <n v="168"/>
    <n v="1.08"/>
    <n v="1.25"/>
  </r>
  <r>
    <x v="3"/>
    <s v="Convenience stores"/>
    <x v="3"/>
    <s v="Salvadori"/>
    <s v="|26/02/64|"/>
    <n v="84"/>
    <n v="1.0900000000000001"/>
    <n v="1.36"/>
  </r>
  <r>
    <x v="3"/>
    <s v="Convenience stores"/>
    <x v="3"/>
    <s v="Salvadori"/>
    <s v="|26/02/65|"/>
    <n v="156"/>
    <n v="1.1200000000000001"/>
    <n v="1.2"/>
  </r>
  <r>
    <x v="3"/>
    <s v="Convenience stores"/>
    <x v="3"/>
    <s v="Salvadori"/>
    <s v="|26/02/66|"/>
    <n v="108"/>
    <n v="1.08"/>
    <n v="1.39"/>
  </r>
  <r>
    <x v="3"/>
    <s v="Convenience stores"/>
    <x v="3"/>
    <s v="Salvadori"/>
    <s v="|26/02/67|"/>
    <n v="168"/>
    <n v="1.06"/>
    <n v="1.35"/>
  </r>
  <r>
    <x v="3"/>
    <s v="Convenience stores"/>
    <x v="3"/>
    <s v="Salvadori"/>
    <s v="|26/02/70|"/>
    <n v="84"/>
    <n v="1.05"/>
    <n v="1.2"/>
  </r>
  <r>
    <x v="3"/>
    <s v="Convenience stores"/>
    <x v="3"/>
    <s v="Salvadori"/>
    <s v="|26/02/71|"/>
    <n v="168"/>
    <n v="1.03"/>
    <n v="1.33"/>
  </r>
  <r>
    <x v="3"/>
    <s v="Convenience stores"/>
    <x v="3"/>
    <s v="Salvadori"/>
    <s v="|26/02/72|"/>
    <n v="60"/>
    <n v="1.03"/>
    <n v="1.2"/>
  </r>
  <r>
    <x v="3"/>
    <s v="Convenience stores"/>
    <x v="3"/>
    <s v="Salvadori"/>
    <s v="|26/02/73|"/>
    <n v="72"/>
    <n v="1.1200000000000001"/>
    <n v="1.28"/>
  </r>
  <r>
    <x v="3"/>
    <s v="Convenience stores"/>
    <x v="3"/>
    <s v="Salvadori"/>
    <s v="|26/02/74|"/>
    <n v="144"/>
    <n v="1.04"/>
    <n v="1.33"/>
  </r>
  <r>
    <x v="3"/>
    <s v="Convenience stores"/>
    <x v="3"/>
    <s v="Salvadori"/>
    <s v="|26/02/75|"/>
    <n v="132"/>
    <n v="1.1499999999999999"/>
    <n v="1.22"/>
  </r>
  <r>
    <x v="3"/>
    <s v="Convenience stores"/>
    <x v="3"/>
    <s v="Salvadori"/>
    <s v="|26/02/76|"/>
    <n v="216"/>
    <n v="1.1299999999999999"/>
    <n v="1.22"/>
  </r>
  <r>
    <x v="3"/>
    <s v="Convenience stores"/>
    <x v="3"/>
    <s v="Salvadori"/>
    <s v="|26/02/98|"/>
    <n v="180"/>
    <n v="1.17"/>
    <n v="1.25"/>
  </r>
  <r>
    <x v="3"/>
    <s v="Convenience stores"/>
    <x v="3"/>
    <s v="Salvadori"/>
    <s v="|26/02/99|"/>
    <n v="144"/>
    <n v="1.06"/>
    <n v="1.37"/>
  </r>
  <r>
    <x v="3"/>
    <s v="Convenience stores"/>
    <x v="3"/>
    <s v="Salvadori"/>
    <s v="|26/03/01|"/>
    <n v="60"/>
    <n v="1"/>
    <n v="1.37"/>
  </r>
  <r>
    <x v="3"/>
    <s v="Convenience stores"/>
    <x v="3"/>
    <s v="Salvadori"/>
    <s v="|26/03/02|"/>
    <n v="60"/>
    <n v="1.2"/>
    <n v="1.38"/>
  </r>
  <r>
    <x v="3"/>
    <s v="Convenience stores"/>
    <x v="3"/>
    <s v="Salvadori"/>
    <s v="|26/03/03|"/>
    <n v="132"/>
    <n v="1.1000000000000001"/>
    <n v="1.32"/>
  </r>
  <r>
    <x v="3"/>
    <s v="Convenience stores"/>
    <x v="3"/>
    <s v="Salvadori"/>
    <s v="|26/03/04|"/>
    <n v="60"/>
    <n v="1.04"/>
    <n v="1.25"/>
  </r>
  <r>
    <x v="3"/>
    <s v="Convenience stores"/>
    <x v="3"/>
    <s v="Salvadori"/>
    <s v="|26/03/05|"/>
    <n v="180"/>
    <n v="1.1499999999999999"/>
    <n v="1.35"/>
  </r>
  <r>
    <x v="3"/>
    <s v="Convenience stores"/>
    <x v="3"/>
    <s v="Salvadori"/>
    <s v="|26/99/91|"/>
    <n v="192"/>
    <n v="1.03"/>
    <n v="1.31"/>
  </r>
  <r>
    <x v="3"/>
    <s v="Convenience stores"/>
    <x v="3"/>
    <s v="Salvadori"/>
    <s v="|26/99/92|"/>
    <n v="84"/>
    <n v="1.1000000000000001"/>
    <n v="1.33"/>
  </r>
  <r>
    <x v="3"/>
    <s v="Convenience stores"/>
    <x v="3"/>
    <s v="Salvadori"/>
    <s v="|26/99/93|"/>
    <n v="216"/>
    <n v="1.1200000000000001"/>
    <n v="1.38"/>
  </r>
  <r>
    <x v="3"/>
    <s v="Convenience stores"/>
    <x v="3"/>
    <s v="Salvadori"/>
    <s v="|26/99/94|"/>
    <n v="168"/>
    <n v="1.02"/>
    <n v="1.24"/>
  </r>
  <r>
    <x v="3"/>
    <s v="Convenience stores"/>
    <x v="3"/>
    <s v="Salvadori"/>
    <s v="|26/99/95|"/>
    <n v="108"/>
    <n v="1.19"/>
    <n v="1.3"/>
  </r>
  <r>
    <x v="3"/>
    <s v="Convenience stores"/>
    <x v="3"/>
    <s v="Salvadori"/>
    <s v="|26/99/96|"/>
    <n v="60"/>
    <n v="1.17"/>
    <n v="1.37"/>
  </r>
  <r>
    <x v="3"/>
    <s v="Convenience stores"/>
    <x v="3"/>
    <s v="Salvadori"/>
    <s v="|26/99/97|"/>
    <n v="156"/>
    <n v="1.1100000000000001"/>
    <n v="1.29"/>
  </r>
  <r>
    <x v="3"/>
    <s v="Convenience stores"/>
    <x v="3"/>
    <s v="Salvadori"/>
    <s v="|26/99/103|"/>
    <n v="156"/>
    <n v="1.02"/>
    <n v="1.22"/>
  </r>
  <r>
    <x v="3"/>
    <s v="Convenience stores"/>
    <x v="3"/>
    <s v="Salvadori"/>
    <s v="|73/01/01|"/>
    <n v="60"/>
    <n v="1.1299999999999999"/>
    <n v="1.32"/>
  </r>
  <r>
    <x v="3"/>
    <s v="Convenience stores"/>
    <x v="6"/>
    <s v="Momo figli"/>
    <s v="|67/01/01|"/>
    <n v="2256"/>
    <n v="2.54"/>
    <n v="3.56"/>
  </r>
  <r>
    <x v="3"/>
    <s v="Convenience stores"/>
    <x v="6"/>
    <s v="Momo figli"/>
    <s v="|67/01/02|"/>
    <n v="2748"/>
    <n v="2.82"/>
    <n v="3.78"/>
  </r>
  <r>
    <x v="3"/>
    <s v="Convenience stores"/>
    <x v="6"/>
    <s v="Momo figli"/>
    <s v="|67/01/03|"/>
    <n v="1800"/>
    <n v="2.4300000000000002"/>
    <n v="3.84"/>
  </r>
  <r>
    <x v="3"/>
    <s v="Convenience stores"/>
    <x v="6"/>
    <s v="Momo figli"/>
    <s v="|67/01/04|"/>
    <n v="2700"/>
    <n v="2.59"/>
    <n v="3.67"/>
  </r>
  <r>
    <x v="3"/>
    <s v="Convenience stores"/>
    <x v="6"/>
    <s v="Momo figli"/>
    <s v="|67/01/05|"/>
    <n v="2220"/>
    <n v="2.5299999999999998"/>
    <n v="3.4"/>
  </r>
  <r>
    <x v="3"/>
    <s v="Convenience stores"/>
    <x v="6"/>
    <s v="Momo figli"/>
    <s v="|67/01/06|"/>
    <n v="1560"/>
    <n v="2.7"/>
    <n v="3.71"/>
  </r>
  <r>
    <x v="3"/>
    <s v="Convenience stores"/>
    <x v="6"/>
    <s v="Momo figli"/>
    <s v="|67/01/07|"/>
    <n v="1560"/>
    <n v="2.99"/>
    <n v="3.85"/>
  </r>
  <r>
    <x v="3"/>
    <s v="Convenience stores"/>
    <x v="6"/>
    <s v="Momo figli"/>
    <s v="|67/01/08|"/>
    <n v="1704"/>
    <n v="2.83"/>
    <n v="3.85"/>
  </r>
  <r>
    <x v="3"/>
    <s v="Convenience stores"/>
    <x v="6"/>
    <s v="Momo figli"/>
    <s v="|67/01/09|"/>
    <n v="1764"/>
    <n v="2.76"/>
    <n v="3.42"/>
  </r>
  <r>
    <x v="3"/>
    <s v="Convenience stores"/>
    <x v="1"/>
    <s v="Serwis"/>
    <s v="|99/02/01|"/>
    <n v="612"/>
    <n v="5.5666666666666664"/>
    <n v="7.96"/>
  </r>
  <r>
    <x v="3"/>
    <s v="Convenience stores"/>
    <x v="1"/>
    <s v="Serwis"/>
    <s v="|99/02/02|"/>
    <n v="444"/>
    <n v="6.3"/>
    <n v="7.833333333333333"/>
  </r>
  <r>
    <x v="3"/>
    <s v="Convenience stores"/>
    <x v="1"/>
    <s v="Serwis"/>
    <s v="|99/02/03|"/>
    <n v="468"/>
    <n v="5.3066666666666666"/>
    <n v="8.3066666666666666"/>
  </r>
  <r>
    <x v="3"/>
    <s v="Convenience stores"/>
    <x v="1"/>
    <s v="Serwis"/>
    <s v="|99/02/04|"/>
    <n v="624"/>
    <n v="6.22"/>
    <n v="7.4266666666666667"/>
  </r>
  <r>
    <x v="3"/>
    <s v="Convenience stores"/>
    <x v="1"/>
    <s v="Serwis"/>
    <s v="|99/02/08|"/>
    <n v="600"/>
    <n v="6.42"/>
    <n v="8.6333333333333329"/>
  </r>
  <r>
    <x v="3"/>
    <s v="Convenience stores"/>
    <x v="1"/>
    <s v="Serwis"/>
    <s v="|127/02/01|"/>
    <n v="456"/>
    <n v="6.28"/>
    <n v="8.2133333333333329"/>
  </r>
  <r>
    <x v="3"/>
    <s v="Convenience stores"/>
    <x v="4"/>
    <s v="St.Dalfour"/>
    <s v="|24/28/01|"/>
    <n v="444"/>
    <n v="4.82"/>
    <n v="5.05"/>
  </r>
  <r>
    <x v="3"/>
    <s v="Convenience stores"/>
    <x v="4"/>
    <s v="St.Dalfour"/>
    <s v="|24/28/02|"/>
    <n v="360"/>
    <n v="4.6900000000000004"/>
    <n v="5.24"/>
  </r>
  <r>
    <x v="3"/>
    <s v="Convenience stores"/>
    <x v="4"/>
    <s v="St.Dalfour"/>
    <s v="|24/28/03|"/>
    <n v="528"/>
    <n v="4.4000000000000004"/>
    <n v="5.22"/>
  </r>
  <r>
    <x v="3"/>
    <s v="Convenience stores"/>
    <x v="4"/>
    <s v="St.Dalfour"/>
    <s v="|24/28/04|"/>
    <n v="408"/>
    <n v="4.82"/>
    <n v="5.16"/>
  </r>
  <r>
    <x v="3"/>
    <s v="Convenience stores"/>
    <x v="4"/>
    <s v="St.Dalfour"/>
    <s v="|24/28/05|"/>
    <n v="540"/>
    <n v="4.46"/>
    <n v="5.03"/>
  </r>
  <r>
    <x v="3"/>
    <s v="Convenience stores"/>
    <x v="4"/>
    <s v="St.Dalfour"/>
    <s v="|24/28/06|"/>
    <n v="432"/>
    <n v="4.6500000000000004"/>
    <n v="5.1100000000000003"/>
  </r>
  <r>
    <x v="3"/>
    <s v="Convenience stores"/>
    <x v="4"/>
    <s v="St.Dalfour"/>
    <s v="|24/28/07|"/>
    <n v="420"/>
    <n v="4.3600000000000003"/>
    <n v="5.1100000000000003"/>
  </r>
  <r>
    <x v="3"/>
    <s v="Convenience stores"/>
    <x v="10"/>
    <s v="St.Dalfour"/>
    <s v="|120/01/13|"/>
    <n v="480"/>
    <n v="3.97"/>
    <n v="6.86"/>
  </r>
  <r>
    <x v="3"/>
    <s v="Convenience stores"/>
    <x v="10"/>
    <s v="St.Dalfour"/>
    <s v="|24/01/01|"/>
    <n v="528"/>
    <n v="3.39"/>
    <n v="6.94"/>
  </r>
  <r>
    <x v="3"/>
    <s v="Convenience stores"/>
    <x v="10"/>
    <s v="St.Dalfour"/>
    <s v="|24/01/02|"/>
    <n v="468"/>
    <n v="4.26"/>
    <n v="6.02"/>
  </r>
  <r>
    <x v="3"/>
    <s v="Convenience stores"/>
    <x v="10"/>
    <s v="St.Dalfour"/>
    <s v="|24/01/03|"/>
    <n v="480"/>
    <n v="3.83"/>
    <n v="6.84"/>
  </r>
  <r>
    <x v="3"/>
    <s v="Convenience stores"/>
    <x v="10"/>
    <s v="St.Dalfour"/>
    <s v="|24/01/04|"/>
    <n v="480"/>
    <n v="3.32"/>
    <n v="6.42"/>
  </r>
  <r>
    <x v="3"/>
    <s v="Convenience stores"/>
    <x v="10"/>
    <s v="St.Dalfour"/>
    <s v="|24/01/05|"/>
    <n v="432"/>
    <n v="4.3600000000000003"/>
    <n v="5.69"/>
  </r>
  <r>
    <x v="3"/>
    <s v="Convenience stores"/>
    <x v="10"/>
    <s v="St.Dalfour"/>
    <s v="|24/01/06|"/>
    <n v="360"/>
    <n v="4.9400000000000004"/>
    <n v="6.73"/>
  </r>
  <r>
    <x v="3"/>
    <s v="Convenience stores"/>
    <x v="10"/>
    <s v="St.Dalfour"/>
    <s v="|24/01/07|"/>
    <n v="516"/>
    <n v="3.65"/>
    <n v="6.44"/>
  </r>
  <r>
    <x v="3"/>
    <s v="Convenience stores"/>
    <x v="10"/>
    <s v="St.Dalfour"/>
    <s v="|24/01/08|"/>
    <n v="516"/>
    <n v="4.38"/>
    <n v="5.7"/>
  </r>
  <r>
    <x v="3"/>
    <s v="Convenience stores"/>
    <x v="10"/>
    <s v="St.Dalfour"/>
    <s v="|24/01/09|"/>
    <n v="528"/>
    <n v="3.58"/>
    <n v="6.06"/>
  </r>
  <r>
    <x v="3"/>
    <s v="Convenience stores"/>
    <x v="10"/>
    <s v="St.Dalfour"/>
    <s v="|24/01/30|"/>
    <n v="492"/>
    <n v="4.22"/>
    <n v="5.59"/>
  </r>
  <r>
    <x v="3"/>
    <s v="Convenience stores"/>
    <x v="10"/>
    <s v="St.Dalfour"/>
    <s v="|24/01/31|"/>
    <n v="432"/>
    <n v="3.58"/>
    <n v="5.58"/>
  </r>
  <r>
    <x v="3"/>
    <s v="Convenience stores"/>
    <x v="10"/>
    <s v="St.Dalfour"/>
    <s v="|24/01/32|"/>
    <n v="456"/>
    <n v="4.5"/>
    <n v="5.41"/>
  </r>
  <r>
    <x v="3"/>
    <s v="Convenience stores"/>
    <x v="10"/>
    <s v="St.Dalfour"/>
    <s v="|24/01/33|"/>
    <n v="444"/>
    <n v="3.72"/>
    <n v="5.55"/>
  </r>
  <r>
    <x v="3"/>
    <s v="Convenience stores"/>
    <x v="10"/>
    <s v="St.Dalfour"/>
    <s v="|24/01/34|"/>
    <n v="540"/>
    <n v="3.29"/>
    <n v="6.92"/>
  </r>
  <r>
    <x v="3"/>
    <s v="Convenience stores"/>
    <x v="10"/>
    <s v="St.Dalfour"/>
    <s v="|24/01/35|"/>
    <n v="456"/>
    <n v="4.25"/>
    <n v="6.62"/>
  </r>
  <r>
    <x v="3"/>
    <s v="Convenience stores"/>
    <x v="10"/>
    <s v="St.Dalfour"/>
    <s v="|24/01/36|"/>
    <n v="360"/>
    <n v="3.8"/>
    <n v="6.91"/>
  </r>
  <r>
    <x v="3"/>
    <s v="Convenience stores"/>
    <x v="10"/>
    <s v="St.Dalfour"/>
    <s v="|24/01/37|"/>
    <n v="468"/>
    <n v="4.8899999999999997"/>
    <n v="5.38"/>
  </r>
  <r>
    <x v="3"/>
    <s v="Convenience stores"/>
    <x v="10"/>
    <s v="St.Dalfour"/>
    <s v="|24/01/38|"/>
    <n v="360"/>
    <n v="3.55"/>
    <n v="6.57"/>
  </r>
  <r>
    <x v="3"/>
    <s v="Convenience stores"/>
    <x v="10"/>
    <s v="St.Dalfour"/>
    <s v="|24/24/01|"/>
    <n v="432"/>
    <n v="4.18"/>
    <n v="6.54"/>
  </r>
  <r>
    <x v="3"/>
    <s v="Convenience stores"/>
    <x v="10"/>
    <s v="St.Dalfour"/>
    <s v="|24/24/02|"/>
    <n v="408"/>
    <n v="4.8899999999999997"/>
    <n v="5.72"/>
  </r>
  <r>
    <x v="3"/>
    <s v="Convenience stores"/>
    <x v="10"/>
    <s v="St.Dalfour"/>
    <s v="|24/24/03|"/>
    <n v="432"/>
    <n v="4.59"/>
    <n v="6.61"/>
  </r>
  <r>
    <x v="3"/>
    <s v="Convenience stores"/>
    <x v="10"/>
    <s v="St.Dalfour"/>
    <s v="|24/24/04|"/>
    <n v="540"/>
    <n v="4.3499999999999996"/>
    <n v="5.96"/>
  </r>
  <r>
    <x v="3"/>
    <s v="Convenience stores"/>
    <x v="10"/>
    <s v="St.Dalfour"/>
    <s v="|24/24/05|"/>
    <n v="516"/>
    <n v="4.03"/>
    <n v="6.18"/>
  </r>
  <r>
    <x v="3"/>
    <s v="Convenience stores"/>
    <x v="10"/>
    <s v="St.Dalfour"/>
    <s v="|24/24/06|"/>
    <n v="516"/>
    <n v="4.24"/>
    <n v="6.41"/>
  </r>
  <r>
    <x v="3"/>
    <s v="Convenience stores"/>
    <x v="10"/>
    <s v="St.Dalfour"/>
    <s v="|24/24/07|"/>
    <n v="444"/>
    <n v="4.7300000000000004"/>
    <n v="6.18"/>
  </r>
  <r>
    <x v="3"/>
    <s v="Convenience stores"/>
    <x v="10"/>
    <s v="St.Dalfour"/>
    <s v="|24/24/08|"/>
    <n v="468"/>
    <n v="3.42"/>
    <n v="6.89"/>
  </r>
  <r>
    <x v="3"/>
    <s v="Convenience stores"/>
    <x v="10"/>
    <s v="St.Dalfour"/>
    <s v="|24/24/09|"/>
    <n v="456"/>
    <n v="5"/>
    <n v="5.57"/>
  </r>
  <r>
    <x v="3"/>
    <s v="Convenience stores"/>
    <x v="10"/>
    <s v="St.Dalfour"/>
    <s v="|24/24/10|"/>
    <n v="516"/>
    <n v="3.77"/>
    <n v="5.97"/>
  </r>
  <r>
    <x v="3"/>
    <s v="Convenience stores"/>
    <x v="10"/>
    <s v="St.Dalfour"/>
    <s v="|24/24/11|"/>
    <n v="420"/>
    <n v="3.75"/>
    <n v="6.57"/>
  </r>
  <r>
    <x v="3"/>
    <s v="Convenience stores"/>
    <x v="10"/>
    <s v="St.Dalfour"/>
    <s v="|24/24/12|"/>
    <n v="516"/>
    <n v="4.37"/>
    <n v="5.43"/>
  </r>
  <r>
    <x v="3"/>
    <s v="Convenience stores"/>
    <x v="10"/>
    <s v="St.Dalfour"/>
    <s v="|24/24/13|"/>
    <n v="408"/>
    <n v="3.61"/>
    <n v="5.15"/>
  </r>
  <r>
    <x v="3"/>
    <s v="Convenience stores"/>
    <x v="10"/>
    <s v="St.Dalfour"/>
    <s v="|24/24/14|"/>
    <n v="432"/>
    <n v="4.7699999999999996"/>
    <n v="5.15"/>
  </r>
  <r>
    <x v="3"/>
    <s v="Convenience stores"/>
    <x v="10"/>
    <s v="St.Dalfour"/>
    <s v="|24/24/15|"/>
    <n v="516"/>
    <n v="3.64"/>
    <n v="6.31"/>
  </r>
  <r>
    <x v="3"/>
    <s v="Convenience stores"/>
    <x v="10"/>
    <s v="St.Dalfour"/>
    <s v="|24/24/16|"/>
    <n v="420"/>
    <n v="3.93"/>
    <n v="5.93"/>
  </r>
  <r>
    <x v="3"/>
    <s v="Convenience stores"/>
    <x v="10"/>
    <s v="St.Dalfour"/>
    <s v="|24/24/17|"/>
    <n v="540"/>
    <n v="3.42"/>
    <n v="6.33"/>
  </r>
  <r>
    <x v="3"/>
    <s v="Convenience stores"/>
    <x v="10"/>
    <s v="St.Dalfour"/>
    <s v="|24/24/18|"/>
    <n v="384"/>
    <n v="4.8899999999999997"/>
    <n v="5.15"/>
  </r>
  <r>
    <x v="3"/>
    <s v="Convenience stores"/>
    <x v="10"/>
    <s v="St.Dalfour"/>
    <s v="|24/24/19|"/>
    <n v="432"/>
    <n v="4.7300000000000004"/>
    <n v="5.59"/>
  </r>
  <r>
    <x v="3"/>
    <s v="Convenience stores"/>
    <x v="10"/>
    <s v="St.Dalfour"/>
    <s v="|24/24/31|"/>
    <n v="360"/>
    <n v="3.71"/>
    <n v="6.02"/>
  </r>
  <r>
    <x v="3"/>
    <s v="Convenience stores"/>
    <x v="10"/>
    <s v="St.Dalfour"/>
    <s v="|24/24/32|"/>
    <n v="396"/>
    <n v="4.18"/>
    <n v="5.05"/>
  </r>
  <r>
    <x v="3"/>
    <s v="Convenience stores"/>
    <x v="10"/>
    <s v="St.Dalfour"/>
    <s v="|24/24/33|"/>
    <n v="444"/>
    <n v="3.53"/>
    <n v="6.36"/>
  </r>
  <r>
    <x v="3"/>
    <s v="Convenience stores"/>
    <x v="10"/>
    <s v="St.Dalfour"/>
    <s v="|24/24/34|"/>
    <n v="516"/>
    <n v="3.96"/>
    <n v="6.58"/>
  </r>
  <r>
    <x v="3"/>
    <s v="Convenience stores"/>
    <x v="10"/>
    <s v="St.Dalfour"/>
    <s v="|24/24/35|"/>
    <n v="372"/>
    <n v="4.28"/>
    <n v="5.8"/>
  </r>
  <r>
    <x v="3"/>
    <s v="Convenience stores"/>
    <x v="10"/>
    <s v="St.Dalfour"/>
    <s v="|24/24/36|"/>
    <n v="372"/>
    <n v="4.18"/>
    <n v="5.16"/>
  </r>
  <r>
    <x v="3"/>
    <s v="Convenience stores"/>
    <x v="10"/>
    <s v="St.Dalfour"/>
    <s v="|24/24/37|"/>
    <n v="504"/>
    <n v="4.0199999999999996"/>
    <n v="6.49"/>
  </r>
  <r>
    <x v="3"/>
    <s v="Convenience stores"/>
    <x v="10"/>
    <s v="St.Dalfour"/>
    <s v="|24/24/38|"/>
    <n v="432"/>
    <n v="3.77"/>
    <n v="5.85"/>
  </r>
  <r>
    <x v="3"/>
    <s v="Convenience stores"/>
    <x v="10"/>
    <s v="St.Dalfour"/>
    <s v="|24/24/39|"/>
    <n v="360"/>
    <n v="3.68"/>
    <n v="6.09"/>
  </r>
  <r>
    <x v="3"/>
    <s v="Convenience stores"/>
    <x v="10"/>
    <s v="St.Dalfour"/>
    <s v="|24/24/40|"/>
    <n v="480"/>
    <n v="4.74"/>
    <n v="5.19"/>
  </r>
  <r>
    <x v="3"/>
    <s v="Convenience stores"/>
    <x v="10"/>
    <s v="St.Dalfour"/>
    <s v="|24/24/41|"/>
    <n v="456"/>
    <n v="4.74"/>
    <n v="6.26"/>
  </r>
  <r>
    <x v="3"/>
    <s v="Convenience stores"/>
    <x v="10"/>
    <s v="St.Dalfour"/>
    <s v="|24/24/42|"/>
    <n v="504"/>
    <n v="4.37"/>
    <n v="5.86"/>
  </r>
  <r>
    <x v="3"/>
    <s v="Convenience stores"/>
    <x v="10"/>
    <s v="St.Dalfour"/>
    <s v="|24/24/43|"/>
    <n v="420"/>
    <n v="3.5"/>
    <n v="6.69"/>
  </r>
  <r>
    <x v="3"/>
    <s v="Convenience stores"/>
    <x v="10"/>
    <s v="St.Dalfour"/>
    <s v="|24/24/44|"/>
    <n v="408"/>
    <n v="4.84"/>
    <n v="5.24"/>
  </r>
  <r>
    <x v="3"/>
    <s v="Convenience stores"/>
    <x v="10"/>
    <s v="St.Dalfour"/>
    <s v="|24/24/45|"/>
    <n v="396"/>
    <n v="4.93"/>
    <n v="5.14"/>
  </r>
  <r>
    <x v="3"/>
    <s v="Convenience stores"/>
    <x v="10"/>
    <s v="St.Dalfour"/>
    <s v="|24/24/50|"/>
    <n v="456"/>
    <n v="3.87"/>
    <n v="5.99"/>
  </r>
  <r>
    <x v="3"/>
    <s v="Convenience stores"/>
    <x v="10"/>
    <s v="St.Dalfour"/>
    <s v="|24/25/01|"/>
    <n v="432"/>
    <n v="4.75"/>
    <n v="6.8"/>
  </r>
  <r>
    <x v="3"/>
    <s v="Convenience stores"/>
    <x v="10"/>
    <s v="St.Dalfour"/>
    <s v="|24/25/02|"/>
    <n v="492"/>
    <n v="3.51"/>
    <n v="6.63"/>
  </r>
  <r>
    <x v="3"/>
    <s v="Convenience stores"/>
    <x v="10"/>
    <s v="St.Dalfour"/>
    <s v="|24/26/01|"/>
    <n v="408"/>
    <n v="3.49"/>
    <n v="5.45"/>
  </r>
  <r>
    <x v="3"/>
    <s v="Convenience stores"/>
    <x v="10"/>
    <s v="St.Dalfour"/>
    <s v="|24/26/02|"/>
    <n v="444"/>
    <n v="4.45"/>
    <n v="5.44"/>
  </r>
  <r>
    <x v="3"/>
    <s v="Convenience stores"/>
    <x v="10"/>
    <s v="St.Dalfour"/>
    <s v="|24/26/03|"/>
    <n v="480"/>
    <n v="3.98"/>
    <n v="5.36"/>
  </r>
  <r>
    <x v="3"/>
    <s v="Convenience stores"/>
    <x v="10"/>
    <s v="St.Dalfour"/>
    <s v="|24/26/04|"/>
    <n v="408"/>
    <n v="3.78"/>
    <n v="5.27"/>
  </r>
  <r>
    <x v="3"/>
    <s v="Convenience stores"/>
    <x v="10"/>
    <s v="St.Dalfour"/>
    <s v="|24/27/01|"/>
    <n v="444"/>
    <n v="4.3499999999999996"/>
    <n v="5.14"/>
  </r>
  <r>
    <x v="3"/>
    <s v="Convenience stores"/>
    <x v="10"/>
    <s v="St.Dalfour"/>
    <s v="|24/27/02|"/>
    <n v="432"/>
    <n v="3.07"/>
    <n v="6.62"/>
  </r>
  <r>
    <x v="3"/>
    <s v="Convenience stores"/>
    <x v="10"/>
    <s v="St.Dalfour"/>
    <s v="|24/27/03|"/>
    <n v="360"/>
    <n v="3.74"/>
    <n v="5.09"/>
  </r>
  <r>
    <x v="3"/>
    <s v="Convenience stores"/>
    <x v="9"/>
    <s v="P&amp;G"/>
    <s v="|128/01/01|"/>
    <n v="492"/>
    <n v="1.59"/>
    <n v="2"/>
  </r>
  <r>
    <x v="3"/>
    <s v="Convenience stores"/>
    <x v="9"/>
    <s v="P&amp;G"/>
    <s v="|128/01/02|"/>
    <n v="792"/>
    <n v="1.88"/>
    <n v="2.82"/>
  </r>
  <r>
    <x v="3"/>
    <s v="Convenience stores"/>
    <x v="9"/>
    <s v="P&amp;G"/>
    <s v="|128/01/03|"/>
    <n v="624"/>
    <n v="2.25"/>
    <n v="3.4"/>
  </r>
  <r>
    <x v="3"/>
    <s v="Convenience stores"/>
    <x v="9"/>
    <s v="P&amp;G"/>
    <s v="|128/01/04|"/>
    <n v="1056"/>
    <n v="1.35"/>
    <n v="3.21"/>
  </r>
  <r>
    <x v="3"/>
    <s v="Convenience stores"/>
    <x v="9"/>
    <s v="P&amp;G"/>
    <s v="|128/01/05|"/>
    <n v="1116"/>
    <n v="2.2200000000000002"/>
    <n v="2.76"/>
  </r>
  <r>
    <x v="3"/>
    <s v="Convenience stores"/>
    <x v="9"/>
    <s v="P&amp;G"/>
    <s v="|128/01/06|"/>
    <n v="480"/>
    <n v="2.2400000000000002"/>
    <n v="2.2200000000000002"/>
  </r>
  <r>
    <x v="3"/>
    <s v="Convenience stores"/>
    <x v="9"/>
    <s v="P&amp;G"/>
    <s v="|128/01/07|"/>
    <n v="1116"/>
    <n v="1.31"/>
    <n v="2.4300000000000002"/>
  </r>
  <r>
    <x v="3"/>
    <s v="Convenience stores"/>
    <x v="9"/>
    <s v="P&amp;G"/>
    <s v="|128/01/08|"/>
    <n v="372"/>
    <n v="2.25"/>
    <n v="3.31"/>
  </r>
  <r>
    <x v="3"/>
    <s v="Convenience stores"/>
    <x v="9"/>
    <s v="P&amp;G"/>
    <s v="|128/01/10|"/>
    <n v="696"/>
    <n v="1.79"/>
    <n v="2.76"/>
  </r>
  <r>
    <x v="3"/>
    <s v="Convenience stores"/>
    <x v="1"/>
    <s v="KBG"/>
    <s v="|117/02/01|"/>
    <n v="516"/>
    <n v="6.62"/>
    <n v="8.086666666666666"/>
  </r>
  <r>
    <x v="3"/>
    <s v="Convenience stores"/>
    <x v="1"/>
    <s v="KBG"/>
    <s v="|117/02/02|"/>
    <n v="564"/>
    <n v="6.5133333333333336"/>
    <n v="7.9933333333333332"/>
  </r>
  <r>
    <x v="3"/>
    <s v="Convenience stores"/>
    <x v="1"/>
    <s v="KBG"/>
    <s v="|117/02/03|"/>
    <n v="480"/>
    <n v="5.9533333333333331"/>
    <n v="8.1533333333333342"/>
  </r>
  <r>
    <x v="3"/>
    <s v="Convenience stores"/>
    <x v="1"/>
    <s v="KBG"/>
    <s v="|117/02/04|"/>
    <n v="444"/>
    <n v="6.4066666666666663"/>
    <n v="7.92"/>
  </r>
  <r>
    <x v="3"/>
    <s v="Convenience stores"/>
    <x v="1"/>
    <s v="KBG"/>
    <s v="|117/02/05|"/>
    <n v="480"/>
    <n v="6.6333333333333337"/>
    <n v="7.3866666666666667"/>
  </r>
  <r>
    <x v="3"/>
    <s v="Convenience stores"/>
    <x v="1"/>
    <s v="KBG"/>
    <s v="|117/02/06|"/>
    <n v="468"/>
    <n v="5.8266666666666671"/>
    <n v="8.6133333333333333"/>
  </r>
  <r>
    <x v="3"/>
    <s v="Convenience stores"/>
    <x v="1"/>
    <s v="KBG"/>
    <s v="|117/02/07|"/>
    <n v="492"/>
    <n v="5.9733333333333336"/>
    <n v="8.4600000000000009"/>
  </r>
  <r>
    <x v="3"/>
    <s v="Convenience stores"/>
    <x v="1"/>
    <s v="KBG"/>
    <s v="|117/02/08|"/>
    <n v="624"/>
    <n v="5.2666666666666666"/>
    <n v="7.4266666666666667"/>
  </r>
  <r>
    <x v="3"/>
    <s v="Convenience stores"/>
    <x v="1"/>
    <s v="KBG"/>
    <s v="|117/02/12|"/>
    <n v="420"/>
    <n v="6.06"/>
    <n v="8.5333333333333332"/>
  </r>
  <r>
    <x v="3"/>
    <s v="Convenience stores"/>
    <x v="1"/>
    <s v="KBG"/>
    <s v="|117/02/14|"/>
    <n v="588"/>
    <n v="6.3266666666666671"/>
    <n v="7.92"/>
  </r>
  <r>
    <x v="3"/>
    <s v="Convenience stores"/>
    <x v="7"/>
    <s v="KBG"/>
    <s v="|117/01/01|"/>
    <n v="1116"/>
    <n v="2.79"/>
    <n v="3.85"/>
  </r>
  <r>
    <x v="3"/>
    <s v="Convenience stores"/>
    <x v="7"/>
    <s v="KBG"/>
    <s v="|117/01/02|"/>
    <n v="1080"/>
    <n v="2.4"/>
    <n v="4"/>
  </r>
  <r>
    <x v="3"/>
    <s v="Convenience stores"/>
    <x v="7"/>
    <s v="KBG"/>
    <s v="|117/01/03|"/>
    <n v="1068"/>
    <n v="2.1"/>
    <n v="3.7"/>
  </r>
  <r>
    <x v="3"/>
    <s v="Convenience stores"/>
    <x v="7"/>
    <s v="KBG"/>
    <s v="|117/01/04|"/>
    <n v="828"/>
    <n v="2.84"/>
    <n v="3.67"/>
  </r>
  <r>
    <x v="3"/>
    <s v="Convenience stores"/>
    <x v="7"/>
    <s v="KBG"/>
    <s v="|117/01/05|"/>
    <n v="780"/>
    <n v="2.95"/>
    <n v="3.47"/>
  </r>
  <r>
    <x v="3"/>
    <s v="Convenience stores"/>
    <x v="7"/>
    <s v="KBG"/>
    <s v="|117/01/06|"/>
    <n v="972"/>
    <n v="2.09"/>
    <n v="3.74"/>
  </r>
  <r>
    <x v="3"/>
    <s v="Convenience stores"/>
    <x v="7"/>
    <s v="KBG"/>
    <s v="|117/01/07|"/>
    <n v="792"/>
    <n v="2.48"/>
    <n v="3.64"/>
  </r>
  <r>
    <x v="3"/>
    <s v="Convenience stores"/>
    <x v="7"/>
    <s v="KBG"/>
    <s v="|117/01/08|"/>
    <n v="672"/>
    <n v="2.79"/>
    <n v="3.37"/>
  </r>
  <r>
    <x v="3"/>
    <s v="Convenience stores"/>
    <x v="7"/>
    <s v="KBG"/>
    <s v="|117/01/09|"/>
    <n v="816"/>
    <n v="2.77"/>
    <n v="3.98"/>
  </r>
  <r>
    <x v="3"/>
    <s v="Convenience stores"/>
    <x v="7"/>
    <s v="KBG"/>
    <s v="|117/01/10|"/>
    <n v="720"/>
    <n v="2.56"/>
    <n v="3.28"/>
  </r>
  <r>
    <x v="3"/>
    <s v="Convenience stores"/>
    <x v="7"/>
    <s v="KBG"/>
    <s v="|117/01/11|"/>
    <n v="1128"/>
    <n v="2.63"/>
    <n v="3.88"/>
  </r>
  <r>
    <x v="3"/>
    <s v="Convenience stores"/>
    <x v="7"/>
    <s v="KBG"/>
    <s v="|117/01/12|"/>
    <n v="864"/>
    <n v="2.5099999999999998"/>
    <n v="3.45"/>
  </r>
  <r>
    <x v="3"/>
    <s v="Convenience stores"/>
    <x v="7"/>
    <s v="KBG"/>
    <s v="|117/01/13|"/>
    <n v="1188"/>
    <n v="2.57"/>
    <n v="3.39"/>
  </r>
  <r>
    <x v="3"/>
    <s v="Convenience stores"/>
    <x v="7"/>
    <s v="KBG"/>
    <s v="|117/01/14|"/>
    <n v="636"/>
    <n v="2.67"/>
    <n v="3.25"/>
  </r>
  <r>
    <x v="3"/>
    <s v="Convenience stores"/>
    <x v="7"/>
    <s v="KBG"/>
    <s v="|117/01/15|"/>
    <n v="1056"/>
    <n v="2.76"/>
    <n v="3.33"/>
  </r>
  <r>
    <x v="3"/>
    <s v="Convenience stores"/>
    <x v="7"/>
    <s v="KBG"/>
    <s v="|117/01/16|"/>
    <n v="1188"/>
    <n v="2.99"/>
    <n v="3.95"/>
  </r>
  <r>
    <x v="3"/>
    <s v="Convenience stores"/>
    <x v="7"/>
    <s v="KBG"/>
    <s v="|117/01/17|"/>
    <n v="1188"/>
    <n v="2.75"/>
    <n v="3.59"/>
  </r>
  <r>
    <x v="3"/>
    <s v="Convenience stores"/>
    <x v="7"/>
    <s v="KBG"/>
    <s v="|117/01/18|"/>
    <n v="864"/>
    <n v="2"/>
    <n v="3.86"/>
  </r>
  <r>
    <x v="3"/>
    <s v="Convenience stores"/>
    <x v="7"/>
    <s v="KBG"/>
    <s v="|117/01/19|"/>
    <n v="804"/>
    <n v="2.17"/>
    <n v="3.66"/>
  </r>
  <r>
    <x v="3"/>
    <s v="Convenience stores"/>
    <x v="6"/>
    <s v="Cherry dreams"/>
    <s v="|47/01/01|"/>
    <n v="2412"/>
    <n v="2.73"/>
    <n v="3.61"/>
  </r>
  <r>
    <x v="3"/>
    <s v="Convenience stores"/>
    <x v="6"/>
    <s v="Cherry dreams"/>
    <s v="|47/01/02|"/>
    <n v="1260"/>
    <n v="2.58"/>
    <n v="3.89"/>
  </r>
  <r>
    <x v="3"/>
    <s v="Convenience stores"/>
    <x v="6"/>
    <s v="Cherry dreams"/>
    <s v="|47/01/03|"/>
    <n v="2100"/>
    <n v="2.72"/>
    <n v="3.41"/>
  </r>
  <r>
    <x v="3"/>
    <s v="Convenience stores"/>
    <x v="6"/>
    <s v="Cherry dreams"/>
    <s v="|47/01/04|"/>
    <n v="2100"/>
    <n v="2.68"/>
    <n v="3.51"/>
  </r>
  <r>
    <x v="3"/>
    <s v="Convenience stores"/>
    <x v="6"/>
    <s v="Cherry dreams"/>
    <s v="|47/01/05|"/>
    <n v="1848"/>
    <n v="2.85"/>
    <n v="3.71"/>
  </r>
  <r>
    <x v="3"/>
    <s v="Convenience stores"/>
    <x v="6"/>
    <s v="Cherry dreams"/>
    <s v="|47/01/06|"/>
    <n v="2496"/>
    <n v="2.4300000000000002"/>
    <n v="3.36"/>
  </r>
  <r>
    <x v="3"/>
    <s v="Convenience stores"/>
    <x v="6"/>
    <s v="Cherry dreams"/>
    <s v="|47/01/07|"/>
    <n v="1512"/>
    <n v="2.58"/>
    <n v="3.74"/>
  </r>
  <r>
    <x v="3"/>
    <s v="Convenience stores"/>
    <x v="6"/>
    <s v="Cherry dreams"/>
    <s v="|47/01/08|"/>
    <n v="2352"/>
    <n v="2.54"/>
    <n v="3.62"/>
  </r>
  <r>
    <x v="3"/>
    <s v="Convenience stores"/>
    <x v="6"/>
    <s v="Cherry dreams"/>
    <s v="|47/01/09|"/>
    <n v="1440"/>
    <n v="2.76"/>
    <n v="3.57"/>
  </r>
  <r>
    <x v="3"/>
    <s v="Convenience stores"/>
    <x v="6"/>
    <s v="Cherry dreams"/>
    <s v="|47/01/10|"/>
    <n v="2256"/>
    <n v="2.94"/>
    <n v="3.77"/>
  </r>
  <r>
    <x v="3"/>
    <s v="Convenience stores"/>
    <x v="6"/>
    <s v="Cherry dreams"/>
    <s v="|47/01/11|"/>
    <n v="1380"/>
    <n v="2.98"/>
    <n v="3.93"/>
  </r>
  <r>
    <x v="3"/>
    <s v="Convenience stores"/>
    <x v="6"/>
    <s v="Cherry dreams"/>
    <s v="|47/01/12|"/>
    <n v="1788"/>
    <n v="2.56"/>
    <n v="3.38"/>
  </r>
  <r>
    <x v="3"/>
    <s v="Convenience stores"/>
    <x v="4"/>
    <s v="Green Farm"/>
    <s v="|01/03/01|"/>
    <n v="384"/>
    <n v="4.49"/>
    <n v="5.27"/>
  </r>
  <r>
    <x v="3"/>
    <s v="Convenience stores"/>
    <x v="4"/>
    <s v="Green Farm"/>
    <s v="|01/03/02|"/>
    <n v="324"/>
    <n v="4.87"/>
    <n v="5.29"/>
  </r>
  <r>
    <x v="3"/>
    <s v="Convenience stores"/>
    <x v="4"/>
    <s v="Green Farm"/>
    <s v="|01/03/04|"/>
    <n v="348"/>
    <n v="4.0199999999999996"/>
    <n v="5.35"/>
  </r>
  <r>
    <x v="3"/>
    <s v="Convenience stores"/>
    <x v="4"/>
    <s v="Green Farm"/>
    <s v="|01/03/05|"/>
    <n v="456"/>
    <n v="4.32"/>
    <n v="5.17"/>
  </r>
  <r>
    <x v="3"/>
    <s v="Convenience stores"/>
    <x v="4"/>
    <s v="Green Farm"/>
    <s v="|01/03/07|"/>
    <n v="300"/>
    <n v="4.76"/>
    <n v="5.37"/>
  </r>
  <r>
    <x v="3"/>
    <s v="Convenience stores"/>
    <x v="4"/>
    <s v="Green Farm"/>
    <s v="|01/03/08|"/>
    <n v="576"/>
    <n v="4.63"/>
    <n v="5.31"/>
  </r>
  <r>
    <x v="3"/>
    <s v="Convenience stores"/>
    <x v="2"/>
    <s v="Green Farm"/>
    <s v="|01/03/09|"/>
    <n v="9396"/>
    <n v="0.44"/>
    <n v="0.97"/>
  </r>
  <r>
    <x v="3"/>
    <s v="Convenience stores"/>
    <x v="2"/>
    <s v="Green Farm"/>
    <s v="|01/03/10|"/>
    <n v="8940"/>
    <n v="0.53"/>
    <n v="0.95"/>
  </r>
  <r>
    <x v="3"/>
    <s v="Convenience stores"/>
    <x v="2"/>
    <s v="Green Farm"/>
    <s v="|01/03/12|"/>
    <n v="8208"/>
    <n v="0.46"/>
    <n v="0.92"/>
  </r>
  <r>
    <x v="3"/>
    <s v="Convenience stores"/>
    <x v="2"/>
    <s v="Green Farm"/>
    <s v="|01/03/14|"/>
    <n v="7188"/>
    <n v="0.84"/>
    <n v="1.01"/>
  </r>
  <r>
    <x v="3"/>
    <s v="Convenience stores"/>
    <x v="2"/>
    <s v="Green Farm"/>
    <s v="|01/03/15|"/>
    <n v="5148"/>
    <n v="1.07"/>
    <n v="0.93"/>
  </r>
  <r>
    <x v="3"/>
    <s v="Convenience stores"/>
    <x v="2"/>
    <s v="Green Farm"/>
    <s v="|01/03/16|"/>
    <n v="7212"/>
    <n v="1.1499999999999999"/>
    <n v="0.96"/>
  </r>
  <r>
    <x v="3"/>
    <s v="Convenience stores"/>
    <x v="2"/>
    <s v="Green Farm"/>
    <s v="|01/03/17|"/>
    <n v="5364"/>
    <n v="0.79"/>
    <n v="1.08"/>
  </r>
  <r>
    <x v="3"/>
    <s v="Convenience stores"/>
    <x v="2"/>
    <s v="Green Farm"/>
    <s v="|01/03/18|"/>
    <n v="8844"/>
    <n v="1.03"/>
    <n v="1.08"/>
  </r>
  <r>
    <x v="3"/>
    <s v="Convenience stores"/>
    <x v="2"/>
    <s v="Green Farm"/>
    <s v="|01/03/19|"/>
    <n v="9576"/>
    <n v="1.04"/>
    <n v="1.05"/>
  </r>
  <r>
    <x v="3"/>
    <s v="Convenience stores"/>
    <x v="4"/>
    <s v="Green Farm"/>
    <s v="|01/03/21|"/>
    <n v="420"/>
    <n v="4.76"/>
    <n v="5.12"/>
  </r>
  <r>
    <x v="3"/>
    <s v="Convenience stores"/>
    <x v="4"/>
    <s v="Green Farm"/>
    <s v="|01/03/22|"/>
    <n v="684"/>
    <n v="4.9800000000000004"/>
    <n v="5.4"/>
  </r>
  <r>
    <x v="3"/>
    <s v="Convenience stores"/>
    <x v="4"/>
    <s v="Green Farm"/>
    <s v="|01/03/23|"/>
    <n v="432"/>
    <n v="4.54"/>
    <n v="5.2"/>
  </r>
  <r>
    <x v="3"/>
    <s v="Convenience stores"/>
    <x v="7"/>
    <s v="C&amp;C vegetables"/>
    <s v="|114/01/01|"/>
    <n v="996"/>
    <n v="2.5499999999999998"/>
    <n v="3.89"/>
  </r>
  <r>
    <x v="3"/>
    <s v="Convenience stores"/>
    <x v="7"/>
    <s v="C&amp;C vegetables"/>
    <s v="|114/01/02|"/>
    <n v="1128"/>
    <n v="2.73"/>
    <n v="3.81"/>
  </r>
  <r>
    <x v="3"/>
    <s v="Convenience stores"/>
    <x v="7"/>
    <s v="C&amp;C vegetables"/>
    <s v="|114/01/03|"/>
    <n v="672"/>
    <n v="3"/>
    <n v="3.77"/>
  </r>
  <r>
    <x v="3"/>
    <s v="Convenience stores"/>
    <x v="7"/>
    <s v="C&amp;C vegetables"/>
    <s v="|114/01/04|"/>
    <n v="720"/>
    <n v="2.89"/>
    <n v="3.64"/>
  </r>
  <r>
    <x v="3"/>
    <s v="Convenience stores"/>
    <x v="7"/>
    <s v="C&amp;C vegetables"/>
    <s v="|114/01/05|"/>
    <n v="924"/>
    <n v="2.91"/>
    <n v="3.74"/>
  </r>
  <r>
    <x v="3"/>
    <s v="Convenience stores"/>
    <x v="7"/>
    <s v="C&amp;C vegetables"/>
    <s v="|114/01/06|"/>
    <n v="1092"/>
    <n v="2.9"/>
    <n v="3.8"/>
  </r>
  <r>
    <x v="3"/>
    <s v="Convenience stores"/>
    <x v="7"/>
    <s v="C&amp;C vegetables"/>
    <s v="|114/01/07|"/>
    <n v="744"/>
    <n v="2.88"/>
    <n v="3.76"/>
  </r>
  <r>
    <x v="3"/>
    <s v="Convenience stores"/>
    <x v="7"/>
    <s v="C&amp;C vegetables"/>
    <s v="|114/01/08|"/>
    <n v="888"/>
    <n v="2.14"/>
    <n v="3.7"/>
  </r>
  <r>
    <x v="3"/>
    <s v="Convenience stores"/>
    <x v="7"/>
    <s v="C&amp;C vegetables"/>
    <s v="|114/01/09|"/>
    <n v="1020"/>
    <n v="2.63"/>
    <n v="3.51"/>
  </r>
  <r>
    <x v="3"/>
    <s v="Convenience stores"/>
    <x v="7"/>
    <s v="C&amp;C vegetables"/>
    <s v="|114/01/10|"/>
    <n v="684"/>
    <n v="2.62"/>
    <n v="3.83"/>
  </r>
  <r>
    <x v="3"/>
    <s v="Convenience stores"/>
    <x v="7"/>
    <s v="C&amp;C vegetables"/>
    <s v="|114/01/11|"/>
    <n v="936"/>
    <n v="2.46"/>
    <n v="3.21"/>
  </r>
  <r>
    <x v="3"/>
    <s v="Convenience stores"/>
    <x v="7"/>
    <s v="C&amp;C vegetables"/>
    <s v="|114/01/12|"/>
    <n v="768"/>
    <n v="2.98"/>
    <n v="3.38"/>
  </r>
  <r>
    <x v="3"/>
    <s v="Convenience stores"/>
    <x v="7"/>
    <s v="C&amp;C vegetables"/>
    <s v="|114/01/13|"/>
    <n v="804"/>
    <n v="2.0499999999999998"/>
    <n v="3.59"/>
  </r>
  <r>
    <x v="3"/>
    <s v="Convenience stores"/>
    <x v="7"/>
    <s v="C&amp;C vegetables"/>
    <s v="|114/01/14|"/>
    <n v="936"/>
    <n v="2.64"/>
    <n v="3.86"/>
  </r>
  <r>
    <x v="3"/>
    <s v="Convenience stores"/>
    <x v="7"/>
    <s v="C&amp;C vegetables"/>
    <s v="|114/01/15|"/>
    <n v="1044"/>
    <n v="2.85"/>
    <n v="3.42"/>
  </r>
  <r>
    <x v="3"/>
    <s v="Convenience stores"/>
    <x v="7"/>
    <s v="C&amp;C vegetables"/>
    <s v="|114/01/16|"/>
    <n v="1176"/>
    <n v="2.92"/>
    <n v="3.63"/>
  </r>
  <r>
    <x v="3"/>
    <s v="Convenience stores"/>
    <x v="7"/>
    <s v="C&amp;C vegetables"/>
    <s v="|114/01/17|"/>
    <n v="696"/>
    <n v="2.7"/>
    <n v="3.97"/>
  </r>
  <r>
    <x v="3"/>
    <s v="Convenience stores"/>
    <x v="7"/>
    <s v="C&amp;C vegetables"/>
    <s v="|114/01/18|"/>
    <n v="960"/>
    <n v="2.36"/>
    <n v="3.72"/>
  </r>
  <r>
    <x v="3"/>
    <s v="Convenience stores"/>
    <x v="7"/>
    <s v="C&amp;C vegetables"/>
    <s v="|114/01/19|"/>
    <n v="624"/>
    <n v="2.85"/>
    <n v="3.52"/>
  </r>
  <r>
    <x v="3"/>
    <s v="Convenience stores"/>
    <x v="7"/>
    <s v="C&amp;C vegetables"/>
    <s v="|114/01/20|"/>
    <n v="936"/>
    <n v="2.0099999999999998"/>
    <n v="3.81"/>
  </r>
  <r>
    <x v="3"/>
    <s v="Convenience stores"/>
    <x v="7"/>
    <s v="C&amp;C vegetables"/>
    <s v="|114/01/21|"/>
    <n v="768"/>
    <n v="2.91"/>
    <n v="3.84"/>
  </r>
  <r>
    <x v="3"/>
    <s v="Convenience stores"/>
    <x v="7"/>
    <s v="C&amp;C vegetables"/>
    <s v="|114/01/23|"/>
    <n v="720"/>
    <n v="2.92"/>
    <n v="3.38"/>
  </r>
  <r>
    <x v="3"/>
    <s v="Convenience stores"/>
    <x v="7"/>
    <s v="C&amp;C vegetables"/>
    <s v="|114/01/24|"/>
    <n v="1152"/>
    <n v="2.73"/>
    <n v="3.32"/>
  </r>
  <r>
    <x v="3"/>
    <s v="Convenience stores"/>
    <x v="1"/>
    <s v="Gelati e altro"/>
    <s v="|05/00/01|"/>
    <n v="456"/>
    <n v="5.3"/>
    <n v="8.4"/>
  </r>
  <r>
    <x v="3"/>
    <s v="Convenience stores"/>
    <x v="6"/>
    <s v="Gelati e altro"/>
    <s v="|05/04/01|"/>
    <n v="2064"/>
    <n v="2.68"/>
    <n v="3.49"/>
  </r>
  <r>
    <x v="3"/>
    <s v="Convenience stores"/>
    <x v="6"/>
    <s v="Gelati e altro"/>
    <s v="|05/04/02|"/>
    <n v="1332"/>
    <n v="2.4300000000000002"/>
    <n v="3.8"/>
  </r>
  <r>
    <x v="3"/>
    <s v="Convenience stores"/>
    <x v="6"/>
    <s v="Gelati e altro"/>
    <s v="|05/04/03|"/>
    <n v="1620"/>
    <n v="2.87"/>
    <n v="3.65"/>
  </r>
  <r>
    <x v="3"/>
    <s v="Convenience stores"/>
    <x v="6"/>
    <s v="Gelati e altro"/>
    <s v="|05/04/04|"/>
    <n v="1824"/>
    <n v="2.72"/>
    <n v="3.82"/>
  </r>
  <r>
    <x v="3"/>
    <s v="Convenience stores"/>
    <x v="6"/>
    <s v="Gelati e altro"/>
    <s v="|05/04/05|"/>
    <n v="2244"/>
    <n v="2.2999999999999998"/>
    <n v="3.35"/>
  </r>
  <r>
    <x v="3"/>
    <s v="Convenience stores"/>
    <x v="6"/>
    <s v="Gelati e altro"/>
    <s v="|05/04/06|"/>
    <n v="1668"/>
    <n v="2.38"/>
    <n v="3.52"/>
  </r>
  <r>
    <x v="3"/>
    <s v="Convenience stores"/>
    <x v="6"/>
    <s v="Gelati e altro"/>
    <s v="|05/04/07|"/>
    <n v="1632"/>
    <n v="2.85"/>
    <n v="3.3"/>
  </r>
  <r>
    <x v="3"/>
    <s v="Convenience stores"/>
    <x v="6"/>
    <s v="Gelati e altro"/>
    <s v="|05/04/08|"/>
    <n v="1200"/>
    <n v="2.37"/>
    <n v="3.44"/>
  </r>
  <r>
    <x v="3"/>
    <s v="Convenience stores"/>
    <x v="6"/>
    <s v="Gelati e altro"/>
    <s v="|05/04/09|"/>
    <n v="1248"/>
    <n v="2.34"/>
    <n v="3.84"/>
  </r>
  <r>
    <x v="3"/>
    <s v="Convenience stores"/>
    <x v="6"/>
    <s v="Gelati e altro"/>
    <s v="|05/04/10|"/>
    <n v="2196"/>
    <n v="2.58"/>
    <n v="3.89"/>
  </r>
  <r>
    <x v="3"/>
    <s v="Convenience stores"/>
    <x v="6"/>
    <s v="Gelati e altro"/>
    <s v="|05/04/11|"/>
    <n v="1344"/>
    <n v="2.65"/>
    <n v="3.98"/>
  </r>
  <r>
    <x v="3"/>
    <s v="Convenience stores"/>
    <x v="6"/>
    <s v="Gelati e altro"/>
    <s v="|05/04/12|"/>
    <n v="2448"/>
    <n v="2.84"/>
    <n v="3.51"/>
  </r>
  <r>
    <x v="3"/>
    <s v="Convenience stores"/>
    <x v="6"/>
    <s v="Gelati e altro"/>
    <s v="|05/04/13|"/>
    <n v="1800"/>
    <n v="2.48"/>
    <n v="3.95"/>
  </r>
  <r>
    <x v="3"/>
    <s v="Convenience stores"/>
    <x v="4"/>
    <s v="Valtaro"/>
    <s v="|41/01/01|"/>
    <n v="432"/>
    <n v="4.07"/>
    <n v="5.36"/>
  </r>
  <r>
    <x v="3"/>
    <s v="Convenience stores"/>
    <x v="5"/>
    <s v="Buonissimi"/>
    <s v="|53/01/00|"/>
    <n v="1212"/>
    <n v="1.36"/>
    <n v="1.69"/>
  </r>
  <r>
    <x v="3"/>
    <s v="Convenience stores"/>
    <x v="5"/>
    <s v="Buonissimi"/>
    <s v="|53/01/01|"/>
    <n v="912"/>
    <n v="1.5"/>
    <n v="1.81"/>
  </r>
  <r>
    <x v="3"/>
    <s v="Convenience stores"/>
    <x v="5"/>
    <s v="Buonissimi"/>
    <s v="|53/01/02|"/>
    <n v="636"/>
    <n v="1.23"/>
    <n v="1.69"/>
  </r>
  <r>
    <x v="3"/>
    <s v="Convenience stores"/>
    <x v="5"/>
    <s v="Buonissimi"/>
    <s v="|53/01/03|"/>
    <n v="948"/>
    <n v="1.38"/>
    <n v="1.69"/>
  </r>
  <r>
    <x v="3"/>
    <s v="Convenience stores"/>
    <x v="5"/>
    <s v="Buonissimi"/>
    <s v="|53/01/04|"/>
    <n v="648"/>
    <n v="1.3"/>
    <n v="1.79"/>
  </r>
  <r>
    <x v="3"/>
    <s v="Convenience stores"/>
    <x v="5"/>
    <s v="Buonissimi"/>
    <s v="|53/01/05|"/>
    <n v="636"/>
    <n v="1.49"/>
    <n v="1.63"/>
  </r>
  <r>
    <x v="3"/>
    <s v="Convenience stores"/>
    <x v="5"/>
    <s v="Buonissimi"/>
    <s v="|53/01/06|"/>
    <n v="756"/>
    <n v="1.37"/>
    <n v="1.81"/>
  </r>
  <r>
    <x v="3"/>
    <s v="Convenience stores"/>
    <x v="5"/>
    <s v="Buonissimi"/>
    <s v="|53/01/07|"/>
    <n v="696"/>
    <n v="1.46"/>
    <n v="1.71"/>
  </r>
  <r>
    <x v="3"/>
    <s v="Convenience stores"/>
    <x v="5"/>
    <s v="Buonissimi"/>
    <s v="|53/01/08|"/>
    <n v="1128"/>
    <n v="1.2"/>
    <n v="1.67"/>
  </r>
  <r>
    <x v="3"/>
    <s v="Convenience stores"/>
    <x v="5"/>
    <s v="Buonissimi"/>
    <s v="|53/01/09|"/>
    <n v="792"/>
    <n v="1.35"/>
    <n v="1.86"/>
  </r>
  <r>
    <x v="3"/>
    <s v="Convenience stores"/>
    <x v="5"/>
    <s v="Buonissimi"/>
    <s v="|53/01/10|"/>
    <n v="636"/>
    <n v="1.35"/>
    <n v="1.84"/>
  </r>
  <r>
    <x v="3"/>
    <s v="Convenience stores"/>
    <x v="5"/>
    <s v="Buonissimi"/>
    <s v="|53/01/11|"/>
    <n v="1092"/>
    <n v="1.41"/>
    <n v="1.89"/>
  </r>
  <r>
    <x v="3"/>
    <s v="Convenience stores"/>
    <x v="5"/>
    <s v="Buonissimi"/>
    <s v="|53/01/12|"/>
    <n v="1044"/>
    <n v="1.38"/>
    <n v="1.64"/>
  </r>
  <r>
    <x v="3"/>
    <s v="Convenience stores"/>
    <x v="5"/>
    <s v="Buonissimi"/>
    <s v="|53/01/13|"/>
    <n v="1164"/>
    <n v="1.1100000000000001"/>
    <n v="1.79"/>
  </r>
  <r>
    <x v="3"/>
    <s v="Convenience stores"/>
    <x v="5"/>
    <s v="Buonissimi"/>
    <s v="|53/01/14|"/>
    <n v="576"/>
    <n v="1.48"/>
    <n v="1.64"/>
  </r>
  <r>
    <x v="3"/>
    <s v="Convenience stores"/>
    <x v="5"/>
    <s v="Buonissimi"/>
    <s v="|53/01/15|"/>
    <n v="1152"/>
    <n v="1.19"/>
    <n v="1.87"/>
  </r>
  <r>
    <x v="3"/>
    <s v="Convenience stores"/>
    <x v="5"/>
    <s v="Buonissimi"/>
    <s v="|53/01/16|"/>
    <n v="1224"/>
    <n v="1.44"/>
    <n v="1.7"/>
  </r>
  <r>
    <x v="3"/>
    <s v="Convenience stores"/>
    <x v="5"/>
    <s v="Buonissimi"/>
    <s v="|53/01/17|"/>
    <n v="1008"/>
    <n v="1.17"/>
    <n v="1.9"/>
  </r>
  <r>
    <x v="3"/>
    <s v="Convenience stores"/>
    <x v="5"/>
    <s v="Buonissimi"/>
    <s v="|53/01/18|"/>
    <n v="1032"/>
    <n v="1.1100000000000001"/>
    <n v="1.64"/>
  </r>
  <r>
    <x v="3"/>
    <s v="Convenience stores"/>
    <x v="5"/>
    <s v="Buonissimi"/>
    <s v="|53/01/19|"/>
    <n v="672"/>
    <n v="1.44"/>
    <n v="1.69"/>
  </r>
  <r>
    <x v="3"/>
    <s v="Convenience stores"/>
    <x v="5"/>
    <s v="Buonissimi"/>
    <s v="|53/01/20|"/>
    <n v="924"/>
    <n v="1.1100000000000001"/>
    <n v="1.61"/>
  </r>
  <r>
    <x v="3"/>
    <s v="Convenience stores"/>
    <x v="5"/>
    <s v="Buonissimi"/>
    <s v="|53/01/21|"/>
    <n v="1284"/>
    <n v="1.48"/>
    <n v="1.9"/>
  </r>
  <r>
    <x v="3"/>
    <s v="Convenience stores"/>
    <x v="5"/>
    <s v="Buonissimi"/>
    <s v="|53/01/22|"/>
    <n v="816"/>
    <n v="1.17"/>
    <n v="1.63"/>
  </r>
  <r>
    <x v="3"/>
    <s v="Convenience stores"/>
    <x v="5"/>
    <s v="Buonissimi"/>
    <s v="|53/01/23|"/>
    <n v="1284"/>
    <n v="1.49"/>
    <n v="1.89"/>
  </r>
  <r>
    <x v="3"/>
    <s v="Convenience stores"/>
    <x v="5"/>
    <s v="Buonissimi"/>
    <s v="|53/01/24|"/>
    <n v="1080"/>
    <n v="1.1200000000000001"/>
    <n v="1.73"/>
  </r>
  <r>
    <x v="3"/>
    <s v="Convenience stores"/>
    <x v="5"/>
    <s v="Buonissimi"/>
    <s v="|53/01/25|"/>
    <n v="936"/>
    <n v="1.19"/>
    <n v="1.88"/>
  </r>
  <r>
    <x v="3"/>
    <s v="Convenience stores"/>
    <x v="5"/>
    <s v="Buonissimi"/>
    <s v="|53/01/26|"/>
    <n v="888"/>
    <n v="1.24"/>
    <n v="1.81"/>
  </r>
  <r>
    <x v="3"/>
    <s v="Convenience stores"/>
    <x v="5"/>
    <s v="Buonissimi"/>
    <s v="|53/01/27|"/>
    <n v="1020"/>
    <n v="1.1200000000000001"/>
    <n v="1.78"/>
  </r>
  <r>
    <x v="3"/>
    <s v="Convenience stores"/>
    <x v="5"/>
    <s v="Buonissimi"/>
    <s v="|53/01/28|"/>
    <n v="1260"/>
    <n v="1.5"/>
    <n v="1.61"/>
  </r>
  <r>
    <x v="3"/>
    <s v="Convenience stores"/>
    <x v="5"/>
    <s v="Buonissimi"/>
    <s v="|53/01/29|"/>
    <n v="1056"/>
    <n v="1.1000000000000001"/>
    <n v="1.9"/>
  </r>
  <r>
    <x v="3"/>
    <s v="Convenience stores"/>
    <x v="5"/>
    <s v="Buonissimi"/>
    <s v="|53/01/30|"/>
    <n v="1212"/>
    <n v="1.19"/>
    <n v="1.71"/>
  </r>
  <r>
    <x v="3"/>
    <s v="Convenience stores"/>
    <x v="5"/>
    <s v="Buonissimi"/>
    <s v="|53/01/31|"/>
    <n v="1260"/>
    <n v="1.19"/>
    <n v="1.84"/>
  </r>
  <r>
    <x v="3"/>
    <s v="Convenience stores"/>
    <x v="5"/>
    <s v="Buonissimi"/>
    <s v="|53/01/32|"/>
    <n v="1152"/>
    <n v="1.18"/>
    <n v="1.76"/>
  </r>
  <r>
    <x v="3"/>
    <s v="Convenience stores"/>
    <x v="5"/>
    <s v="Buonissimi"/>
    <s v="|53/01/33|"/>
    <n v="1044"/>
    <n v="1.26"/>
    <n v="1.8"/>
  </r>
  <r>
    <x v="3"/>
    <s v="Convenience stores"/>
    <x v="5"/>
    <s v="Buonissimi"/>
    <s v="|53/01/34|"/>
    <n v="720"/>
    <n v="1.37"/>
    <n v="1.65"/>
  </r>
  <r>
    <x v="3"/>
    <s v="Convenience stores"/>
    <x v="5"/>
    <s v="Buonissimi"/>
    <s v="|53/01/35|"/>
    <n v="1080"/>
    <n v="1.1399999999999999"/>
    <n v="1.87"/>
  </r>
  <r>
    <x v="3"/>
    <s v="Convenience stores"/>
    <x v="5"/>
    <s v="Buonissimi"/>
    <s v="|53/01/36|"/>
    <n v="1080"/>
    <n v="1.25"/>
    <n v="1.71"/>
  </r>
  <r>
    <x v="3"/>
    <s v="Convenience stores"/>
    <x v="5"/>
    <s v="Buonissimi"/>
    <s v="|53/01/37|"/>
    <n v="1068"/>
    <n v="1.38"/>
    <n v="1.79"/>
  </r>
  <r>
    <x v="3"/>
    <s v="Convenience stores"/>
    <x v="5"/>
    <s v="Buonissimi"/>
    <s v="|53/01/38|"/>
    <n v="576"/>
    <n v="1.31"/>
    <n v="1.64"/>
  </r>
  <r>
    <x v="3"/>
    <s v="Convenience stores"/>
    <x v="5"/>
    <s v="Buonissimi"/>
    <s v="|53/01/41|"/>
    <n v="792"/>
    <n v="1.17"/>
    <n v="1.85"/>
  </r>
  <r>
    <x v="3"/>
    <s v="Convenience stores"/>
    <x v="5"/>
    <s v="Buonissimi"/>
    <s v="|53/02/01|"/>
    <n v="888"/>
    <n v="1.42"/>
    <n v="1.71"/>
  </r>
  <r>
    <x v="3"/>
    <s v="Convenience stores"/>
    <x v="5"/>
    <s v="Buonissimi"/>
    <s v="|53/02/02|"/>
    <n v="984"/>
    <n v="1.36"/>
    <n v="1.64"/>
  </r>
  <r>
    <x v="3"/>
    <s v="Convenience stores"/>
    <x v="5"/>
    <s v="Buonissimi"/>
    <s v="|53/02/03|"/>
    <n v="576"/>
    <n v="1.1299999999999999"/>
    <n v="1.89"/>
  </r>
  <r>
    <x v="3"/>
    <s v="Convenience stores"/>
    <x v="5"/>
    <s v="Buonissimi"/>
    <s v="|53/02/04|"/>
    <n v="912"/>
    <n v="1.22"/>
    <n v="1.65"/>
  </r>
  <r>
    <x v="3"/>
    <s v="Convenience stores"/>
    <x v="5"/>
    <s v="Buonissimi"/>
    <s v="|53/02/05|"/>
    <n v="948"/>
    <n v="1.32"/>
    <n v="1.81"/>
  </r>
  <r>
    <x v="3"/>
    <s v="Convenience stores"/>
    <x v="5"/>
    <s v="Buonissimi"/>
    <s v="|53/02/06|"/>
    <n v="672"/>
    <n v="1.24"/>
    <n v="1.74"/>
  </r>
  <r>
    <x v="3"/>
    <s v="Convenience stores"/>
    <x v="5"/>
    <s v="Buonissimi"/>
    <s v="|53/02/07|"/>
    <n v="1188"/>
    <n v="1.1499999999999999"/>
    <n v="1.61"/>
  </r>
  <r>
    <x v="3"/>
    <s v="Convenience stores"/>
    <x v="5"/>
    <s v="Buonissimi"/>
    <s v="|53/02/08|"/>
    <n v="936"/>
    <n v="1.35"/>
    <n v="1.87"/>
  </r>
  <r>
    <x v="3"/>
    <s v="Convenience stores"/>
    <x v="5"/>
    <s v="Buonissimi"/>
    <s v="|53/02/09|"/>
    <n v="780"/>
    <n v="1.42"/>
    <n v="1.85"/>
  </r>
  <r>
    <x v="3"/>
    <s v="Convenience stores"/>
    <x v="5"/>
    <s v="Buonissimi"/>
    <s v="|53/02/10|"/>
    <n v="1260"/>
    <n v="1.17"/>
    <n v="1.88"/>
  </r>
  <r>
    <x v="3"/>
    <s v="Convenience stores"/>
    <x v="5"/>
    <s v="Buonissimi"/>
    <s v="|53/02/11|"/>
    <n v="1284"/>
    <n v="1.26"/>
    <n v="1.74"/>
  </r>
  <r>
    <x v="3"/>
    <s v="Convenience stores"/>
    <x v="5"/>
    <s v="Buonissimi"/>
    <s v="|53/02/12|"/>
    <n v="804"/>
    <n v="1.44"/>
    <n v="1.88"/>
  </r>
  <r>
    <x v="3"/>
    <s v="Convenience stores"/>
    <x v="5"/>
    <s v="Buonissimi"/>
    <s v="|53/02/13|"/>
    <n v="696"/>
    <n v="1.39"/>
    <n v="1.7"/>
  </r>
  <r>
    <x v="3"/>
    <s v="Convenience stores"/>
    <x v="5"/>
    <s v="Buonissimi"/>
    <s v="|53/02/14|"/>
    <n v="1272"/>
    <n v="1.23"/>
    <n v="1.75"/>
  </r>
  <r>
    <x v="3"/>
    <s v="Convenience stores"/>
    <x v="5"/>
    <s v="Buonissimi"/>
    <s v="|53/02/15|"/>
    <n v="984"/>
    <n v="1.35"/>
    <n v="1.73"/>
  </r>
  <r>
    <x v="3"/>
    <s v="Convenience stores"/>
    <x v="5"/>
    <s v="Buonissimi"/>
    <s v="|53/02/16|"/>
    <n v="1248"/>
    <n v="1.42"/>
    <n v="1.7"/>
  </r>
  <r>
    <x v="3"/>
    <s v="Convenience stores"/>
    <x v="5"/>
    <s v="Buonissimi"/>
    <s v="|53/02/17|"/>
    <n v="1212"/>
    <n v="1.35"/>
    <n v="1.7"/>
  </r>
  <r>
    <x v="3"/>
    <s v="Convenience stores"/>
    <x v="5"/>
    <s v="Buonissimi"/>
    <s v="|53/02/25|"/>
    <n v="1248"/>
    <n v="1.1499999999999999"/>
    <n v="1.65"/>
  </r>
  <r>
    <x v="3"/>
    <s v="Convenience stores"/>
    <x v="5"/>
    <s v="Buonissimi"/>
    <s v="|53/03/01|"/>
    <n v="744"/>
    <n v="1.1399999999999999"/>
    <n v="1.82"/>
  </r>
  <r>
    <x v="3"/>
    <s v="Convenience stores"/>
    <x v="5"/>
    <s v="Buonissimi"/>
    <s v="|53/03/02|"/>
    <n v="576"/>
    <n v="1.1399999999999999"/>
    <n v="1.61"/>
  </r>
  <r>
    <x v="3"/>
    <s v="Convenience stores"/>
    <x v="5"/>
    <s v="Buonissimi"/>
    <s v="|53/03/03|"/>
    <n v="1296"/>
    <n v="1.17"/>
    <n v="1.9"/>
  </r>
  <r>
    <x v="3"/>
    <s v="Hypermarkets"/>
    <x v="12"/>
    <s v="Barilla"/>
    <s v="|56/01/01|"/>
    <n v="144"/>
    <n v="2.5733333333333333"/>
    <n v="2.94"/>
  </r>
  <r>
    <x v="3"/>
    <s v="Hypermarkets"/>
    <x v="12"/>
    <s v="Barilla"/>
    <s v="|56/01/02|"/>
    <n v="132"/>
    <n v="2.3066666666666666"/>
    <n v="2.9333333333333331"/>
  </r>
  <r>
    <x v="3"/>
    <s v="Hypermarkets"/>
    <x v="12"/>
    <s v="Barilla"/>
    <s v="|56/01/03|"/>
    <n v="156"/>
    <n v="2.3066666666666666"/>
    <n v="2.92"/>
  </r>
  <r>
    <x v="3"/>
    <s v="Hypermarkets"/>
    <x v="12"/>
    <s v="Barilla"/>
    <s v="|56/01/04|"/>
    <n v="120"/>
    <n v="2.5466666666666669"/>
    <n v="2.9066666666666667"/>
  </r>
  <r>
    <x v="3"/>
    <s v="Hypermarkets"/>
    <x v="12"/>
    <s v="Barilla"/>
    <s v="|56/01/05|"/>
    <n v="168"/>
    <n v="2.6933333333333334"/>
    <n v="2.9266666666666667"/>
  </r>
  <r>
    <x v="3"/>
    <s v="Hypermarkets"/>
    <x v="12"/>
    <s v="Barilla"/>
    <s v="|56/01/06|"/>
    <n v="168"/>
    <n v="2.3866666666666667"/>
    <n v="2.8733333333333335"/>
  </r>
  <r>
    <x v="3"/>
    <s v="Hypermarkets"/>
    <x v="12"/>
    <s v="Barilla"/>
    <s v="|56/01/07|"/>
    <n v="168"/>
    <n v="2.6666666666666665"/>
    <n v="2.8866666666666667"/>
  </r>
  <r>
    <x v="3"/>
    <s v="Hypermarkets"/>
    <x v="12"/>
    <s v="Barilla"/>
    <s v="|56/01/08|"/>
    <n v="120"/>
    <n v="2.3933333333333335"/>
    <n v="2.88"/>
  </r>
  <r>
    <x v="3"/>
    <s v="Hypermarkets"/>
    <x v="12"/>
    <s v="Barilla"/>
    <s v="|56/01/09|"/>
    <n v="132"/>
    <n v="2.7266666666666666"/>
    <n v="2.88"/>
  </r>
  <r>
    <x v="3"/>
    <s v="Hypermarkets"/>
    <x v="12"/>
    <s v="Barilla"/>
    <s v="|56/01/10|"/>
    <n v="156"/>
    <n v="2.66"/>
    <n v="2.9"/>
  </r>
  <r>
    <x v="3"/>
    <s v="Hypermarkets"/>
    <x v="12"/>
    <s v="Barilla"/>
    <s v="|56/01/11|"/>
    <n v="168"/>
    <n v="2.6333333333333333"/>
    <n v="2.9266666666666667"/>
  </r>
  <r>
    <x v="3"/>
    <s v="Hypermarkets"/>
    <x v="12"/>
    <s v="Barilla"/>
    <s v="|56/01/12|"/>
    <n v="180"/>
    <n v="2.5133333333333332"/>
    <n v="2.9133333333333336"/>
  </r>
  <r>
    <x v="3"/>
    <s v="Hypermarkets"/>
    <x v="12"/>
    <s v="Barilla"/>
    <s v="|56/01/13|"/>
    <n v="156"/>
    <n v="2.6866666666666665"/>
    <n v="2.9133333333333336"/>
  </r>
  <r>
    <x v="3"/>
    <s v="Hypermarkets"/>
    <x v="12"/>
    <s v="Barilla"/>
    <s v="|56/01/14|"/>
    <n v="180"/>
    <n v="2.6933333333333334"/>
    <n v="2.9466666666666668"/>
  </r>
  <r>
    <x v="3"/>
    <s v="Hypermarkets"/>
    <x v="12"/>
    <s v="Barilla"/>
    <s v="|56/01/15|"/>
    <n v="120"/>
    <n v="2.7666666666666666"/>
    <n v="2.9066666666666667"/>
  </r>
  <r>
    <x v="3"/>
    <s v="Hypermarkets"/>
    <x v="12"/>
    <s v="Barilla"/>
    <s v="|56/01/16|"/>
    <n v="132"/>
    <n v="2.68"/>
    <n v="2.9666666666666668"/>
  </r>
  <r>
    <x v="3"/>
    <s v="Hypermarkets"/>
    <x v="12"/>
    <s v="Barilla"/>
    <s v="|56/01/17|"/>
    <n v="180"/>
    <n v="2.5333333333333332"/>
    <n v="3"/>
  </r>
  <r>
    <x v="3"/>
    <s v="Hypermarkets"/>
    <x v="12"/>
    <s v="Barilla"/>
    <s v="|56/01/18|"/>
    <n v="132"/>
    <n v="2.5266666666666668"/>
    <n v="2.8933333333333335"/>
  </r>
  <r>
    <x v="3"/>
    <s v="Hypermarkets"/>
    <x v="12"/>
    <s v="Barilla"/>
    <s v="|56/01/19|"/>
    <n v="132"/>
    <n v="2.44"/>
    <n v="2.98"/>
  </r>
  <r>
    <x v="3"/>
    <s v="Hypermarkets"/>
    <x v="12"/>
    <s v="Barilla"/>
    <s v="|56/01/20|"/>
    <n v="132"/>
    <n v="2.3666666666666667"/>
    <n v="2.9466666666666668"/>
  </r>
  <r>
    <x v="3"/>
    <s v="Hypermarkets"/>
    <x v="12"/>
    <s v="Barilla"/>
    <s v="|56/01/21|"/>
    <n v="120"/>
    <n v="2.5266666666666668"/>
    <n v="2.9666666666666668"/>
  </r>
  <r>
    <x v="3"/>
    <s v="Hypermarkets"/>
    <x v="12"/>
    <s v="Barilla"/>
    <s v="|56/01/22|"/>
    <n v="132"/>
    <n v="2.64"/>
    <n v="3"/>
  </r>
  <r>
    <x v="3"/>
    <s v="Hypermarkets"/>
    <x v="12"/>
    <s v="Barilla"/>
    <s v="|56/01/23|"/>
    <n v="144"/>
    <n v="2.5"/>
    <n v="2.9933333333333332"/>
  </r>
  <r>
    <x v="3"/>
    <s v="Hypermarkets"/>
    <x v="12"/>
    <s v="Barilla"/>
    <s v="|56/01/24|"/>
    <n v="156"/>
    <n v="2.5466666666666669"/>
    <n v="2.96"/>
  </r>
  <r>
    <x v="3"/>
    <s v="Hypermarkets"/>
    <x v="12"/>
    <s v="Barilla"/>
    <s v="|56/01/25|"/>
    <n v="132"/>
    <n v="2.56"/>
    <n v="2.8866666666666667"/>
  </r>
  <r>
    <x v="3"/>
    <s v="Hypermarkets"/>
    <x v="12"/>
    <s v="Barilla"/>
    <s v="|56/01/26|"/>
    <n v="168"/>
    <n v="2.6466666666666665"/>
    <n v="2.9066666666666667"/>
  </r>
  <r>
    <x v="3"/>
    <s v="Hypermarkets"/>
    <x v="12"/>
    <s v="Barilla"/>
    <s v="|56/01/27|"/>
    <n v="180"/>
    <n v="2.6933333333333334"/>
    <n v="2.9"/>
  </r>
  <r>
    <x v="3"/>
    <s v="Hypermarkets"/>
    <x v="12"/>
    <s v="Barilla"/>
    <s v="|56/01/28|"/>
    <n v="180"/>
    <n v="2.8"/>
    <n v="2.9333333333333331"/>
  </r>
  <r>
    <x v="3"/>
    <s v="Hypermarkets"/>
    <x v="12"/>
    <s v="Barilla"/>
    <s v="|56/01/29|"/>
    <n v="132"/>
    <n v="2.6133333333333333"/>
    <n v="2.9"/>
  </r>
  <r>
    <x v="3"/>
    <s v="Hypermarkets"/>
    <x v="12"/>
    <s v="Barilla"/>
    <s v="|56/01/30|"/>
    <n v="144"/>
    <n v="2.4533333333333331"/>
    <n v="2.8866666666666667"/>
  </r>
  <r>
    <x v="3"/>
    <s v="Hypermarkets"/>
    <x v="12"/>
    <s v="Barilla"/>
    <s v="|56/01/31|"/>
    <n v="180"/>
    <n v="2.3199999999999998"/>
    <n v="2.9"/>
  </r>
  <r>
    <x v="3"/>
    <s v="Hypermarkets"/>
    <x v="12"/>
    <s v="Barilla"/>
    <s v="|56/01/32|"/>
    <n v="144"/>
    <n v="2.4533333333333331"/>
    <n v="2.92"/>
  </r>
  <r>
    <x v="3"/>
    <s v="Hypermarkets"/>
    <x v="12"/>
    <s v="Barilla"/>
    <s v="|56/01/33|"/>
    <n v="180"/>
    <n v="2.7933333333333334"/>
    <n v="2.9933333333333332"/>
  </r>
  <r>
    <x v="3"/>
    <s v="Hypermarkets"/>
    <x v="12"/>
    <s v="Barilla"/>
    <s v="|56/01/34|"/>
    <n v="180"/>
    <n v="2.6133333333333333"/>
    <n v="2.9133333333333336"/>
  </r>
  <r>
    <x v="3"/>
    <s v="Hypermarkets"/>
    <x v="12"/>
    <s v="Barilla"/>
    <s v="|56/01/35|"/>
    <n v="168"/>
    <n v="2.68"/>
    <n v="3"/>
  </r>
  <r>
    <x v="3"/>
    <s v="Hypermarkets"/>
    <x v="12"/>
    <s v="Barilla"/>
    <s v="|56/01/36|"/>
    <n v="156"/>
    <n v="2.4333333333333331"/>
    <n v="2.8866666666666667"/>
  </r>
  <r>
    <x v="3"/>
    <s v="Hypermarkets"/>
    <x v="12"/>
    <s v="Barilla"/>
    <s v="|56/01/37|"/>
    <n v="144"/>
    <n v="2.3199999999999998"/>
    <n v="2.9533333333333331"/>
  </r>
  <r>
    <x v="3"/>
    <s v="Hypermarkets"/>
    <x v="12"/>
    <s v="Barilla"/>
    <s v="|56/01/38|"/>
    <n v="156"/>
    <n v="2.2666666666666666"/>
    <n v="2.9333333333333331"/>
  </r>
  <r>
    <x v="3"/>
    <s v="Hypermarkets"/>
    <x v="12"/>
    <s v="Barilla"/>
    <s v="|56/01/39|"/>
    <n v="168"/>
    <n v="2.7533333333333334"/>
    <n v="2.9866666666666668"/>
  </r>
  <r>
    <x v="3"/>
    <s v="Hypermarkets"/>
    <x v="12"/>
    <s v="Barilla"/>
    <s v="|56/01/40|"/>
    <n v="132"/>
    <n v="2.3533333333333335"/>
    <n v="2.9066666666666667"/>
  </r>
  <r>
    <x v="3"/>
    <s v="Hypermarkets"/>
    <x v="12"/>
    <s v="Barilla"/>
    <s v="|56/01/41|"/>
    <n v="156"/>
    <n v="2.4066666666666667"/>
    <n v="2.9266666666666667"/>
  </r>
  <r>
    <x v="3"/>
    <s v="Hypermarkets"/>
    <x v="12"/>
    <s v="Barilla"/>
    <s v="|56/01/42|"/>
    <n v="120"/>
    <n v="2.64"/>
    <n v="2.9466666666666668"/>
  </r>
  <r>
    <x v="3"/>
    <s v="Hypermarkets"/>
    <x v="12"/>
    <s v="Barilla"/>
    <s v="|56/01/43|"/>
    <n v="144"/>
    <n v="2.38"/>
    <n v="2.9866666666666668"/>
  </r>
  <r>
    <x v="3"/>
    <s v="Hypermarkets"/>
    <x v="12"/>
    <s v="Barilla"/>
    <s v="|56/01/44|"/>
    <n v="144"/>
    <n v="2.42"/>
    <n v="2.8666666666666667"/>
  </r>
  <r>
    <x v="3"/>
    <s v="Hypermarkets"/>
    <x v="12"/>
    <s v="Barilla"/>
    <s v="|56/01/45|"/>
    <n v="156"/>
    <n v="2.4266666666666667"/>
    <n v="2.98"/>
  </r>
  <r>
    <x v="3"/>
    <s v="Hypermarkets"/>
    <x v="12"/>
    <s v="Barilla"/>
    <s v="|56/01/46|"/>
    <n v="156"/>
    <n v="2.3333333333333335"/>
    <n v="2.9133333333333336"/>
  </r>
  <r>
    <x v="3"/>
    <s v="Hypermarkets"/>
    <x v="12"/>
    <s v="Barilla"/>
    <s v="|56/01/47|"/>
    <n v="144"/>
    <n v="2.3266666666666667"/>
    <n v="2.9266666666666667"/>
  </r>
  <r>
    <x v="3"/>
    <s v="Hypermarkets"/>
    <x v="12"/>
    <s v="Barilla"/>
    <s v="|56/01/48|"/>
    <n v="168"/>
    <n v="2.5"/>
    <n v="2.9333333333333331"/>
  </r>
  <r>
    <x v="3"/>
    <s v="Hypermarkets"/>
    <x v="12"/>
    <s v="Barilla"/>
    <s v="|56/01/49|"/>
    <n v="156"/>
    <n v="2.4466666666666668"/>
    <n v="2.8666666666666667"/>
  </r>
  <r>
    <x v="3"/>
    <s v="Hypermarkets"/>
    <x v="12"/>
    <s v="Barilla"/>
    <s v="|56/01/50|"/>
    <n v="168"/>
    <n v="2.38"/>
    <n v="2.9066666666666667"/>
  </r>
  <r>
    <x v="3"/>
    <s v="Hypermarkets"/>
    <x v="12"/>
    <s v="Barilla"/>
    <s v="|56/01/51|"/>
    <n v="120"/>
    <n v="2.6933333333333334"/>
    <n v="2.9666666666666668"/>
  </r>
  <r>
    <x v="3"/>
    <s v="Hypermarkets"/>
    <x v="12"/>
    <s v="Barilla"/>
    <s v="|56/01/52|"/>
    <n v="144"/>
    <n v="2.6933333333333334"/>
    <n v="2.9733333333333332"/>
  </r>
  <r>
    <x v="3"/>
    <s v="Hypermarkets"/>
    <x v="12"/>
    <s v="Barilla"/>
    <s v="|56/01/53|"/>
    <n v="120"/>
    <n v="2.4333333333333331"/>
    <n v="2.9333333333333331"/>
  </r>
  <r>
    <x v="3"/>
    <s v="Hypermarkets"/>
    <x v="12"/>
    <s v="Barilla"/>
    <s v="|56/01/54|"/>
    <n v="156"/>
    <n v="2.7733333333333334"/>
    <n v="2.92"/>
  </r>
  <r>
    <x v="3"/>
    <s v="Hypermarkets"/>
    <x v="12"/>
    <s v="Barilla"/>
    <s v="|56/01/55|"/>
    <n v="144"/>
    <n v="2.7"/>
    <n v="2.9733333333333332"/>
  </r>
  <r>
    <x v="3"/>
    <s v="Hypermarkets"/>
    <x v="12"/>
    <s v="Barilla"/>
    <s v="|56/01/56|"/>
    <n v="168"/>
    <n v="2.3199999999999998"/>
    <n v="2.8866666666666667"/>
  </r>
  <r>
    <x v="3"/>
    <s v="Hypermarkets"/>
    <x v="12"/>
    <s v="Barilla"/>
    <s v="|56/02/01|"/>
    <n v="156"/>
    <n v="2.5666666666666669"/>
    <n v="2.88"/>
  </r>
  <r>
    <x v="3"/>
    <s v="Hypermarkets"/>
    <x v="12"/>
    <s v="Barilla"/>
    <s v="|56/02/02|"/>
    <n v="144"/>
    <n v="2.4133333333333336"/>
    <n v="2.8733333333333335"/>
  </r>
  <r>
    <x v="3"/>
    <s v="Hypermarkets"/>
    <x v="12"/>
    <s v="Barilla"/>
    <s v="|56/01/57|"/>
    <n v="144"/>
    <n v="2.5533333333333332"/>
    <n v="2.8733333333333335"/>
  </r>
  <r>
    <x v="3"/>
    <s v="Hypermarkets"/>
    <x v="13"/>
    <s v="Grana Padano"/>
    <s v="|15/01/01|"/>
    <n v="516"/>
    <n v="2.2999999999999998"/>
    <n v="3.71"/>
  </r>
  <r>
    <x v="3"/>
    <s v="Hypermarkets"/>
    <x v="13"/>
    <s v="Grana Padano"/>
    <s v="|15/01/02|"/>
    <n v="288"/>
    <n v="2.08"/>
    <n v="3.32"/>
  </r>
  <r>
    <x v="3"/>
    <s v="Hypermarkets"/>
    <x v="13"/>
    <s v="Olympus"/>
    <s v="|133/01/01|"/>
    <n v="564"/>
    <n v="2.19"/>
    <n v="3.02"/>
  </r>
  <r>
    <x v="3"/>
    <s v="Hypermarkets"/>
    <x v="13"/>
    <s v="Olympus"/>
    <s v="|133/01/02|"/>
    <n v="204"/>
    <n v="2.74"/>
    <n v="3.25"/>
  </r>
  <r>
    <x v="3"/>
    <s v="Hypermarkets"/>
    <x v="13"/>
    <s v="Olympus"/>
    <s v="|133/01/03|"/>
    <n v="156"/>
    <n v="2.4900000000000002"/>
    <n v="3.14"/>
  </r>
  <r>
    <x v="3"/>
    <s v="Hypermarkets"/>
    <x v="12"/>
    <s v="Own label"/>
    <s v="|132/01/02|"/>
    <n v="168"/>
    <n v="2.2999999999999998"/>
    <n v="2.9333333333333331"/>
  </r>
  <r>
    <x v="3"/>
    <s v="Hypermarkets"/>
    <x v="13"/>
    <s v="Danone"/>
    <s v="|68/01/01|"/>
    <n v="396"/>
    <n v="2.5299999999999998"/>
    <n v="3.12"/>
  </r>
  <r>
    <x v="3"/>
    <s v="Hypermarkets"/>
    <x v="13"/>
    <s v="Danone"/>
    <s v="|68/01/02|"/>
    <n v="600"/>
    <n v="2.04"/>
    <n v="3.03"/>
  </r>
  <r>
    <x v="3"/>
    <s v="Hypermarkets"/>
    <x v="13"/>
    <s v="Danone"/>
    <s v="|68/01/03|"/>
    <n v="360"/>
    <n v="2.65"/>
    <n v="3.35"/>
  </r>
  <r>
    <x v="3"/>
    <s v="Hypermarkets"/>
    <x v="13"/>
    <s v="Danone"/>
    <s v="|68/01/04|"/>
    <n v="300"/>
    <n v="2.2000000000000002"/>
    <n v="3.7"/>
  </r>
  <r>
    <x v="3"/>
    <s v="Hypermarkets"/>
    <x v="13"/>
    <s v="Danone"/>
    <s v="|68/01/05|"/>
    <n v="240"/>
    <n v="2.48"/>
    <n v="3.41"/>
  </r>
  <r>
    <x v="3"/>
    <s v="Hypermarkets"/>
    <x v="13"/>
    <s v="Danone"/>
    <s v="|68/01/06|"/>
    <n v="120"/>
    <n v="2.0299999999999998"/>
    <n v="3.67"/>
  </r>
  <r>
    <x v="3"/>
    <s v="Hypermarkets"/>
    <x v="13"/>
    <s v="Danone"/>
    <s v="|68/01/07|"/>
    <n v="456"/>
    <n v="2.09"/>
    <n v="3.6"/>
  </r>
  <r>
    <x v="3"/>
    <s v="Hypermarkets"/>
    <x v="13"/>
    <s v="Danone"/>
    <s v="|68/01/08|"/>
    <n v="348"/>
    <n v="2.09"/>
    <n v="3.35"/>
  </r>
  <r>
    <x v="3"/>
    <s v="Hypermarkets"/>
    <x v="13"/>
    <s v="Danone"/>
    <s v="|68/01/09|"/>
    <n v="312"/>
    <n v="2.56"/>
    <n v="3.3"/>
  </r>
  <r>
    <x v="3"/>
    <s v="Hypermarkets"/>
    <x v="13"/>
    <s v="Danone"/>
    <s v="|68/01/10|"/>
    <n v="540"/>
    <n v="2.61"/>
    <n v="3.19"/>
  </r>
  <r>
    <x v="3"/>
    <s v="Hypermarkets"/>
    <x v="13"/>
    <s v="Danone"/>
    <s v="|68/01/11|"/>
    <n v="420"/>
    <n v="2.36"/>
    <n v="3.27"/>
  </r>
  <r>
    <x v="3"/>
    <s v="Hypermarkets"/>
    <x v="13"/>
    <s v="Danone"/>
    <s v="|68/01/12|"/>
    <n v="264"/>
    <n v="2.37"/>
    <n v="3.25"/>
  </r>
  <r>
    <x v="3"/>
    <s v="Hypermarkets"/>
    <x v="13"/>
    <s v="Danone"/>
    <s v="|68/01/13|"/>
    <n v="288"/>
    <n v="2.44"/>
    <n v="3.14"/>
  </r>
  <r>
    <x v="3"/>
    <s v="Hypermarkets"/>
    <x v="13"/>
    <s v="Danone"/>
    <s v="|68/01/14|"/>
    <n v="288"/>
    <n v="2.8"/>
    <n v="3.39"/>
  </r>
  <r>
    <x v="3"/>
    <s v="Hypermarkets"/>
    <x v="13"/>
    <s v="Danone"/>
    <s v="|68/01/15|"/>
    <n v="420"/>
    <n v="2.06"/>
    <n v="3.38"/>
  </r>
  <r>
    <x v="3"/>
    <s v="Hypermarkets"/>
    <x v="13"/>
    <s v="Danone"/>
    <s v="|68/01/16|"/>
    <n v="228"/>
    <n v="2.42"/>
    <n v="3.31"/>
  </r>
  <r>
    <x v="3"/>
    <s v="Hypermarkets"/>
    <x v="13"/>
    <s v="Danone"/>
    <s v="|68/01/17|"/>
    <n v="312"/>
    <n v="2.0499999999999998"/>
    <n v="3.23"/>
  </r>
  <r>
    <x v="3"/>
    <s v="Hypermarkets"/>
    <x v="12"/>
    <s v="Cirio"/>
    <s v="|71/01/01|"/>
    <n v="144"/>
    <n v="2.74"/>
    <n v="2.9533333333333331"/>
  </r>
  <r>
    <x v="3"/>
    <s v="Hypermarkets"/>
    <x v="12"/>
    <s v="Cirio"/>
    <s v="|71/01/02|"/>
    <n v="132"/>
    <n v="2.3466666666666667"/>
    <n v="2.9666666666666668"/>
  </r>
  <r>
    <x v="3"/>
    <s v="Hypermarkets"/>
    <x v="12"/>
    <s v="Cirio"/>
    <s v="|71/01/03|"/>
    <n v="132"/>
    <n v="2.4933333333333332"/>
    <n v="2.9733333333333332"/>
  </r>
  <r>
    <x v="3"/>
    <s v="Hypermarkets"/>
    <x v="12"/>
    <s v="Cirio"/>
    <s v="|71/01/04|"/>
    <n v="168"/>
    <n v="2.6933333333333334"/>
    <n v="2.9266666666666667"/>
  </r>
  <r>
    <x v="3"/>
    <s v="Hypermarkets"/>
    <x v="12"/>
    <s v="Cirio"/>
    <s v="|71/01/05|"/>
    <n v="144"/>
    <n v="2.6266666666666665"/>
    <n v="2.94"/>
  </r>
  <r>
    <x v="3"/>
    <s v="Hypermarkets"/>
    <x v="12"/>
    <s v="Cirio"/>
    <s v="|71/01/06|"/>
    <n v="132"/>
    <n v="2.3199999999999998"/>
    <n v="2.9533333333333331"/>
  </r>
  <r>
    <x v="3"/>
    <s v="Hypermarkets"/>
    <x v="12"/>
    <s v="Cirio"/>
    <s v="|71/01/07|"/>
    <n v="168"/>
    <n v="2.56"/>
    <n v="2.9533333333333331"/>
  </r>
  <r>
    <x v="3"/>
    <s v="Hypermarkets"/>
    <x v="12"/>
    <s v="Cirio"/>
    <s v="|71/01/08|"/>
    <n v="168"/>
    <n v="2.3666666666666667"/>
    <n v="2.9333333333333331"/>
  </r>
  <r>
    <x v="3"/>
    <s v="Hypermarkets"/>
    <x v="12"/>
    <s v="Cirio"/>
    <s v="|71/01/09|"/>
    <n v="120"/>
    <n v="2.7733333333333334"/>
    <n v="2.88"/>
  </r>
  <r>
    <x v="3"/>
    <s v="Hypermarkets"/>
    <x v="12"/>
    <s v="Cirio"/>
    <s v="|71/01/10|"/>
    <n v="168"/>
    <n v="2.3333333333333335"/>
    <n v="2.98"/>
  </r>
  <r>
    <x v="3"/>
    <s v="Hypermarkets"/>
    <x v="12"/>
    <s v="Cirio"/>
    <s v="|71/01/11|"/>
    <n v="168"/>
    <n v="2.4666666666666668"/>
    <n v="2.9266666666666667"/>
  </r>
  <r>
    <x v="3"/>
    <s v="Hypermarkets"/>
    <x v="12"/>
    <s v="Cirio"/>
    <s v="|71/02/04|"/>
    <n v="132"/>
    <n v="2.4866666666666668"/>
    <n v="2.92"/>
  </r>
  <r>
    <x v="3"/>
    <s v="Hypermarkets"/>
    <x v="12"/>
    <s v="Cirio"/>
    <s v="|71/02/01|"/>
    <n v="156"/>
    <n v="2.2933333333333334"/>
    <n v="2.9666666666666668"/>
  </r>
  <r>
    <x v="3"/>
    <s v="Hypermarkets"/>
    <x v="12"/>
    <s v="Cirio"/>
    <s v="|71/02/02|"/>
    <n v="120"/>
    <n v="2.4133333333333336"/>
    <n v="2.9066666666666667"/>
  </r>
  <r>
    <x v="3"/>
    <s v="Hypermarkets"/>
    <x v="12"/>
    <s v="Cirio"/>
    <s v="|71/02/03|"/>
    <n v="120"/>
    <n v="2.58"/>
    <n v="2.9"/>
  </r>
  <r>
    <x v="3"/>
    <s v="Hypermarkets"/>
    <x v="14"/>
    <s v="San Benedetto Bread"/>
    <s v="|27/01/01|"/>
    <n v="1908"/>
    <n v="0.85"/>
    <n v="0.97"/>
  </r>
  <r>
    <x v="3"/>
    <s v="Hypermarkets"/>
    <x v="14"/>
    <s v="San Benedetto Bread"/>
    <s v="|27/01/02|"/>
    <n v="2208"/>
    <n v="0.89"/>
    <n v="0.91"/>
  </r>
  <r>
    <x v="3"/>
    <s v="Hypermarkets"/>
    <x v="14"/>
    <s v="San Benedetto Bread"/>
    <s v="|27/01/03|"/>
    <n v="1572"/>
    <n v="0.84"/>
    <n v="0.95"/>
  </r>
  <r>
    <x v="3"/>
    <s v="Hypermarkets"/>
    <x v="14"/>
    <s v="San Benedetto Bread"/>
    <s v="|27/01/04|"/>
    <n v="2220"/>
    <n v="0.72"/>
    <n v="0.9"/>
  </r>
  <r>
    <x v="3"/>
    <s v="Hypermarkets"/>
    <x v="14"/>
    <s v="San Benedetto Bread"/>
    <s v="|27/01/10|"/>
    <n v="1512"/>
    <n v="0.7"/>
    <n v="0.99"/>
  </r>
  <r>
    <x v="3"/>
    <s v="Hypermarkets"/>
    <x v="14"/>
    <s v="San Benedetto Bread"/>
    <s v="|27/01/11|"/>
    <n v="1404"/>
    <n v="0.76"/>
    <n v="0.94"/>
  </r>
  <r>
    <x v="3"/>
    <s v="Hypermarkets"/>
    <x v="14"/>
    <s v="San Benedetto Bread"/>
    <s v="|27/01/12|"/>
    <n v="2112"/>
    <n v="0.71"/>
    <n v="1"/>
  </r>
  <r>
    <x v="3"/>
    <s v="Hypermarkets"/>
    <x v="14"/>
    <s v="San Benedetto Bread"/>
    <s v="|27/01/13|"/>
    <n v="2076"/>
    <n v="0.86"/>
    <n v="0.9"/>
  </r>
  <r>
    <x v="3"/>
    <s v="Hypermarkets"/>
    <x v="14"/>
    <s v="San Benedetto Bread"/>
    <s v="|27/01/20|"/>
    <n v="1608"/>
    <n v="0.79"/>
    <n v="0.97"/>
  </r>
  <r>
    <x v="3"/>
    <s v="Hypermarkets"/>
    <x v="14"/>
    <s v="San Benedetto Bread"/>
    <s v="|27/01/21|"/>
    <n v="1344"/>
    <n v="0.71"/>
    <n v="0.99"/>
  </r>
  <r>
    <x v="3"/>
    <s v="Hypermarkets"/>
    <x v="14"/>
    <s v="San Benedetto Bread"/>
    <s v="|27/01/22|"/>
    <n v="1944"/>
    <n v="0.8"/>
    <n v="0.98"/>
  </r>
  <r>
    <x v="3"/>
    <s v="Hypermarkets"/>
    <x v="14"/>
    <s v="San Benedetto Bread"/>
    <s v="|27/01/23|"/>
    <n v="2232"/>
    <n v="0.86"/>
    <n v="1"/>
  </r>
  <r>
    <x v="3"/>
    <s v="Hypermarkets"/>
    <x v="14"/>
    <s v="San Benedetto Bread"/>
    <s v="|27/01/26|"/>
    <n v="1704"/>
    <n v="0.87"/>
    <n v="0.92"/>
  </r>
  <r>
    <x v="3"/>
    <s v="Hypermarkets"/>
    <x v="14"/>
    <s v="San Benedetto Bread"/>
    <s v="|27/01/27|"/>
    <n v="1764"/>
    <n v="0.73"/>
    <n v="0.98"/>
  </r>
  <r>
    <x v="3"/>
    <s v="Hypermarkets"/>
    <x v="14"/>
    <s v="San Benedetto Bread"/>
    <s v="|27/01/28|"/>
    <n v="2304"/>
    <n v="0.74"/>
    <n v="0.97"/>
  </r>
  <r>
    <x v="3"/>
    <s v="Hypermarkets"/>
    <x v="14"/>
    <s v="San Benedetto Bread"/>
    <s v="|27/01/29|"/>
    <n v="1884"/>
    <n v="0.78"/>
    <n v="0.93"/>
  </r>
  <r>
    <x v="3"/>
    <s v="Hypermarkets"/>
    <x v="14"/>
    <s v="San Benedetto Bread"/>
    <s v="|27/01/30|"/>
    <n v="2328"/>
    <n v="0.87"/>
    <n v="0.96"/>
  </r>
  <r>
    <x v="3"/>
    <s v="Hypermarkets"/>
    <x v="14"/>
    <s v="San Benedetto Bread"/>
    <s v="|27/01/31|"/>
    <n v="1476"/>
    <n v="0.73"/>
    <n v="0.94"/>
  </r>
  <r>
    <x v="3"/>
    <s v="Hypermarkets"/>
    <x v="14"/>
    <s v="San Benedetto Bread"/>
    <s v="|27/01/32|"/>
    <n v="1212"/>
    <n v="0.72"/>
    <n v="0.98"/>
  </r>
  <r>
    <x v="3"/>
    <s v="Hypermarkets"/>
    <x v="14"/>
    <s v="San Benedetto Bread"/>
    <s v="|27/01/33|"/>
    <n v="2040"/>
    <n v="0.81"/>
    <n v="0.9"/>
  </r>
  <r>
    <x v="3"/>
    <s v="Hypermarkets"/>
    <x v="12"/>
    <s v="Atkins"/>
    <s v="|80/00/05|"/>
    <n v="156"/>
    <n v="2.4466666666666668"/>
    <n v="2.9933333333333332"/>
  </r>
  <r>
    <x v="3"/>
    <s v="Hypermarkets"/>
    <x v="12"/>
    <s v="Atkins"/>
    <s v="|88/00/00|"/>
    <n v="132"/>
    <n v="2.6733333333333333"/>
    <n v="2.9533333333333331"/>
  </r>
  <r>
    <x v="3"/>
    <s v="Hypermarkets"/>
    <x v="12"/>
    <s v="Atkins"/>
    <s v="|88/00/01|"/>
    <n v="180"/>
    <n v="2.34"/>
    <n v="2.8866666666666667"/>
  </r>
  <r>
    <x v="3"/>
    <s v="Hypermarkets"/>
    <x v="12"/>
    <s v="Atkins"/>
    <s v="|88/00/02|"/>
    <n v="168"/>
    <n v="2.6266666666666665"/>
    <n v="2.8733333333333335"/>
  </r>
  <r>
    <x v="3"/>
    <s v="Hypermarkets"/>
    <x v="12"/>
    <s v="Atkins"/>
    <s v="|88/00/03|"/>
    <n v="120"/>
    <n v="2.2933333333333334"/>
    <n v="2.92"/>
  </r>
  <r>
    <x v="3"/>
    <s v="Hypermarkets"/>
    <x v="12"/>
    <s v="Atkins"/>
    <s v="|88/00/04|"/>
    <n v="156"/>
    <n v="2.54"/>
    <n v="2.98"/>
  </r>
  <r>
    <x v="3"/>
    <s v="Hypermarkets"/>
    <x v="12"/>
    <s v="Atkins"/>
    <s v="|88/00/05|"/>
    <n v="168"/>
    <n v="2.64"/>
    <n v="2.9666666666666668"/>
  </r>
  <r>
    <x v="3"/>
    <s v="Hypermarkets"/>
    <x v="12"/>
    <s v="Atkins"/>
    <s v="|88/00/06|"/>
    <n v="120"/>
    <n v="2.52"/>
    <n v="2.8733333333333335"/>
  </r>
  <r>
    <x v="3"/>
    <s v="Hypermarkets"/>
    <x v="12"/>
    <s v="Atkins"/>
    <s v="|88/00/07|"/>
    <n v="132"/>
    <n v="2.6266666666666665"/>
    <n v="2.9933333333333332"/>
  </r>
  <r>
    <x v="3"/>
    <s v="Hypermarkets"/>
    <x v="12"/>
    <s v="Atkins"/>
    <s v="|88/00/08|"/>
    <n v="168"/>
    <n v="2.54"/>
    <n v="2.9733333333333332"/>
  </r>
  <r>
    <x v="3"/>
    <s v="Hypermarkets"/>
    <x v="12"/>
    <s v="Atkins"/>
    <s v="|88/00/09|"/>
    <n v="132"/>
    <n v="2.4066666666666667"/>
    <n v="2.9333333333333331"/>
  </r>
  <r>
    <x v="3"/>
    <s v="Hypermarkets"/>
    <x v="12"/>
    <s v="Atkins"/>
    <s v="|88/00/10|"/>
    <n v="156"/>
    <n v="2.6"/>
    <n v="2.9733333333333332"/>
  </r>
  <r>
    <x v="3"/>
    <s v="Hypermarkets"/>
    <x v="12"/>
    <s v="Atkins"/>
    <s v="|88/00/11|"/>
    <n v="132"/>
    <n v="2.7133333333333334"/>
    <n v="2.8733333333333335"/>
  </r>
  <r>
    <x v="3"/>
    <s v="Hypermarkets"/>
    <x v="12"/>
    <s v="Atkins"/>
    <s v="|88/00/12|"/>
    <n v="120"/>
    <n v="2.3133333333333335"/>
    <n v="2.9"/>
  </r>
  <r>
    <x v="3"/>
    <s v="Hypermarkets"/>
    <x v="12"/>
    <s v="Atkins"/>
    <s v="|88/00/13|"/>
    <n v="156"/>
    <n v="2.6533333333333333"/>
    <n v="2.8866666666666667"/>
  </r>
  <r>
    <x v="3"/>
    <s v="Hypermarkets"/>
    <x v="12"/>
    <s v="Atkins"/>
    <s v="|88/00/14|"/>
    <n v="168"/>
    <n v="2.7066666666666666"/>
    <n v="2.9"/>
  </r>
  <r>
    <x v="3"/>
    <s v="Hypermarkets"/>
    <x v="12"/>
    <s v="Atkins"/>
    <s v="|88/00/15|"/>
    <n v="120"/>
    <n v="2.7066666666666666"/>
    <n v="2.9066666666666667"/>
  </r>
  <r>
    <x v="3"/>
    <s v="Hypermarkets"/>
    <x v="12"/>
    <s v="Atkins"/>
    <s v="|88/00/16|"/>
    <n v="144"/>
    <n v="2.7266666666666666"/>
    <n v="2.9733333333333332"/>
  </r>
  <r>
    <x v="3"/>
    <s v="Hypermarkets"/>
    <x v="12"/>
    <s v="Atkins"/>
    <s v="|88/00/17|"/>
    <n v="156"/>
    <n v="2.4933333333333332"/>
    <n v="3"/>
  </r>
  <r>
    <x v="3"/>
    <s v="Hypermarkets"/>
    <x v="12"/>
    <s v="Atkins"/>
    <s v="|88/00/18|"/>
    <n v="144"/>
    <n v="2.4733333333333332"/>
    <n v="2.8866666666666667"/>
  </r>
  <r>
    <x v="3"/>
    <s v="Hypermarkets"/>
    <x v="12"/>
    <s v="Atkins"/>
    <s v="|88/00/19|"/>
    <n v="132"/>
    <n v="2.3933333333333335"/>
    <n v="2.9333333333333331"/>
  </r>
  <r>
    <x v="3"/>
    <s v="Hypermarkets"/>
    <x v="12"/>
    <s v="Atkins"/>
    <s v="|88/00/20|"/>
    <n v="132"/>
    <n v="2.4"/>
    <n v="2.98"/>
  </r>
  <r>
    <x v="3"/>
    <s v="Hypermarkets"/>
    <x v="12"/>
    <s v="Atkins"/>
    <s v="|88/00/21|"/>
    <n v="156"/>
    <n v="2.5666666666666669"/>
    <n v="2.9533333333333331"/>
  </r>
  <r>
    <x v="3"/>
    <s v="Hypermarkets"/>
    <x v="12"/>
    <s v="Atkins"/>
    <s v="|88/00/22|"/>
    <n v="144"/>
    <n v="2.7266666666666666"/>
    <n v="2.96"/>
  </r>
  <r>
    <x v="3"/>
    <s v="Hypermarkets"/>
    <x v="12"/>
    <s v="Atkins"/>
    <s v="|88/00/23|"/>
    <n v="168"/>
    <n v="2.3266666666666667"/>
    <n v="2.8866666666666667"/>
  </r>
  <r>
    <x v="3"/>
    <s v="Hypermarkets"/>
    <x v="12"/>
    <s v="Atkins"/>
    <s v="|88/00/24|"/>
    <n v="132"/>
    <n v="2.6933333333333334"/>
    <n v="2.9133333333333336"/>
  </r>
  <r>
    <x v="3"/>
    <s v="Hypermarkets"/>
    <x v="12"/>
    <s v="Atkins"/>
    <s v="|88/00/25|"/>
    <n v="120"/>
    <n v="2.2933333333333334"/>
    <n v="2.9933333333333332"/>
  </r>
  <r>
    <x v="3"/>
    <s v="Hypermarkets"/>
    <x v="12"/>
    <s v="Atkins"/>
    <s v="|88/00/26|"/>
    <n v="168"/>
    <n v="2.5333333333333332"/>
    <n v="2.8933333333333335"/>
  </r>
  <r>
    <x v="3"/>
    <s v="Hypermarkets"/>
    <x v="12"/>
    <s v="Atkins"/>
    <s v="|88/00/27|"/>
    <n v="144"/>
    <n v="2.5266666666666668"/>
    <n v="2.9"/>
  </r>
  <r>
    <x v="3"/>
    <s v="Hypermarkets"/>
    <x v="12"/>
    <s v="Atkins"/>
    <s v="|88/00/28|"/>
    <n v="156"/>
    <n v="2.46"/>
    <n v="2.9933333333333332"/>
  </r>
  <r>
    <x v="3"/>
    <s v="Hypermarkets"/>
    <x v="12"/>
    <s v="Atkins"/>
    <s v="|88/00/29|"/>
    <n v="156"/>
    <n v="2.4266666666666667"/>
    <n v="2.96"/>
  </r>
  <r>
    <x v="3"/>
    <s v="Hypermarkets"/>
    <x v="12"/>
    <s v="Atkins"/>
    <s v="|88/00/30|"/>
    <n v="132"/>
    <n v="2.5133333333333332"/>
    <n v="2.96"/>
  </r>
  <r>
    <x v="3"/>
    <s v="Hypermarkets"/>
    <x v="12"/>
    <s v="Atkins"/>
    <s v="|88/00/31|"/>
    <n v="132"/>
    <n v="2.6533333333333333"/>
    <n v="2.9466666666666668"/>
  </r>
  <r>
    <x v="3"/>
    <s v="Hypermarkets"/>
    <x v="12"/>
    <s v="Atkins"/>
    <s v="|88/00/32|"/>
    <n v="120"/>
    <n v="2.2799999999999998"/>
    <n v="2.8866666666666667"/>
  </r>
  <r>
    <x v="3"/>
    <s v="Hypermarkets"/>
    <x v="12"/>
    <s v="Atkins"/>
    <s v="|88/00/33|"/>
    <n v="120"/>
    <n v="2.3066666666666666"/>
    <n v="2.9733333333333332"/>
  </r>
  <r>
    <x v="3"/>
    <s v="Hypermarkets"/>
    <x v="12"/>
    <s v="Atkins"/>
    <s v="|88/00/34|"/>
    <n v="144"/>
    <n v="2.5066666666666668"/>
    <n v="2.96"/>
  </r>
  <r>
    <x v="3"/>
    <s v="Hypermarkets"/>
    <x v="12"/>
    <s v="Atkins"/>
    <s v="|88/00/35|"/>
    <n v="120"/>
    <n v="2.4533333333333331"/>
    <n v="2.9333333333333331"/>
  </r>
  <r>
    <x v="3"/>
    <s v="Hypermarkets"/>
    <x v="12"/>
    <s v="Atkins"/>
    <s v="|88/00/36|"/>
    <n v="120"/>
    <n v="2.4333333333333331"/>
    <n v="2.96"/>
  </r>
  <r>
    <x v="3"/>
    <s v="Hypermarkets"/>
    <x v="12"/>
    <s v="Atkins"/>
    <s v="|88/00/37|"/>
    <n v="156"/>
    <n v="2.42"/>
    <n v="2.9266666666666667"/>
  </r>
  <r>
    <x v="3"/>
    <s v="Hypermarkets"/>
    <x v="12"/>
    <s v="Atkins"/>
    <s v="|88/00/38|"/>
    <n v="144"/>
    <n v="2.3466666666666667"/>
    <n v="2.8933333333333335"/>
  </r>
  <r>
    <x v="3"/>
    <s v="Hypermarkets"/>
    <x v="12"/>
    <s v="Atkins"/>
    <s v="|88/00/39|"/>
    <n v="132"/>
    <n v="2.3666666666666667"/>
    <n v="2.9933333333333332"/>
  </r>
  <r>
    <x v="3"/>
    <s v="Hypermarkets"/>
    <x v="12"/>
    <s v="Atkins"/>
    <s v="|88/00/40|"/>
    <n v="144"/>
    <n v="2.66"/>
    <n v="2.8666666666666667"/>
  </r>
  <r>
    <x v="3"/>
    <s v="Hypermarkets"/>
    <x v="12"/>
    <s v="Atkins"/>
    <s v="|88/00/41|"/>
    <n v="168"/>
    <n v="2.76"/>
    <n v="2.96"/>
  </r>
  <r>
    <x v="3"/>
    <s v="Hypermarkets"/>
    <x v="12"/>
    <s v="Atkins"/>
    <s v="|88/00/42|"/>
    <n v="144"/>
    <n v="2.3733333333333335"/>
    <n v="2.94"/>
  </r>
  <r>
    <x v="3"/>
    <s v="Hypermarkets"/>
    <x v="12"/>
    <s v="Atkins"/>
    <s v="|88/00/43|"/>
    <n v="180"/>
    <n v="2.7"/>
    <n v="2.9666666666666668"/>
  </r>
  <r>
    <x v="3"/>
    <s v="Hypermarkets"/>
    <x v="12"/>
    <s v="Atkins"/>
    <s v="|88/00/44|"/>
    <n v="180"/>
    <n v="2.2666666666666666"/>
    <n v="2.9533333333333331"/>
  </r>
  <r>
    <x v="3"/>
    <s v="Hypermarkets"/>
    <x v="12"/>
    <s v="Atkins"/>
    <s v="|88/00/46|"/>
    <n v="156"/>
    <n v="2.7933333333333334"/>
    <n v="2.94"/>
  </r>
  <r>
    <x v="3"/>
    <s v="Hypermarkets"/>
    <x v="12"/>
    <s v="Atkins"/>
    <s v="|88/00/47|"/>
    <n v="168"/>
    <n v="2.5333333333333332"/>
    <n v="2.9266666666666667"/>
  </r>
  <r>
    <x v="3"/>
    <s v="Hypermarkets"/>
    <x v="12"/>
    <s v="Atkins"/>
    <s v="|88/00/48|"/>
    <n v="156"/>
    <n v="2.3199999999999998"/>
    <n v="2.9466666666666668"/>
  </r>
  <r>
    <x v="3"/>
    <s v="Hypermarkets"/>
    <x v="12"/>
    <s v="Atkins"/>
    <s v="|88/00/49|"/>
    <n v="144"/>
    <n v="2.42"/>
    <n v="2.9133333333333336"/>
  </r>
  <r>
    <x v="3"/>
    <s v="Hypermarkets"/>
    <x v="12"/>
    <s v="Atkins"/>
    <s v="|88/00/50|"/>
    <n v="132"/>
    <n v="2.7933333333333334"/>
    <n v="2.9266666666666667"/>
  </r>
  <r>
    <x v="3"/>
    <s v="Hypermarkets"/>
    <x v="12"/>
    <s v="Atkins"/>
    <s v="|88/00/51|"/>
    <n v="144"/>
    <n v="2.5133333333333332"/>
    <n v="2.9266666666666667"/>
  </r>
  <r>
    <x v="3"/>
    <s v="Hypermarkets"/>
    <x v="12"/>
    <s v="Atkins"/>
    <s v="|88/00/52|"/>
    <n v="156"/>
    <n v="2.52"/>
    <n v="2.9866666666666668"/>
  </r>
  <r>
    <x v="3"/>
    <s v="Hypermarkets"/>
    <x v="12"/>
    <s v="Atkins"/>
    <s v="|88/00/53|"/>
    <n v="120"/>
    <n v="2.3199999999999998"/>
    <n v="3"/>
  </r>
  <r>
    <x v="3"/>
    <s v="Hypermarkets"/>
    <x v="12"/>
    <s v="Atkins"/>
    <s v="|88/00/54|"/>
    <n v="156"/>
    <n v="2.5133333333333332"/>
    <n v="2.9533333333333331"/>
  </r>
  <r>
    <x v="3"/>
    <s v="Hypermarkets"/>
    <x v="12"/>
    <s v="Atkins"/>
    <s v="|88/00/55|"/>
    <n v="180"/>
    <n v="2.3866666666666667"/>
    <n v="2.9066666666666667"/>
  </r>
  <r>
    <x v="3"/>
    <s v="Hypermarkets"/>
    <x v="12"/>
    <s v="Atkins"/>
    <s v="|88/00/56|"/>
    <n v="180"/>
    <n v="2.4666666666666668"/>
    <n v="2.9"/>
  </r>
  <r>
    <x v="3"/>
    <s v="Hypermarkets"/>
    <x v="12"/>
    <s v="Atkins"/>
    <s v="|88/00/57|"/>
    <n v="156"/>
    <n v="2.7066666666666666"/>
    <n v="2.9333333333333331"/>
  </r>
  <r>
    <x v="3"/>
    <s v="Hypermarkets"/>
    <x v="12"/>
    <s v="Atkins"/>
    <s v="|88/00/58|"/>
    <n v="132"/>
    <n v="2.5933333333333333"/>
    <n v="2.9666666666666668"/>
  </r>
  <r>
    <x v="3"/>
    <s v="Hypermarkets"/>
    <x v="12"/>
    <s v="Atkins"/>
    <s v="|88/00/59|"/>
    <n v="168"/>
    <n v="2.3266666666666667"/>
    <n v="2.9533333333333331"/>
  </r>
  <r>
    <x v="3"/>
    <s v="Hypermarkets"/>
    <x v="12"/>
    <s v="Atkins"/>
    <s v="|88/00/60|"/>
    <n v="156"/>
    <n v="2.38"/>
    <n v="2.9666666666666668"/>
  </r>
  <r>
    <x v="3"/>
    <s v="Hypermarkets"/>
    <x v="12"/>
    <s v="Atkins"/>
    <s v="|88/00/61|"/>
    <n v="120"/>
    <n v="2.64"/>
    <n v="2.92"/>
  </r>
  <r>
    <x v="3"/>
    <s v="Hypermarkets"/>
    <x v="12"/>
    <s v="Atkins"/>
    <s v="|88/00/62|"/>
    <n v="180"/>
    <n v="2.3133333333333335"/>
    <n v="2.9066666666666667"/>
  </r>
  <r>
    <x v="3"/>
    <s v="Hypermarkets"/>
    <x v="12"/>
    <s v="Atkins"/>
    <s v="|88/00/64|"/>
    <n v="168"/>
    <n v="2.2733333333333334"/>
    <n v="2.9933333333333332"/>
  </r>
  <r>
    <x v="3"/>
    <s v="Hypermarkets"/>
    <x v="12"/>
    <s v="Atkins"/>
    <s v="|88/00/65|"/>
    <n v="168"/>
    <n v="2.4866666666666668"/>
    <n v="2.9666666666666668"/>
  </r>
  <r>
    <x v="3"/>
    <s v="Hypermarkets"/>
    <x v="12"/>
    <s v="Atkins"/>
    <s v="|88/00/67|"/>
    <n v="132"/>
    <n v="2.6466666666666665"/>
    <n v="2.9133333333333336"/>
  </r>
  <r>
    <x v="3"/>
    <s v="Hypermarkets"/>
    <x v="12"/>
    <s v="Atkins"/>
    <s v="|88/00/68|"/>
    <n v="120"/>
    <n v="2.2933333333333334"/>
    <n v="2.98"/>
  </r>
  <r>
    <x v="3"/>
    <s v="Hypermarkets"/>
    <x v="12"/>
    <s v="Atkins"/>
    <s v="|88/00/69|"/>
    <n v="156"/>
    <n v="2.2999999999999998"/>
    <n v="2.92"/>
  </r>
  <r>
    <x v="3"/>
    <s v="Hypermarkets"/>
    <x v="12"/>
    <s v="Atkins"/>
    <s v="|88/00/70|"/>
    <n v="156"/>
    <n v="2.6066666666666665"/>
    <n v="2.8933333333333335"/>
  </r>
  <r>
    <x v="3"/>
    <s v="Hypermarkets"/>
    <x v="12"/>
    <s v="Atkins"/>
    <s v="|88/00/71|"/>
    <n v="120"/>
    <n v="2.4066666666666667"/>
    <n v="2.8866666666666667"/>
  </r>
  <r>
    <x v="3"/>
    <s v="Hypermarkets"/>
    <x v="12"/>
    <s v="Atkins"/>
    <s v="|88/00/72|"/>
    <n v="156"/>
    <n v="2.6133333333333333"/>
    <n v="2.9866666666666668"/>
  </r>
  <r>
    <x v="3"/>
    <s v="Hypermarkets"/>
    <x v="12"/>
    <s v="Atkins"/>
    <s v="|88/00/73|"/>
    <n v="180"/>
    <n v="2.66"/>
    <n v="2.92"/>
  </r>
  <r>
    <x v="3"/>
    <s v="Hypermarkets"/>
    <x v="12"/>
    <s v="Atkins"/>
    <s v="|88/00/74|"/>
    <n v="168"/>
    <n v="2.54"/>
    <n v="2.96"/>
  </r>
  <r>
    <x v="3"/>
    <s v="Hypermarkets"/>
    <x v="12"/>
    <s v="Atkins"/>
    <s v="|88/00/75|"/>
    <n v="180"/>
    <n v="2.5666666666666669"/>
    <n v="2.92"/>
  </r>
  <r>
    <x v="3"/>
    <s v="Hypermarkets"/>
    <x v="12"/>
    <s v="Atkins"/>
    <s v="|88/00/76|"/>
    <n v="156"/>
    <n v="2.3333333333333335"/>
    <n v="2.88"/>
  </r>
  <r>
    <x v="3"/>
    <s v="Hypermarkets"/>
    <x v="12"/>
    <s v="Atkins"/>
    <s v="|88/00/77|"/>
    <n v="132"/>
    <n v="2.5266666666666668"/>
    <n v="2.9933333333333332"/>
  </r>
  <r>
    <x v="3"/>
    <s v="Hypermarkets"/>
    <x v="12"/>
    <s v="Atkins"/>
    <s v="|88/00/78|"/>
    <n v="144"/>
    <n v="2.4133333333333336"/>
    <n v="2.9133333333333336"/>
  </r>
  <r>
    <x v="3"/>
    <s v="Hypermarkets"/>
    <x v="12"/>
    <s v="Atkins"/>
    <s v="|88/00/79|"/>
    <n v="180"/>
    <n v="2.74"/>
    <n v="2.9466666666666668"/>
  </r>
  <r>
    <x v="3"/>
    <s v="Hypermarkets"/>
    <x v="12"/>
    <s v="Spicers"/>
    <s v="|127/01/01|"/>
    <n v="156"/>
    <n v="2.5933333333333333"/>
    <n v="2.9466666666666668"/>
  </r>
  <r>
    <x v="3"/>
    <s v="Hypermarkets"/>
    <x v="12"/>
    <s v="Spicers"/>
    <s v="|127/01/02|"/>
    <n v="156"/>
    <n v="2.4866666666666668"/>
    <n v="2.9533333333333331"/>
  </r>
  <r>
    <x v="3"/>
    <s v="Hypermarkets"/>
    <x v="12"/>
    <s v="Spicers"/>
    <s v="|127/01/03|"/>
    <n v="132"/>
    <n v="2.34"/>
    <n v="2.8733333333333335"/>
  </r>
  <r>
    <x v="3"/>
    <s v="Hypermarkets"/>
    <x v="12"/>
    <s v="Parmareggio"/>
    <s v="|101/01/00|"/>
    <n v="132"/>
    <n v="2.64"/>
    <n v="2.98"/>
  </r>
  <r>
    <x v="3"/>
    <s v="Hypermarkets"/>
    <x v="12"/>
    <s v="Parmareggio"/>
    <s v="|101/01/01|"/>
    <n v="120"/>
    <n v="2.4066666666666667"/>
    <n v="2.98"/>
  </r>
  <r>
    <x v="3"/>
    <s v="Hypermarkets"/>
    <x v="12"/>
    <s v="Parmareggio"/>
    <s v="|101/01/02|"/>
    <n v="120"/>
    <n v="2.4866666666666668"/>
    <n v="2.92"/>
  </r>
  <r>
    <x v="3"/>
    <s v="Hypermarkets"/>
    <x v="12"/>
    <s v="Parmareggio"/>
    <s v="|101/01/03|"/>
    <n v="132"/>
    <n v="2.7066666666666666"/>
    <n v="2.96"/>
  </r>
  <r>
    <x v="3"/>
    <s v="Hypermarkets"/>
    <x v="12"/>
    <s v="Parmareggio"/>
    <s v="|101/01/04|"/>
    <n v="120"/>
    <n v="2.3199999999999998"/>
    <n v="2.9"/>
  </r>
  <r>
    <x v="3"/>
    <s v="Hypermarkets"/>
    <x v="12"/>
    <s v="Parmareggio"/>
    <s v="|101/01/05|"/>
    <n v="180"/>
    <n v="2.6666666666666665"/>
    <n v="2.8933333333333335"/>
  </r>
  <r>
    <x v="3"/>
    <s v="Hypermarkets"/>
    <x v="12"/>
    <s v="Parmareggio"/>
    <s v="|101/01/06|"/>
    <n v="156"/>
    <n v="2.6"/>
    <n v="3"/>
  </r>
  <r>
    <x v="3"/>
    <s v="Hypermarkets"/>
    <x v="12"/>
    <s v="Parmareggio"/>
    <s v="|101/01/07|"/>
    <n v="156"/>
    <n v="2.4333333333333331"/>
    <n v="2.8666666666666667"/>
  </r>
  <r>
    <x v="3"/>
    <s v="Hypermarkets"/>
    <x v="12"/>
    <s v="Parmareggio"/>
    <s v="|101/01/08|"/>
    <n v="168"/>
    <n v="2.2666666666666666"/>
    <n v="2.8933333333333335"/>
  </r>
  <r>
    <x v="3"/>
    <s v="Hypermarkets"/>
    <x v="12"/>
    <s v="Parmareggio"/>
    <s v="|101/01/09|"/>
    <n v="156"/>
    <n v="2.5266666666666668"/>
    <n v="2.9533333333333331"/>
  </r>
  <r>
    <x v="3"/>
    <s v="Hypermarkets"/>
    <x v="12"/>
    <s v="Parmareggio"/>
    <s v="|101/01/10|"/>
    <n v="120"/>
    <n v="2.4266666666666667"/>
    <n v="2.96"/>
  </r>
  <r>
    <x v="3"/>
    <s v="Hypermarkets"/>
    <x v="12"/>
    <s v="Parmareggio"/>
    <s v="|101/01/11|"/>
    <n v="156"/>
    <n v="2.7133333333333334"/>
    <n v="2.8933333333333335"/>
  </r>
  <r>
    <x v="3"/>
    <s v="Hypermarkets"/>
    <x v="14"/>
    <s v="Rana"/>
    <s v="|29/02/01|"/>
    <n v="1932"/>
    <n v="0.81"/>
    <n v="0.92"/>
  </r>
  <r>
    <x v="3"/>
    <s v="Hypermarkets"/>
    <x v="14"/>
    <s v="Rana"/>
    <s v="|29/02/02|"/>
    <n v="1368"/>
    <n v="0.74"/>
    <n v="0.96"/>
  </r>
  <r>
    <x v="3"/>
    <s v="Hypermarkets"/>
    <x v="14"/>
    <s v="Rana"/>
    <s v="|29/02/03|"/>
    <n v="2100"/>
    <n v="0.85"/>
    <n v="0.98"/>
  </r>
  <r>
    <x v="3"/>
    <s v="Hypermarkets"/>
    <x v="14"/>
    <s v="Rana"/>
    <s v="|29/02/04|"/>
    <n v="1896"/>
    <n v="0.75"/>
    <n v="1"/>
  </r>
  <r>
    <x v="3"/>
    <s v="Hypermarkets"/>
    <x v="14"/>
    <s v="Rana"/>
    <s v="|29/02/05|"/>
    <n v="1860"/>
    <n v="0.89"/>
    <n v="0.9"/>
  </r>
  <r>
    <x v="3"/>
    <s v="Hypermarkets"/>
    <x v="14"/>
    <s v="Rana"/>
    <s v="|29/02/06|"/>
    <n v="1212"/>
    <n v="0.76"/>
    <n v="0.97"/>
  </r>
  <r>
    <x v="3"/>
    <s v="Hypermarkets"/>
    <x v="14"/>
    <s v="Rana"/>
    <s v="|29/02/07|"/>
    <n v="2040"/>
    <n v="0.77"/>
    <n v="0.9"/>
  </r>
  <r>
    <x v="3"/>
    <s v="Hypermarkets"/>
    <x v="14"/>
    <s v="Rana"/>
    <s v="|29/02/08|"/>
    <n v="1500"/>
    <n v="0.89"/>
    <n v="0.92"/>
  </r>
  <r>
    <x v="3"/>
    <s v="Hypermarkets"/>
    <x v="14"/>
    <s v="Rana"/>
    <s v="|29/02/09|"/>
    <n v="1812"/>
    <n v="0.75"/>
    <n v="0.94"/>
  </r>
  <r>
    <x v="3"/>
    <s v="Hypermarkets"/>
    <x v="14"/>
    <s v="Rana"/>
    <s v="|29/02/10|"/>
    <n v="1500"/>
    <n v="0.81"/>
    <n v="0.9"/>
  </r>
  <r>
    <x v="3"/>
    <s v="Hypermarkets"/>
    <x v="14"/>
    <s v="Rana"/>
    <s v="|29/02/11|"/>
    <n v="1968"/>
    <n v="0.83"/>
    <n v="0.94"/>
  </r>
  <r>
    <x v="3"/>
    <s v="Hypermarkets"/>
    <x v="14"/>
    <s v="Rana"/>
    <s v="|29/02/12|"/>
    <n v="1380"/>
    <n v="0.84"/>
    <n v="0.91"/>
  </r>
  <r>
    <x v="3"/>
    <s v="Hypermarkets"/>
    <x v="14"/>
    <s v="Rana"/>
    <s v="|29/02/13|"/>
    <n v="1548"/>
    <n v="0.7"/>
    <n v="0.98"/>
  </r>
  <r>
    <x v="3"/>
    <s v="Hypermarkets"/>
    <x v="14"/>
    <s v="Rana"/>
    <s v="|29/02/14|"/>
    <n v="1500"/>
    <n v="0.77"/>
    <n v="0.94"/>
  </r>
  <r>
    <x v="3"/>
    <s v="Hypermarkets"/>
    <x v="14"/>
    <s v="Rana"/>
    <s v="|29/02/15|"/>
    <n v="2256"/>
    <n v="0.87"/>
    <n v="0.95"/>
  </r>
  <r>
    <x v="3"/>
    <s v="Hypermarkets"/>
    <x v="14"/>
    <s v="Rana"/>
    <s v="|29/02/16|"/>
    <n v="1980"/>
    <n v="0.7"/>
    <n v="0.92"/>
  </r>
  <r>
    <x v="3"/>
    <s v="Hypermarkets"/>
    <x v="14"/>
    <s v="Rana"/>
    <s v="|29/02/17|"/>
    <n v="2280"/>
    <n v="0.85"/>
    <n v="0.94"/>
  </r>
  <r>
    <x v="3"/>
    <s v="Hypermarkets"/>
    <x v="14"/>
    <s v="Rana"/>
    <s v="|29/02/18|"/>
    <n v="1272"/>
    <n v="0.81"/>
    <n v="1"/>
  </r>
  <r>
    <x v="3"/>
    <s v="Hypermarkets"/>
    <x v="14"/>
    <s v="Rana"/>
    <s v="|29/02/19|"/>
    <n v="1560"/>
    <n v="0.71"/>
    <n v="0.96"/>
  </r>
  <r>
    <x v="3"/>
    <s v="Hypermarkets"/>
    <x v="14"/>
    <s v="Rana"/>
    <s v="|29/02/20|"/>
    <n v="2316"/>
    <n v="0.83"/>
    <n v="0.93"/>
  </r>
  <r>
    <x v="3"/>
    <s v="Hypermarkets"/>
    <x v="14"/>
    <s v="Rana"/>
    <s v="|29/02/21|"/>
    <n v="2088"/>
    <n v="0.7"/>
    <n v="0.91"/>
  </r>
  <r>
    <x v="3"/>
    <s v="Hypermarkets"/>
    <x v="14"/>
    <s v="Rana"/>
    <s v="|29/02/22|"/>
    <n v="1908"/>
    <n v="0.81"/>
    <n v="1"/>
  </r>
  <r>
    <x v="3"/>
    <s v="Hypermarkets"/>
    <x v="14"/>
    <s v="Rana"/>
    <s v="|29/02/23|"/>
    <n v="1476"/>
    <n v="0.8"/>
    <n v="0.92"/>
  </r>
  <r>
    <x v="3"/>
    <s v="Hypermarkets"/>
    <x v="14"/>
    <s v="Rana"/>
    <s v="|29/02/24|"/>
    <n v="2100"/>
    <n v="0.7"/>
    <n v="0.98"/>
  </r>
  <r>
    <x v="3"/>
    <s v="Hypermarkets"/>
    <x v="14"/>
    <s v="Rana"/>
    <s v="|29/02/25|"/>
    <n v="1572"/>
    <n v="0.85"/>
    <n v="0.91"/>
  </r>
  <r>
    <x v="3"/>
    <s v="Hypermarkets"/>
    <x v="14"/>
    <s v="Rana"/>
    <s v="|29/02/26|"/>
    <n v="2004"/>
    <n v="0.83"/>
    <n v="0.95"/>
  </r>
  <r>
    <x v="3"/>
    <s v="Hypermarkets"/>
    <x v="14"/>
    <s v="Rana"/>
    <s v="|29/02/27|"/>
    <n v="1404"/>
    <n v="0.82"/>
    <n v="0.91"/>
  </r>
  <r>
    <x v="3"/>
    <s v="Hypermarkets"/>
    <x v="14"/>
    <s v="Rana"/>
    <s v="|29/02/30|"/>
    <n v="2232"/>
    <n v="0.85"/>
    <n v="0.99"/>
  </r>
  <r>
    <x v="3"/>
    <s v="Hypermarkets"/>
    <x v="14"/>
    <s v="Rana"/>
    <s v="|29/02/31|"/>
    <n v="1512"/>
    <n v="0.78"/>
    <n v="0.9"/>
  </r>
  <r>
    <x v="3"/>
    <s v="Hypermarkets"/>
    <x v="14"/>
    <s v="Rana"/>
    <s v="|29/02/32|"/>
    <n v="1464"/>
    <n v="0.78"/>
    <n v="0.97"/>
  </r>
  <r>
    <x v="3"/>
    <s v="Hypermarkets"/>
    <x v="14"/>
    <s v="Rana"/>
    <s v="|29/02/33|"/>
    <n v="1320"/>
    <n v="0.85"/>
    <n v="0.97"/>
  </r>
  <r>
    <x v="3"/>
    <s v="Hypermarkets"/>
    <x v="14"/>
    <s v="Rana"/>
    <s v="|29/02/34|"/>
    <n v="1704"/>
    <n v="0.89"/>
    <n v="0.98"/>
  </r>
  <r>
    <x v="3"/>
    <s v="Hypermarkets"/>
    <x v="14"/>
    <s v="Rana"/>
    <s v="|29/02/35|"/>
    <n v="1512"/>
    <n v="0.78"/>
    <n v="0.97"/>
  </r>
  <r>
    <x v="3"/>
    <s v="Hypermarkets"/>
    <x v="14"/>
    <s v="Rana"/>
    <s v="|29/02/36|"/>
    <n v="1368"/>
    <n v="0.72"/>
    <n v="0.95"/>
  </r>
  <r>
    <x v="3"/>
    <s v="Hypermarkets"/>
    <x v="14"/>
    <s v="Rana"/>
    <s v="|29/02/38|"/>
    <n v="1968"/>
    <n v="0.89"/>
    <n v="0.93"/>
  </r>
  <r>
    <x v="3"/>
    <s v="Hypermarkets"/>
    <x v="14"/>
    <s v="Rana"/>
    <s v="|29/02/39|"/>
    <n v="1716"/>
    <n v="0.78"/>
    <n v="1"/>
  </r>
  <r>
    <x v="3"/>
    <s v="Hypermarkets"/>
    <x v="14"/>
    <s v="Rana"/>
    <s v="|29/02/40|"/>
    <n v="2148"/>
    <n v="0.71"/>
    <n v="0.92"/>
  </r>
  <r>
    <x v="3"/>
    <s v="Hypermarkets"/>
    <x v="14"/>
    <s v="Rana"/>
    <s v="|29/02/41|"/>
    <n v="1536"/>
    <n v="0.79"/>
    <n v="0.91"/>
  </r>
  <r>
    <x v="3"/>
    <s v="Hypermarkets"/>
    <x v="14"/>
    <s v="Rana"/>
    <s v="|29/02/42|"/>
    <n v="1224"/>
    <n v="0.85"/>
    <n v="0.95"/>
  </r>
  <r>
    <x v="3"/>
    <s v="Hypermarkets"/>
    <x v="14"/>
    <s v="Rana"/>
    <s v="|29/02/43|"/>
    <n v="1764"/>
    <n v="0.87"/>
    <n v="0.91"/>
  </r>
  <r>
    <x v="3"/>
    <s v="Hypermarkets"/>
    <x v="14"/>
    <s v="Rana"/>
    <s v="|29/02/50|"/>
    <n v="2088"/>
    <n v="0.79"/>
    <n v="0.98"/>
  </r>
  <r>
    <x v="3"/>
    <s v="Hypermarkets"/>
    <x v="12"/>
    <s v="Real quality"/>
    <s v="|132/01/01|"/>
    <n v="168"/>
    <n v="2.4"/>
    <n v="2.88"/>
  </r>
  <r>
    <x v="3"/>
    <s v="Hypermarkets"/>
    <x v="13"/>
    <s v="Lactalis"/>
    <s v="|54/01/01|"/>
    <n v="528"/>
    <n v="2.17"/>
    <n v="3.03"/>
  </r>
  <r>
    <x v="3"/>
    <s v="Hypermarkets"/>
    <x v="13"/>
    <s v="Lactalis"/>
    <s v="|54/01/02|"/>
    <n v="264"/>
    <n v="2.11"/>
    <n v="3.75"/>
  </r>
  <r>
    <x v="3"/>
    <s v="Hypermarkets"/>
    <x v="13"/>
    <s v="Lactalis"/>
    <s v="|54/01/03|"/>
    <n v="228"/>
    <n v="2.54"/>
    <n v="3.55"/>
  </r>
  <r>
    <x v="3"/>
    <s v="Hypermarkets"/>
    <x v="13"/>
    <s v="Lactalis"/>
    <s v="|54/01/04|"/>
    <n v="348"/>
    <n v="2.37"/>
    <n v="3.65"/>
  </r>
  <r>
    <x v="3"/>
    <s v="Hypermarkets"/>
    <x v="13"/>
    <s v="Lactalis"/>
    <s v="|54/01/05|"/>
    <n v="264"/>
    <n v="2.74"/>
    <n v="3.77"/>
  </r>
  <r>
    <x v="3"/>
    <s v="Hypermarkets"/>
    <x v="13"/>
    <s v="Lactalis"/>
    <s v="|54/01/06|"/>
    <n v="240"/>
    <n v="2.62"/>
    <n v="3.16"/>
  </r>
  <r>
    <x v="3"/>
    <s v="Hypermarkets"/>
    <x v="13"/>
    <s v="Lactalis"/>
    <s v="|54/01/07|"/>
    <n v="372"/>
    <n v="2.46"/>
    <n v="3.49"/>
  </r>
  <r>
    <x v="3"/>
    <s v="Hypermarkets"/>
    <x v="13"/>
    <s v="Lactalis"/>
    <s v="|54/01/08|"/>
    <n v="588"/>
    <n v="2.63"/>
    <n v="3.79"/>
  </r>
  <r>
    <x v="3"/>
    <s v="Hypermarkets"/>
    <x v="13"/>
    <s v="Lactalis"/>
    <s v="|54/01/09|"/>
    <n v="216"/>
    <n v="2.39"/>
    <n v="3.12"/>
  </r>
  <r>
    <x v="3"/>
    <s v="Hypermarkets"/>
    <x v="13"/>
    <s v="Lactalis"/>
    <s v="|54/01/10|"/>
    <n v="192"/>
    <n v="2.04"/>
    <n v="3.55"/>
  </r>
  <r>
    <x v="3"/>
    <s v="Hypermarkets"/>
    <x v="13"/>
    <s v="Lactalis"/>
    <s v="|54/01/11|"/>
    <n v="324"/>
    <n v="2.66"/>
    <n v="3.7"/>
  </r>
  <r>
    <x v="3"/>
    <s v="Hypermarkets"/>
    <x v="13"/>
    <s v="Lactalis"/>
    <s v="|54/01/12|"/>
    <n v="156"/>
    <n v="2.3199999999999998"/>
    <n v="3.54"/>
  </r>
  <r>
    <x v="3"/>
    <s v="Hypermarkets"/>
    <x v="13"/>
    <s v="Lactalis"/>
    <s v="|54/01/13|"/>
    <n v="504"/>
    <n v="2.64"/>
    <n v="3.31"/>
  </r>
  <r>
    <x v="3"/>
    <s v="Hypermarkets"/>
    <x v="13"/>
    <s v="Lactalis"/>
    <s v="|54/01/14|"/>
    <n v="600"/>
    <n v="2.56"/>
    <n v="3.07"/>
  </r>
  <r>
    <x v="3"/>
    <s v="Hypermarkets"/>
    <x v="13"/>
    <s v="Lactalis"/>
    <s v="|54/01/15|"/>
    <n v="552"/>
    <n v="2.02"/>
    <n v="3.31"/>
  </r>
  <r>
    <x v="3"/>
    <s v="Hypermarkets"/>
    <x v="13"/>
    <s v="Lactalis"/>
    <s v="|54/01/16|"/>
    <n v="216"/>
    <n v="2.76"/>
    <n v="3.78"/>
  </r>
  <r>
    <x v="3"/>
    <s v="Hypermarkets"/>
    <x v="13"/>
    <s v="Lactalis"/>
    <s v="|54/01/17|"/>
    <n v="372"/>
    <n v="2.2200000000000002"/>
    <n v="3.56"/>
  </r>
  <r>
    <x v="3"/>
    <s v="Hypermarkets"/>
    <x v="13"/>
    <s v="Lactalis"/>
    <s v="|54/01/18|"/>
    <n v="540"/>
    <n v="2.29"/>
    <n v="3.51"/>
  </r>
  <r>
    <x v="3"/>
    <s v="Hypermarkets"/>
    <x v="13"/>
    <s v="Lactalis"/>
    <s v="|54/01/19|"/>
    <n v="252"/>
    <n v="2.29"/>
    <n v="3.48"/>
  </r>
  <r>
    <x v="3"/>
    <s v="Hypermarkets"/>
    <x v="13"/>
    <s v="Lactalis"/>
    <s v="|54/01/20|"/>
    <n v="168"/>
    <n v="2.39"/>
    <n v="3.78"/>
  </r>
  <r>
    <x v="3"/>
    <s v="Hypermarkets"/>
    <x v="13"/>
    <s v="Lactalis"/>
    <s v="|54/01/21|"/>
    <n v="300"/>
    <n v="2.2000000000000002"/>
    <n v="3.52"/>
  </r>
  <r>
    <x v="3"/>
    <s v="Hypermarkets"/>
    <x v="13"/>
    <s v="Lactalis"/>
    <s v="|54/01/22|"/>
    <n v="564"/>
    <n v="2.2599999999999998"/>
    <n v="3.66"/>
  </r>
  <r>
    <x v="3"/>
    <s v="Hypermarkets"/>
    <x v="13"/>
    <s v="Lactalis"/>
    <s v="|54/01/23|"/>
    <n v="276"/>
    <n v="2.4700000000000002"/>
    <n v="3.16"/>
  </r>
  <r>
    <x v="3"/>
    <s v="Hypermarkets"/>
    <x v="13"/>
    <s v="Lactalis"/>
    <s v="|54/01/24|"/>
    <n v="324"/>
    <n v="2.5"/>
    <n v="3.01"/>
  </r>
  <r>
    <x v="3"/>
    <s v="Hypermarkets"/>
    <x v="13"/>
    <s v="Lactalis"/>
    <s v="|54/01/25|"/>
    <n v="396"/>
    <n v="2.35"/>
    <n v="3.61"/>
  </r>
  <r>
    <x v="3"/>
    <s v="Hypermarkets"/>
    <x v="13"/>
    <s v="Lactalis"/>
    <s v="|54/01/26|"/>
    <n v="360"/>
    <n v="2.27"/>
    <n v="3.14"/>
  </r>
  <r>
    <x v="3"/>
    <s v="Hypermarkets"/>
    <x v="13"/>
    <s v="Lactalis"/>
    <s v="|54/01/27|"/>
    <n v="204"/>
    <n v="2.59"/>
    <n v="3.51"/>
  </r>
  <r>
    <x v="3"/>
    <s v="Hypermarkets"/>
    <x v="13"/>
    <s v="Lactalis"/>
    <s v="|54/01/28|"/>
    <n v="324"/>
    <n v="2.4300000000000002"/>
    <n v="3.65"/>
  </r>
  <r>
    <x v="3"/>
    <s v="Hypermarkets"/>
    <x v="13"/>
    <s v="Lactalis"/>
    <s v="|54/01/29|"/>
    <n v="444"/>
    <n v="2.2599999999999998"/>
    <n v="3.65"/>
  </r>
  <r>
    <x v="3"/>
    <s v="Hypermarkets"/>
    <x v="13"/>
    <s v="Lactalis"/>
    <s v="|54/01/30|"/>
    <n v="516"/>
    <n v="2.74"/>
    <n v="3.79"/>
  </r>
  <r>
    <x v="3"/>
    <s v="Hypermarkets"/>
    <x v="13"/>
    <s v="Lactalis"/>
    <s v="|54/01/31|"/>
    <n v="468"/>
    <n v="2.36"/>
    <n v="3.42"/>
  </r>
  <r>
    <x v="3"/>
    <s v="Hypermarkets"/>
    <x v="13"/>
    <s v="Lactalis"/>
    <s v="|54/01/32|"/>
    <n v="492"/>
    <n v="2.1800000000000002"/>
    <n v="3.24"/>
  </r>
  <r>
    <x v="3"/>
    <s v="Hypermarkets"/>
    <x v="13"/>
    <s v="Lactalis"/>
    <s v="|54/01/33|"/>
    <n v="264"/>
    <n v="2.21"/>
    <n v="3.29"/>
  </r>
  <r>
    <x v="3"/>
    <s v="Hypermarkets"/>
    <x v="13"/>
    <s v="Lactalis"/>
    <s v="|54/01/34|"/>
    <n v="300"/>
    <n v="2.34"/>
    <n v="3.52"/>
  </r>
  <r>
    <x v="3"/>
    <s v="Hypermarkets"/>
    <x v="13"/>
    <s v="Lactalis"/>
    <s v="|54/01/35|"/>
    <n v="324"/>
    <n v="2.21"/>
    <n v="3.23"/>
  </r>
  <r>
    <x v="3"/>
    <s v="Hypermarkets"/>
    <x v="13"/>
    <s v="Lactalis"/>
    <s v="|54/01/36|"/>
    <n v="468"/>
    <n v="2.12"/>
    <n v="3.06"/>
  </r>
  <r>
    <x v="3"/>
    <s v="Hypermarkets"/>
    <x v="13"/>
    <s v="Lactalis"/>
    <s v="|54/01/37|"/>
    <n v="192"/>
    <n v="2.2999999999999998"/>
    <n v="3.25"/>
  </r>
  <r>
    <x v="3"/>
    <s v="Hypermarkets"/>
    <x v="12"/>
    <s v="Lactalis"/>
    <s v="|54/01/38|"/>
    <n v="120"/>
    <n v="2.6933333333333334"/>
    <n v="2.88"/>
  </r>
  <r>
    <x v="3"/>
    <s v="Hypermarkets"/>
    <x v="13"/>
    <s v="Lactalis"/>
    <s v="|54/01/41|"/>
    <n v="324"/>
    <n v="2.61"/>
    <n v="3.62"/>
  </r>
  <r>
    <x v="3"/>
    <s v="Hypermarkets"/>
    <x v="13"/>
    <s v="Lactalis"/>
    <s v="|54/01/42|"/>
    <n v="552"/>
    <n v="2.1"/>
    <n v="3.67"/>
  </r>
  <r>
    <x v="3"/>
    <s v="Hypermarkets"/>
    <x v="13"/>
    <s v="Lactalis"/>
    <s v="|54/01/43|"/>
    <n v="360"/>
    <n v="2.6"/>
    <n v="3.59"/>
  </r>
  <r>
    <x v="3"/>
    <s v="Hypermarkets"/>
    <x v="12"/>
    <s v="Lactalis"/>
    <s v="|54/01/44|"/>
    <n v="180"/>
    <n v="2.6933333333333334"/>
    <n v="2.9"/>
  </r>
  <r>
    <x v="3"/>
    <s v="Hypermarkets"/>
    <x v="13"/>
    <s v="Lactalis"/>
    <s v="|54/01/45|"/>
    <n v="528"/>
    <n v="2.67"/>
    <n v="3.08"/>
  </r>
  <r>
    <x v="3"/>
    <s v="Hypermarkets"/>
    <x v="13"/>
    <s v="Lactalis"/>
    <s v="|54/01/46|"/>
    <n v="360"/>
    <n v="2.0699999999999998"/>
    <n v="3.59"/>
  </r>
  <r>
    <x v="3"/>
    <s v="Hypermarkets"/>
    <x v="12"/>
    <s v="Lactalis"/>
    <s v="|54/01/47|"/>
    <n v="156"/>
    <n v="2.48"/>
    <n v="2.9133333333333336"/>
  </r>
  <r>
    <x v="3"/>
    <s v="Hypermarkets"/>
    <x v="13"/>
    <s v="Lactalis"/>
    <s v="|54/01/48|"/>
    <n v="564"/>
    <n v="2.0099999999999998"/>
    <n v="3.58"/>
  </r>
  <r>
    <x v="3"/>
    <s v="Hypermarkets"/>
    <x v="13"/>
    <s v="Lactalis"/>
    <s v="|54/01/49|"/>
    <n v="300"/>
    <n v="2.31"/>
    <n v="3.1"/>
  </r>
  <r>
    <x v="3"/>
    <s v="Hypermarkets"/>
    <x v="13"/>
    <s v="Lactalis"/>
    <s v="|54/01/50|"/>
    <n v="324"/>
    <n v="2.16"/>
    <n v="3.69"/>
  </r>
  <r>
    <x v="3"/>
    <s v="Hypermarkets"/>
    <x v="13"/>
    <s v="Lactalis"/>
    <s v="|54/01/52|"/>
    <n v="396"/>
    <n v="2.2599999999999998"/>
    <n v="3.59"/>
  </r>
  <r>
    <x v="3"/>
    <s v="Hypermarkets"/>
    <x v="13"/>
    <s v="Lactalis"/>
    <s v="|54/01/90|"/>
    <n v="300"/>
    <n v="2.23"/>
    <n v="3.48"/>
  </r>
  <r>
    <x v="3"/>
    <s v="Hypermarkets"/>
    <x v="12"/>
    <s v="Bella's"/>
    <s v="|35/01/01|"/>
    <n v="180"/>
    <n v="2.64"/>
    <n v="2.8733333333333335"/>
  </r>
  <r>
    <x v="3"/>
    <s v="Hypermarkets"/>
    <x v="12"/>
    <s v="Bella's"/>
    <s v="|35/01/02|"/>
    <n v="168"/>
    <n v="2.2933333333333334"/>
    <n v="2.96"/>
  </r>
  <r>
    <x v="3"/>
    <s v="Hypermarkets"/>
    <x v="12"/>
    <s v="Bella's"/>
    <s v="|35/01/03|"/>
    <n v="144"/>
    <n v="2.3533333333333335"/>
    <n v="2.96"/>
  </r>
  <r>
    <x v="3"/>
    <s v="Hypermarkets"/>
    <x v="12"/>
    <s v="Bella's"/>
    <s v="|35/01/04|"/>
    <n v="144"/>
    <n v="2.4133333333333336"/>
    <n v="2.9933333333333332"/>
  </r>
  <r>
    <x v="3"/>
    <s v="Hypermarkets"/>
    <x v="12"/>
    <s v="Bella's"/>
    <s v="|35/01/05|"/>
    <n v="156"/>
    <n v="2.68"/>
    <n v="2.8733333333333335"/>
  </r>
  <r>
    <x v="3"/>
    <s v="Hypermarkets"/>
    <x v="12"/>
    <s v="Bella's"/>
    <s v="|35/01/06|"/>
    <n v="168"/>
    <n v="2.72"/>
    <n v="2.9933333333333332"/>
  </r>
  <r>
    <x v="3"/>
    <s v="Hypermarkets"/>
    <x v="12"/>
    <s v="Bella's"/>
    <s v="|35/01/07|"/>
    <n v="120"/>
    <n v="2.74"/>
    <n v="2.8866666666666667"/>
  </r>
  <r>
    <x v="3"/>
    <s v="Hypermarkets"/>
    <x v="12"/>
    <s v="Bella's"/>
    <s v="|35/01/08|"/>
    <n v="132"/>
    <n v="2.3666666666666667"/>
    <n v="2.9133333333333336"/>
  </r>
  <r>
    <x v="3"/>
    <s v="Hypermarkets"/>
    <x v="12"/>
    <s v="Bella's"/>
    <s v="|35/01/09|"/>
    <n v="120"/>
    <n v="2.5466666666666669"/>
    <n v="2.9866666666666668"/>
  </r>
  <r>
    <x v="3"/>
    <s v="Hypermarkets"/>
    <x v="12"/>
    <s v="Bella's"/>
    <s v="|35/01/10|"/>
    <n v="156"/>
    <n v="2.6133333333333333"/>
    <n v="2.9866666666666668"/>
  </r>
  <r>
    <x v="3"/>
    <s v="Hypermarkets"/>
    <x v="12"/>
    <s v="Bella's"/>
    <s v="|35/01/11|"/>
    <n v="156"/>
    <n v="2.7266666666666666"/>
    <n v="2.8666666666666667"/>
  </r>
  <r>
    <x v="3"/>
    <s v="Hypermarkets"/>
    <x v="12"/>
    <s v="Bella's"/>
    <s v="|35/01/12|"/>
    <n v="168"/>
    <n v="2.3133333333333335"/>
    <n v="2.9866666666666668"/>
  </r>
  <r>
    <x v="3"/>
    <s v="Hypermarkets"/>
    <x v="12"/>
    <s v="Bella's"/>
    <s v="|35/01/13|"/>
    <n v="144"/>
    <n v="2.68"/>
    <n v="2.9733333333333332"/>
  </r>
  <r>
    <x v="3"/>
    <s v="Hypermarkets"/>
    <x v="12"/>
    <s v="Bella's"/>
    <s v="|35/01/14|"/>
    <n v="180"/>
    <n v="2.6533333333333333"/>
    <n v="2.96"/>
  </r>
  <r>
    <x v="3"/>
    <s v="Hypermarkets"/>
    <x v="12"/>
    <s v="Bella's"/>
    <s v="|35/01/20|"/>
    <n v="168"/>
    <n v="2.6866666666666665"/>
    <n v="2.92"/>
  </r>
  <r>
    <x v="3"/>
    <s v="Hypermarkets"/>
    <x v="12"/>
    <s v="Bella's"/>
    <s v="|35/01/21|"/>
    <n v="144"/>
    <n v="2.6933333333333334"/>
    <n v="2.9466666666666668"/>
  </r>
  <r>
    <x v="3"/>
    <s v="Hypermarkets"/>
    <x v="12"/>
    <s v="Bella's"/>
    <s v="|35/01/22|"/>
    <n v="132"/>
    <n v="2.3666666666666667"/>
    <n v="2.9466666666666668"/>
  </r>
  <r>
    <x v="3"/>
    <s v="Hypermarkets"/>
    <x v="12"/>
    <s v="Bella's"/>
    <s v="|35/01/23|"/>
    <n v="180"/>
    <n v="2.44"/>
    <n v="2.9533333333333331"/>
  </r>
  <r>
    <x v="3"/>
    <s v="Hypermarkets"/>
    <x v="12"/>
    <s v="Bella's"/>
    <s v="|35/01/24|"/>
    <n v="144"/>
    <n v="2.5466666666666669"/>
    <n v="2.88"/>
  </r>
  <r>
    <x v="3"/>
    <s v="Hypermarkets"/>
    <x v="12"/>
    <s v="Bella's"/>
    <s v="|35/01/31|"/>
    <n v="120"/>
    <n v="2.62"/>
    <n v="2.96"/>
  </r>
  <r>
    <x v="3"/>
    <s v="Hypermarkets"/>
    <x v="12"/>
    <s v="Bella's"/>
    <s v="|35/01/32|"/>
    <n v="168"/>
    <n v="2.3133333333333335"/>
    <n v="2.9733333333333332"/>
  </r>
  <r>
    <x v="3"/>
    <s v="Hypermarkets"/>
    <x v="12"/>
    <s v="Bella's"/>
    <s v="|35/01/33|"/>
    <n v="132"/>
    <n v="2.7066666666666666"/>
    <n v="2.9133333333333336"/>
  </r>
  <r>
    <x v="3"/>
    <s v="Hypermarkets"/>
    <x v="12"/>
    <s v="Bella's"/>
    <s v="|35/01/34|"/>
    <n v="156"/>
    <n v="2.6933333333333334"/>
    <n v="2.9"/>
  </r>
  <r>
    <x v="3"/>
    <s v="Hypermarkets"/>
    <x v="12"/>
    <s v="Bella's"/>
    <s v="|35/01/35|"/>
    <n v="168"/>
    <n v="2.3533333333333335"/>
    <n v="2.92"/>
  </r>
  <r>
    <x v="3"/>
    <s v="Hypermarkets"/>
    <x v="12"/>
    <s v="Heinz"/>
    <s v="|35/01/40|"/>
    <n v="168"/>
    <n v="2.6666666666666665"/>
    <n v="2.94"/>
  </r>
  <r>
    <x v="3"/>
    <s v="Hypermarkets"/>
    <x v="12"/>
    <s v="Heinz"/>
    <s v="|35/01/41|"/>
    <n v="168"/>
    <n v="2.2733333333333334"/>
    <n v="2.8733333333333335"/>
  </r>
  <r>
    <x v="3"/>
    <s v="Hypermarkets"/>
    <x v="12"/>
    <s v="Heinz"/>
    <s v="|35/01/42|"/>
    <n v="180"/>
    <n v="2.7266666666666666"/>
    <n v="2.9066666666666667"/>
  </r>
  <r>
    <x v="3"/>
    <s v="Hypermarkets"/>
    <x v="12"/>
    <s v="Bella's"/>
    <s v="|35/01/50|"/>
    <n v="156"/>
    <n v="2.78"/>
    <n v="2.9466666666666668"/>
  </r>
  <r>
    <x v="3"/>
    <s v="Hypermarkets"/>
    <x v="12"/>
    <s v="Bella's"/>
    <s v="|35/01/51|"/>
    <n v="168"/>
    <n v="2.76"/>
    <n v="2.9533333333333331"/>
  </r>
  <r>
    <x v="3"/>
    <s v="Hypermarkets"/>
    <x v="12"/>
    <s v="Bella's"/>
    <s v="|35/01/52|"/>
    <n v="168"/>
    <n v="2.5866666666666664"/>
    <n v="2.96"/>
  </r>
  <r>
    <x v="3"/>
    <s v="Hypermarkets"/>
    <x v="12"/>
    <s v="Bella's"/>
    <s v="|35/01/53|"/>
    <n v="156"/>
    <n v="2.62"/>
    <n v="2.9133333333333336"/>
  </r>
  <r>
    <x v="3"/>
    <s v="Hypermarkets"/>
    <x v="12"/>
    <s v="Bella's"/>
    <s v="|35/01/54|"/>
    <n v="144"/>
    <n v="2.2866666666666666"/>
    <n v="2.9733333333333332"/>
  </r>
  <r>
    <x v="3"/>
    <s v="Hypermarkets"/>
    <x v="12"/>
    <s v="Bella's"/>
    <s v="|35/01/60|"/>
    <n v="120"/>
    <n v="2.5266666666666668"/>
    <n v="2.9733333333333332"/>
  </r>
  <r>
    <x v="3"/>
    <s v="Hypermarkets"/>
    <x v="12"/>
    <s v="Bella's"/>
    <s v="|35/01/61|"/>
    <n v="144"/>
    <n v="2.2999999999999998"/>
    <n v="2.9066666666666667"/>
  </r>
  <r>
    <x v="3"/>
    <s v="Hypermarkets"/>
    <x v="12"/>
    <s v="Bella's"/>
    <s v="|35/01/62|"/>
    <n v="132"/>
    <n v="2.4266666666666667"/>
    <n v="2.8666666666666667"/>
  </r>
  <r>
    <x v="3"/>
    <s v="Hypermarkets"/>
    <x v="12"/>
    <s v="Bella's"/>
    <s v="|35/01/63|"/>
    <n v="180"/>
    <n v="2.68"/>
    <n v="2.9333333333333331"/>
  </r>
  <r>
    <x v="3"/>
    <s v="Hypermarkets"/>
    <x v="12"/>
    <s v="Bella's"/>
    <s v="|35/01/70|"/>
    <n v="156"/>
    <n v="2.78"/>
    <n v="2.94"/>
  </r>
  <r>
    <x v="3"/>
    <s v="Hypermarkets"/>
    <x v="12"/>
    <s v="Bella's"/>
    <s v="|35/01/71|"/>
    <n v="168"/>
    <n v="2.5933333333333333"/>
    <n v="2.9866666666666668"/>
  </r>
  <r>
    <x v="3"/>
    <s v="Hypermarkets"/>
    <x v="12"/>
    <s v="Bella's"/>
    <s v="|35/01/72|"/>
    <n v="156"/>
    <n v="2.4066666666666667"/>
    <n v="2.94"/>
  </r>
  <r>
    <x v="3"/>
    <s v="Hypermarkets"/>
    <x v="12"/>
    <s v="Bella's"/>
    <s v="|35/01/73|"/>
    <n v="120"/>
    <n v="2.6733333333333333"/>
    <n v="2.9"/>
  </r>
  <r>
    <x v="3"/>
    <s v="Hypermarkets"/>
    <x v="12"/>
    <s v="Bella's"/>
    <s v="|35/01/74|"/>
    <n v="120"/>
    <n v="2.3066666666666666"/>
    <n v="2.9933333333333332"/>
  </r>
  <r>
    <x v="3"/>
    <s v="Hypermarkets"/>
    <x v="12"/>
    <s v="Bella's"/>
    <s v="|35/01/75|"/>
    <n v="180"/>
    <n v="2.54"/>
    <n v="2.88"/>
  </r>
  <r>
    <x v="3"/>
    <s v="Hypermarkets"/>
    <x v="12"/>
    <s v="Bella's"/>
    <s v="|35/01/76|"/>
    <n v="132"/>
    <n v="2.3199999999999998"/>
    <n v="2.9066666666666667"/>
  </r>
  <r>
    <x v="3"/>
    <s v="Hypermarkets"/>
    <x v="12"/>
    <s v="Bella's"/>
    <s v="|35/01/80|"/>
    <n v="144"/>
    <n v="2.4466666666666668"/>
    <n v="2.8866666666666667"/>
  </r>
  <r>
    <x v="3"/>
    <s v="Hypermarkets"/>
    <x v="12"/>
    <s v="Bella's"/>
    <s v="|35/01/81|"/>
    <n v="168"/>
    <n v="2.6533333333333333"/>
    <n v="2.94"/>
  </r>
  <r>
    <x v="3"/>
    <s v="Hypermarkets"/>
    <x v="12"/>
    <s v="Bella's"/>
    <s v="|35/01/82|"/>
    <n v="156"/>
    <n v="2.5333333333333332"/>
    <n v="2.9333333333333331"/>
  </r>
  <r>
    <x v="3"/>
    <s v="Hypermarkets"/>
    <x v="12"/>
    <s v="Bella's"/>
    <s v="|35/01/83|"/>
    <n v="120"/>
    <n v="2.5933333333333333"/>
    <n v="2.88"/>
  </r>
  <r>
    <x v="3"/>
    <s v="Hypermarkets"/>
    <x v="12"/>
    <s v="Bella's"/>
    <s v="|35/01/84|"/>
    <n v="120"/>
    <n v="2.7266666666666666"/>
    <n v="2.94"/>
  </r>
  <r>
    <x v="3"/>
    <s v="Hypermarkets"/>
    <x v="12"/>
    <s v="Bella's"/>
    <s v="|35/01/85|"/>
    <n v="168"/>
    <n v="2.2866666666666666"/>
    <n v="2.9266666666666667"/>
  </r>
  <r>
    <x v="3"/>
    <s v="Hypermarkets"/>
    <x v="12"/>
    <s v="Bella's"/>
    <s v="|35/01/86|"/>
    <n v="144"/>
    <n v="2.5"/>
    <n v="3"/>
  </r>
  <r>
    <x v="3"/>
    <s v="Hypermarkets"/>
    <x v="12"/>
    <s v="Bella's"/>
    <s v="|35/01/87|"/>
    <n v="144"/>
    <n v="2.2733333333333334"/>
    <n v="2.8866666666666667"/>
  </r>
  <r>
    <x v="3"/>
    <s v="Hypermarkets"/>
    <x v="12"/>
    <s v="Heinz"/>
    <s v="|35/01/88|"/>
    <n v="120"/>
    <n v="2.36"/>
    <n v="2.9133333333333336"/>
  </r>
  <r>
    <x v="3"/>
    <s v="Hypermarkets"/>
    <x v="12"/>
    <s v="Heinz"/>
    <s v="|35/01/89|"/>
    <n v="180"/>
    <n v="2.3933333333333335"/>
    <n v="2.9"/>
  </r>
  <r>
    <x v="3"/>
    <s v="Hypermarkets"/>
    <x v="12"/>
    <s v="Bella's"/>
    <s v="|35/01/90|"/>
    <n v="132"/>
    <n v="2.2733333333333334"/>
    <n v="2.96"/>
  </r>
  <r>
    <x v="3"/>
    <s v="Hypermarkets"/>
    <x v="12"/>
    <s v="Bella's"/>
    <s v="|35/01/90a|"/>
    <n v="132"/>
    <n v="2.7066666666666666"/>
    <n v="2.8866666666666667"/>
  </r>
  <r>
    <x v="3"/>
    <s v="Hypermarkets"/>
    <x v="12"/>
    <s v="Bella's"/>
    <s v="|35/01/91|"/>
    <n v="168"/>
    <n v="2.3666666666666667"/>
    <n v="2.9133333333333336"/>
  </r>
  <r>
    <x v="3"/>
    <s v="Hypermarkets"/>
    <x v="12"/>
    <s v="Bella's"/>
    <s v="|35/01/91a|"/>
    <n v="132"/>
    <n v="2.44"/>
    <n v="2.9466666666666668"/>
  </r>
  <r>
    <x v="3"/>
    <s v="Hypermarkets"/>
    <x v="12"/>
    <s v="Bella's"/>
    <s v="|35/01/92|"/>
    <n v="180"/>
    <n v="2.5466666666666669"/>
    <n v="2.8933333333333335"/>
  </r>
  <r>
    <x v="3"/>
    <s v="Hypermarkets"/>
    <x v="12"/>
    <s v="Bella's"/>
    <s v="|35/01/92a|"/>
    <n v="144"/>
    <n v="2.4133333333333336"/>
    <n v="2.9333333333333331"/>
  </r>
  <r>
    <x v="3"/>
    <s v="Hypermarkets"/>
    <x v="12"/>
    <s v="Bella's"/>
    <s v="|35/01/93|"/>
    <n v="144"/>
    <n v="2.4933333333333332"/>
    <n v="2.9533333333333331"/>
  </r>
  <r>
    <x v="3"/>
    <s v="Hypermarkets"/>
    <x v="12"/>
    <s v="Bella's"/>
    <s v="|35/01/93a|"/>
    <n v="156"/>
    <n v="2.3733333333333335"/>
    <n v="2.8866666666666667"/>
  </r>
  <r>
    <x v="3"/>
    <s v="Hypermarkets"/>
    <x v="12"/>
    <s v="Bella's"/>
    <s v="|35/01/94|"/>
    <n v="156"/>
    <n v="2.3466666666666667"/>
    <n v="2.8933333333333335"/>
  </r>
  <r>
    <x v="3"/>
    <s v="Supermarkets"/>
    <x v="1"/>
    <s v="Mindi"/>
    <s v="|106/02/07|"/>
    <n v="432"/>
    <n v="6.6333333333333337"/>
    <n v="7.76"/>
  </r>
  <r>
    <x v="3"/>
    <s v="Supermarkets"/>
    <x v="15"/>
    <s v="Mindi"/>
    <s v="|79/01/01|"/>
    <n v="1320"/>
    <n v="0.62"/>
    <n v="0.92"/>
  </r>
  <r>
    <x v="3"/>
    <s v="Supermarkets"/>
    <x v="15"/>
    <s v="Mindi"/>
    <s v="|79/01/02|"/>
    <n v="1296"/>
    <n v="0.66"/>
    <n v="1.18"/>
  </r>
  <r>
    <x v="3"/>
    <s v="Supermarkets"/>
    <x v="15"/>
    <s v="Mindi"/>
    <s v="|79/01/03|"/>
    <n v="1524"/>
    <n v="0.81"/>
    <n v="1.02"/>
  </r>
  <r>
    <x v="3"/>
    <s v="Supermarkets"/>
    <x v="15"/>
    <s v="Mindi"/>
    <s v="|79/01/04|"/>
    <n v="1284"/>
    <n v="0.62"/>
    <n v="1.0900000000000001"/>
  </r>
  <r>
    <x v="3"/>
    <s v="Supermarkets"/>
    <x v="15"/>
    <s v="Mindi"/>
    <s v="|79/01/05|"/>
    <n v="1620"/>
    <n v="0.6"/>
    <n v="0.92"/>
  </r>
  <r>
    <x v="3"/>
    <s v="Supermarkets"/>
    <x v="15"/>
    <s v="Mindi"/>
    <s v="|79/01/06|"/>
    <n v="1632"/>
    <n v="0.84"/>
    <n v="0.91"/>
  </r>
  <r>
    <x v="3"/>
    <s v="Supermarkets"/>
    <x v="15"/>
    <s v="Mindi"/>
    <s v="|79/01/07|"/>
    <n v="1680"/>
    <n v="0.79"/>
    <n v="1.18"/>
  </r>
  <r>
    <x v="3"/>
    <s v="Supermarkets"/>
    <x v="15"/>
    <s v="Mindi"/>
    <s v="|79/01/08|"/>
    <n v="1248"/>
    <n v="0.67"/>
    <n v="1.0900000000000001"/>
  </r>
  <r>
    <x v="3"/>
    <s v="Supermarkets"/>
    <x v="15"/>
    <s v="Mindi"/>
    <s v="|79/01/09|"/>
    <n v="1476"/>
    <n v="0.69"/>
    <n v="1.1399999999999999"/>
  </r>
  <r>
    <x v="3"/>
    <s v="Supermarkets"/>
    <x v="15"/>
    <s v="Mindi"/>
    <s v="|79/01/10|"/>
    <n v="1536"/>
    <n v="0.69"/>
    <n v="1.19"/>
  </r>
  <r>
    <x v="3"/>
    <s v="Supermarkets"/>
    <x v="15"/>
    <s v="Mindi"/>
    <s v="|79/01/100|"/>
    <n v="1620"/>
    <n v="0.78"/>
    <n v="0.98"/>
  </r>
  <r>
    <x v="3"/>
    <s v="Supermarkets"/>
    <x v="15"/>
    <s v="Mindi"/>
    <s v="|79/01/102|"/>
    <n v="1536"/>
    <n v="0.72"/>
    <n v="0.95"/>
  </r>
  <r>
    <x v="3"/>
    <s v="Supermarkets"/>
    <x v="15"/>
    <s v="Mindi"/>
    <s v="|79/01/103|"/>
    <n v="1596"/>
    <n v="0.71"/>
    <n v="0.94"/>
  </r>
  <r>
    <x v="3"/>
    <s v="Supermarkets"/>
    <x v="15"/>
    <s v="Mindi"/>
    <s v="|79/01/104|"/>
    <n v="1584"/>
    <n v="0.62"/>
    <n v="1.05"/>
  </r>
  <r>
    <x v="3"/>
    <s v="Supermarkets"/>
    <x v="15"/>
    <s v="Mindi"/>
    <s v="|79/01/105|"/>
    <n v="1272"/>
    <n v="0.89"/>
    <n v="1.19"/>
  </r>
  <r>
    <x v="3"/>
    <s v="Supermarkets"/>
    <x v="15"/>
    <s v="Mindi"/>
    <s v="|79/01/106|"/>
    <n v="1320"/>
    <n v="0.85"/>
    <n v="1.1599999999999999"/>
  </r>
  <r>
    <x v="3"/>
    <s v="Supermarkets"/>
    <x v="15"/>
    <s v="Mindi"/>
    <s v="|79/01/107|"/>
    <n v="1656"/>
    <n v="0.79"/>
    <n v="1.08"/>
  </r>
  <r>
    <x v="3"/>
    <s v="Supermarkets"/>
    <x v="15"/>
    <s v="Mindi"/>
    <s v="|79/01/108|"/>
    <n v="1356"/>
    <n v="0.69"/>
    <n v="1.18"/>
  </r>
  <r>
    <x v="3"/>
    <s v="Supermarkets"/>
    <x v="15"/>
    <s v="Mindi"/>
    <s v="|79/01/109|"/>
    <n v="1488"/>
    <n v="0.74"/>
    <n v="1.05"/>
  </r>
  <r>
    <x v="3"/>
    <s v="Supermarkets"/>
    <x v="15"/>
    <s v="Mindi"/>
    <s v="|79/01/11|"/>
    <n v="1260"/>
    <n v="0.78"/>
    <n v="0.91"/>
  </r>
  <r>
    <x v="3"/>
    <s v="Supermarkets"/>
    <x v="15"/>
    <s v="Mindi"/>
    <s v="|79/01/110|"/>
    <n v="1308"/>
    <n v="0.81"/>
    <n v="0.92"/>
  </r>
  <r>
    <x v="3"/>
    <s v="Supermarkets"/>
    <x v="15"/>
    <s v="Mindi"/>
    <s v="|79/01/111|"/>
    <n v="1488"/>
    <n v="0.82"/>
    <n v="1.03"/>
  </r>
  <r>
    <x v="3"/>
    <s v="Supermarkets"/>
    <x v="15"/>
    <s v="Mindi"/>
    <s v="|79/01/112|"/>
    <n v="1596"/>
    <n v="0.64"/>
    <n v="1.03"/>
  </r>
  <r>
    <x v="3"/>
    <s v="Supermarkets"/>
    <x v="15"/>
    <s v="Mindi"/>
    <s v="|79/01/113|"/>
    <n v="1584"/>
    <n v="0.78"/>
    <n v="0.94"/>
  </r>
  <r>
    <x v="3"/>
    <s v="Supermarkets"/>
    <x v="15"/>
    <s v="Mindi"/>
    <s v="|79/01/114|"/>
    <n v="1524"/>
    <n v="0.67"/>
    <n v="1.03"/>
  </r>
  <r>
    <x v="3"/>
    <s v="Supermarkets"/>
    <x v="15"/>
    <s v="Mindi"/>
    <s v="|79/01/115|"/>
    <n v="1332"/>
    <n v="0.6"/>
    <n v="1.1100000000000001"/>
  </r>
  <r>
    <x v="3"/>
    <s v="Supermarkets"/>
    <x v="15"/>
    <s v="Mindi"/>
    <s v="|79/01/116|"/>
    <n v="1416"/>
    <n v="0.83"/>
    <n v="1.08"/>
  </r>
  <r>
    <x v="3"/>
    <s v="Supermarkets"/>
    <x v="15"/>
    <s v="Mindi"/>
    <s v="|79/01/117|"/>
    <n v="1344"/>
    <n v="0.87"/>
    <n v="1.03"/>
  </r>
  <r>
    <x v="3"/>
    <s v="Supermarkets"/>
    <x v="15"/>
    <s v="Mindi"/>
    <s v="|79/01/118|"/>
    <n v="1596"/>
    <n v="0.8"/>
    <n v="1.17"/>
  </r>
  <r>
    <x v="3"/>
    <s v="Supermarkets"/>
    <x v="15"/>
    <s v="Mindi"/>
    <s v="|79/01/119|"/>
    <n v="1488"/>
    <n v="0.86"/>
    <n v="0.97"/>
  </r>
  <r>
    <x v="3"/>
    <s v="Supermarkets"/>
    <x v="15"/>
    <s v="Mindi"/>
    <s v="|79/01/12|"/>
    <n v="1656"/>
    <n v="0.84"/>
    <n v="0.97"/>
  </r>
  <r>
    <x v="3"/>
    <s v="Supermarkets"/>
    <x v="15"/>
    <s v="Mindi"/>
    <s v="|79/01/120|"/>
    <n v="1380"/>
    <n v="0.89"/>
    <n v="1.1100000000000001"/>
  </r>
  <r>
    <x v="3"/>
    <s v="Supermarkets"/>
    <x v="15"/>
    <s v="Mindi"/>
    <s v="|79/01/13|"/>
    <n v="1584"/>
    <n v="0.8"/>
    <n v="1.1599999999999999"/>
  </r>
  <r>
    <x v="3"/>
    <s v="Supermarkets"/>
    <x v="15"/>
    <s v="Mindi"/>
    <s v="|79/01/14|"/>
    <n v="1668"/>
    <n v="0.71"/>
    <n v="1.03"/>
  </r>
  <r>
    <x v="3"/>
    <s v="Supermarkets"/>
    <x v="15"/>
    <s v="Mindi"/>
    <s v="|79/01/15|"/>
    <n v="1416"/>
    <n v="0.69"/>
    <n v="0.98"/>
  </r>
  <r>
    <x v="3"/>
    <s v="Supermarkets"/>
    <x v="15"/>
    <s v="Mindi"/>
    <s v="|79/01/16|"/>
    <n v="1620"/>
    <n v="0.65"/>
    <n v="1.01"/>
  </r>
  <r>
    <x v="3"/>
    <s v="Supermarkets"/>
    <x v="15"/>
    <s v="Mindi"/>
    <s v="|79/01/17|"/>
    <n v="1668"/>
    <n v="0.65"/>
    <n v="1.0900000000000001"/>
  </r>
  <r>
    <x v="3"/>
    <s v="Supermarkets"/>
    <x v="15"/>
    <s v="Mindi"/>
    <s v="|79/01/18|"/>
    <n v="1440"/>
    <n v="0.63"/>
    <n v="1.06"/>
  </r>
  <r>
    <x v="3"/>
    <s v="Supermarkets"/>
    <x v="15"/>
    <s v="Mindi"/>
    <s v="|79/01/19|"/>
    <n v="1572"/>
    <n v="0.7"/>
    <n v="1.17"/>
  </r>
  <r>
    <x v="3"/>
    <s v="Supermarkets"/>
    <x v="15"/>
    <s v="Mindi"/>
    <s v="|79/01/20|"/>
    <n v="1584"/>
    <n v="0.87"/>
    <n v="1.2"/>
  </r>
  <r>
    <x v="3"/>
    <s v="Supermarkets"/>
    <x v="15"/>
    <s v="Mindi"/>
    <s v="|79/01/21|"/>
    <n v="1548"/>
    <n v="0.79"/>
    <n v="1.03"/>
  </r>
  <r>
    <x v="3"/>
    <s v="Supermarkets"/>
    <x v="15"/>
    <s v="Mindi"/>
    <s v="|79/01/22|"/>
    <n v="1380"/>
    <n v="0.73"/>
    <n v="0.92"/>
  </r>
  <r>
    <x v="3"/>
    <s v="Supermarkets"/>
    <x v="15"/>
    <s v="Mindi"/>
    <s v="|79/01/23|"/>
    <n v="1560"/>
    <n v="0.86"/>
    <n v="1.07"/>
  </r>
  <r>
    <x v="3"/>
    <s v="Supermarkets"/>
    <x v="15"/>
    <s v="Mindi"/>
    <s v="|79/01/24|"/>
    <n v="1356"/>
    <n v="0.81"/>
    <n v="1.1000000000000001"/>
  </r>
  <r>
    <x v="3"/>
    <s v="Supermarkets"/>
    <x v="15"/>
    <s v="Mindi"/>
    <s v="|79/01/25|"/>
    <n v="1488"/>
    <n v="0.74"/>
    <n v="1.01"/>
  </r>
  <r>
    <x v="3"/>
    <s v="Supermarkets"/>
    <x v="15"/>
    <s v="Mindi"/>
    <s v="|79/01/26|"/>
    <n v="1440"/>
    <n v="0.86"/>
    <n v="1.1100000000000001"/>
  </r>
  <r>
    <x v="3"/>
    <s v="Supermarkets"/>
    <x v="15"/>
    <s v="Mindi"/>
    <s v="|79/01/27|"/>
    <n v="1428"/>
    <n v="0.86"/>
    <n v="0.97"/>
  </r>
  <r>
    <x v="3"/>
    <s v="Supermarkets"/>
    <x v="15"/>
    <s v="Mindi"/>
    <s v="|79/01/28|"/>
    <n v="1284"/>
    <n v="0.66"/>
    <n v="1.0900000000000001"/>
  </r>
  <r>
    <x v="3"/>
    <s v="Supermarkets"/>
    <x v="15"/>
    <s v="Mindi"/>
    <s v="|79/01/29|"/>
    <n v="1392"/>
    <n v="0.85"/>
    <n v="0.97"/>
  </r>
  <r>
    <x v="3"/>
    <s v="Supermarkets"/>
    <x v="15"/>
    <s v="Mindi"/>
    <s v="|79/01/30|"/>
    <n v="1224"/>
    <n v="0.63"/>
    <n v="1.18"/>
  </r>
  <r>
    <x v="3"/>
    <s v="Supermarkets"/>
    <x v="15"/>
    <s v="Mindi"/>
    <s v="|79/01/31|"/>
    <n v="1680"/>
    <n v="0.7"/>
    <n v="1.17"/>
  </r>
  <r>
    <x v="3"/>
    <s v="Supermarkets"/>
    <x v="15"/>
    <s v="Mindi"/>
    <s v="|79/01/32|"/>
    <n v="1584"/>
    <n v="0.76"/>
    <n v="1.1100000000000001"/>
  </r>
  <r>
    <x v="3"/>
    <s v="Supermarkets"/>
    <x v="15"/>
    <s v="Mindi"/>
    <s v="|79/01/33|"/>
    <n v="1488"/>
    <n v="0.87"/>
    <n v="1.01"/>
  </r>
  <r>
    <x v="3"/>
    <s v="Supermarkets"/>
    <x v="15"/>
    <s v="Mindi"/>
    <s v="|79/01/34|"/>
    <n v="1332"/>
    <n v="0.7"/>
    <n v="1.1599999999999999"/>
  </r>
  <r>
    <x v="3"/>
    <s v="Supermarkets"/>
    <x v="15"/>
    <s v="Mindi"/>
    <s v="|79/01/35|"/>
    <n v="1236"/>
    <n v="0.66"/>
    <n v="1.04"/>
  </r>
  <r>
    <x v="3"/>
    <s v="Supermarkets"/>
    <x v="15"/>
    <s v="Mindi"/>
    <s v="|79/01/36|"/>
    <n v="1236"/>
    <n v="0.8"/>
    <n v="0.99"/>
  </r>
  <r>
    <x v="3"/>
    <s v="Supermarkets"/>
    <x v="15"/>
    <s v="Mindi"/>
    <s v="|79/01/37|"/>
    <n v="1284"/>
    <n v="0.61"/>
    <n v="1.03"/>
  </r>
  <r>
    <x v="3"/>
    <s v="Supermarkets"/>
    <x v="15"/>
    <s v="Mindi"/>
    <s v="|79/01/38|"/>
    <n v="1356"/>
    <n v="0.8"/>
    <n v="1.05"/>
  </r>
  <r>
    <x v="3"/>
    <s v="Supermarkets"/>
    <x v="15"/>
    <s v="Mindi"/>
    <s v="|79/01/39|"/>
    <n v="1440"/>
    <n v="0.7"/>
    <n v="1.1599999999999999"/>
  </r>
  <r>
    <x v="3"/>
    <s v="Supermarkets"/>
    <x v="15"/>
    <s v="Mindi"/>
    <s v="|79/01/40|"/>
    <n v="1404"/>
    <n v="0.77"/>
    <n v="1.05"/>
  </r>
  <r>
    <x v="3"/>
    <s v="Supermarkets"/>
    <x v="15"/>
    <s v="Mindi"/>
    <s v="|79/01/41|"/>
    <n v="1500"/>
    <n v="0.82"/>
    <n v="0.94"/>
  </r>
  <r>
    <x v="3"/>
    <s v="Supermarkets"/>
    <x v="15"/>
    <s v="Mindi"/>
    <s v="|79/01/42|"/>
    <n v="1200"/>
    <n v="0.69"/>
    <n v="0.93"/>
  </r>
  <r>
    <x v="3"/>
    <s v="Supermarkets"/>
    <x v="15"/>
    <s v="Mindi"/>
    <s v="|79/01/43|"/>
    <n v="1488"/>
    <n v="0.71"/>
    <n v="1.1499999999999999"/>
  </r>
  <r>
    <x v="3"/>
    <s v="Supermarkets"/>
    <x v="15"/>
    <s v="Mindi"/>
    <s v="|79/01/44|"/>
    <n v="1500"/>
    <n v="0.7"/>
    <n v="1.18"/>
  </r>
  <r>
    <x v="3"/>
    <s v="Supermarkets"/>
    <x v="15"/>
    <s v="Mindi"/>
    <s v="|79/01/45|"/>
    <n v="1308"/>
    <n v="0.87"/>
    <n v="1.02"/>
  </r>
  <r>
    <x v="3"/>
    <s v="Supermarkets"/>
    <x v="15"/>
    <s v="Mindi"/>
    <s v="|79/01/46|"/>
    <n v="1260"/>
    <n v="0.72"/>
    <n v="0.94"/>
  </r>
  <r>
    <x v="3"/>
    <s v="Supermarkets"/>
    <x v="15"/>
    <s v="Mindi"/>
    <s v="|79/01/47|"/>
    <n v="1260"/>
    <n v="0.79"/>
    <n v="0.91"/>
  </r>
  <r>
    <x v="3"/>
    <s v="Supermarkets"/>
    <x v="15"/>
    <s v="Mindi"/>
    <s v="|79/01/50|"/>
    <n v="1212"/>
    <n v="0.88"/>
    <n v="1.17"/>
  </r>
  <r>
    <x v="3"/>
    <s v="Supermarkets"/>
    <x v="15"/>
    <s v="Mindi"/>
    <s v="|79/01/51|"/>
    <n v="1284"/>
    <n v="0.86"/>
    <n v="1.07"/>
  </r>
  <r>
    <x v="3"/>
    <s v="Supermarkets"/>
    <x v="15"/>
    <s v="Mindi"/>
    <s v="|79/01/52|"/>
    <n v="1404"/>
    <n v="0.78"/>
    <n v="0.98"/>
  </r>
  <r>
    <x v="3"/>
    <s v="Supermarkets"/>
    <x v="15"/>
    <s v="Mindi"/>
    <s v="|79/01/53|"/>
    <n v="1260"/>
    <n v="0.69"/>
    <n v="0.92"/>
  </r>
  <r>
    <x v="3"/>
    <s v="Supermarkets"/>
    <x v="15"/>
    <s v="Mindi"/>
    <s v="|79/01/54|"/>
    <n v="1632"/>
    <n v="0.83"/>
    <n v="0.99"/>
  </r>
  <r>
    <x v="3"/>
    <s v="Supermarkets"/>
    <x v="15"/>
    <s v="Mindi"/>
    <s v="|79/01/55|"/>
    <n v="1320"/>
    <n v="0.75"/>
    <n v="1.07"/>
  </r>
  <r>
    <x v="3"/>
    <s v="Supermarkets"/>
    <x v="15"/>
    <s v="Mindi"/>
    <s v="|79/01/56|"/>
    <n v="1476"/>
    <n v="0.66"/>
    <n v="1.18"/>
  </r>
  <r>
    <x v="3"/>
    <s v="Supermarkets"/>
    <x v="15"/>
    <s v="Mindi"/>
    <s v="|79/01/57|"/>
    <n v="1236"/>
    <n v="0.66"/>
    <n v="1.2"/>
  </r>
  <r>
    <x v="3"/>
    <s v="Supermarkets"/>
    <x v="15"/>
    <s v="Mindi"/>
    <s v="|79/01/58|"/>
    <n v="1200"/>
    <n v="0.65"/>
    <n v="0.99"/>
  </r>
  <r>
    <x v="3"/>
    <s v="Supermarkets"/>
    <x v="15"/>
    <s v="Mindi"/>
    <s v="|79/01/59|"/>
    <n v="1284"/>
    <n v="0.86"/>
    <n v="1.02"/>
  </r>
  <r>
    <x v="3"/>
    <s v="Supermarkets"/>
    <x v="15"/>
    <s v="Mindi"/>
    <s v="|79/01/60|"/>
    <n v="1560"/>
    <n v="0.62"/>
    <n v="0.92"/>
  </r>
  <r>
    <x v="3"/>
    <s v="Supermarkets"/>
    <x v="15"/>
    <s v="Mindi"/>
    <s v="|79/01/61|"/>
    <n v="1608"/>
    <n v="0.75"/>
    <n v="1.1299999999999999"/>
  </r>
  <r>
    <x v="3"/>
    <s v="Supermarkets"/>
    <x v="15"/>
    <s v="Mindi"/>
    <s v="|79/01/62|"/>
    <n v="1620"/>
    <n v="0.89"/>
    <n v="1.0900000000000001"/>
  </r>
  <r>
    <x v="3"/>
    <s v="Supermarkets"/>
    <x v="15"/>
    <s v="Mindi"/>
    <s v="|79/01/63|"/>
    <n v="1464"/>
    <n v="0.74"/>
    <n v="0.92"/>
  </r>
  <r>
    <x v="3"/>
    <s v="Supermarkets"/>
    <x v="15"/>
    <s v="Mindi"/>
    <s v="|79/01/64|"/>
    <n v="1512"/>
    <n v="0.76"/>
    <n v="0.93"/>
  </r>
  <r>
    <x v="3"/>
    <s v="Supermarkets"/>
    <x v="15"/>
    <s v="Mindi"/>
    <s v="|79/01/65|"/>
    <n v="1548"/>
    <n v="0.62"/>
    <n v="0.93"/>
  </r>
  <r>
    <x v="3"/>
    <s v="Supermarkets"/>
    <x v="15"/>
    <s v="Mindi"/>
    <s v="|79/01/66|"/>
    <n v="1236"/>
    <n v="0.78"/>
    <n v="1.04"/>
  </r>
  <r>
    <x v="3"/>
    <s v="Supermarkets"/>
    <x v="15"/>
    <s v="Mindi"/>
    <s v="|79/01/67|"/>
    <n v="1440"/>
    <n v="0.85"/>
    <n v="1.04"/>
  </r>
  <r>
    <x v="3"/>
    <s v="Supermarkets"/>
    <x v="15"/>
    <s v="Mindi"/>
    <s v="|79/01/68|"/>
    <n v="1224"/>
    <n v="0.8"/>
    <n v="1.1399999999999999"/>
  </r>
  <r>
    <x v="3"/>
    <s v="Supermarkets"/>
    <x v="15"/>
    <s v="Mindi"/>
    <s v="|79/01/69|"/>
    <n v="1200"/>
    <n v="0.6"/>
    <n v="1.19"/>
  </r>
  <r>
    <x v="3"/>
    <s v="Supermarkets"/>
    <x v="15"/>
    <s v="Mindi"/>
    <s v="|79/01/70|"/>
    <n v="1260"/>
    <n v="0.64"/>
    <n v="1.19"/>
  </r>
  <r>
    <x v="3"/>
    <s v="Supermarkets"/>
    <x v="15"/>
    <s v="Mindi"/>
    <s v="|79/01/71|"/>
    <n v="1272"/>
    <n v="0.76"/>
    <n v="1.03"/>
  </r>
  <r>
    <x v="3"/>
    <s v="Supermarkets"/>
    <x v="15"/>
    <s v="Mindi"/>
    <s v="|79/01/72|"/>
    <n v="1380"/>
    <n v="0.83"/>
    <n v="1.1100000000000001"/>
  </r>
  <r>
    <x v="3"/>
    <s v="Supermarkets"/>
    <x v="15"/>
    <s v="Mindi"/>
    <s v="|79/01/73|"/>
    <n v="1296"/>
    <n v="0.8"/>
    <n v="1.1299999999999999"/>
  </r>
  <r>
    <x v="3"/>
    <s v="Supermarkets"/>
    <x v="15"/>
    <s v="Mindi"/>
    <s v="|79/01/74|"/>
    <n v="1236"/>
    <n v="0.9"/>
    <n v="1.1000000000000001"/>
  </r>
  <r>
    <x v="3"/>
    <s v="Supermarkets"/>
    <x v="15"/>
    <s v="Mindi"/>
    <s v="|79/01/75|"/>
    <n v="1416"/>
    <n v="0.86"/>
    <n v="1"/>
  </r>
  <r>
    <x v="3"/>
    <s v="Supermarkets"/>
    <x v="15"/>
    <s v="Mindi"/>
    <s v="|79/01/76|"/>
    <n v="1356"/>
    <n v="0.76"/>
    <n v="1.07"/>
  </r>
  <r>
    <x v="3"/>
    <s v="Supermarkets"/>
    <x v="15"/>
    <s v="Mindi"/>
    <s v="|79/01/77|"/>
    <n v="1572"/>
    <n v="0.69"/>
    <n v="0.97"/>
  </r>
  <r>
    <x v="3"/>
    <s v="Supermarkets"/>
    <x v="15"/>
    <s v="Mindi"/>
    <s v="|79/01/78|"/>
    <n v="1392"/>
    <n v="0.81"/>
    <n v="0.96"/>
  </r>
  <r>
    <x v="3"/>
    <s v="Supermarkets"/>
    <x v="15"/>
    <s v="Mindi"/>
    <s v="|79/01/80|"/>
    <n v="1476"/>
    <n v="0.87"/>
    <n v="1.1200000000000001"/>
  </r>
  <r>
    <x v="3"/>
    <s v="Supermarkets"/>
    <x v="15"/>
    <s v="Mindi"/>
    <s v="|79/01/81|"/>
    <n v="1476"/>
    <n v="0.78"/>
    <n v="0.98"/>
  </r>
  <r>
    <x v="3"/>
    <s v="Supermarkets"/>
    <x v="15"/>
    <s v="Mindi"/>
    <s v="|79/01/82|"/>
    <n v="1632"/>
    <n v="0.81"/>
    <n v="0.91"/>
  </r>
  <r>
    <x v="3"/>
    <s v="Supermarkets"/>
    <x v="15"/>
    <s v="Mindi"/>
    <s v="|79/01/83|"/>
    <n v="1464"/>
    <n v="0.6"/>
    <n v="1.05"/>
  </r>
  <r>
    <x v="3"/>
    <s v="Supermarkets"/>
    <x v="15"/>
    <s v="Mindi"/>
    <s v="|79/01/84|"/>
    <n v="1236"/>
    <n v="0.81"/>
    <n v="1.06"/>
  </r>
  <r>
    <x v="3"/>
    <s v="Supermarkets"/>
    <x v="15"/>
    <s v="Mindi"/>
    <s v="|79/01/85|"/>
    <n v="1584"/>
    <n v="0.75"/>
    <n v="0.94"/>
  </r>
  <r>
    <x v="3"/>
    <s v="Supermarkets"/>
    <x v="15"/>
    <s v="Mindi"/>
    <s v="|79/01/86|"/>
    <n v="1212"/>
    <n v="0.79"/>
    <n v="0.91"/>
  </r>
  <r>
    <x v="3"/>
    <s v="Supermarkets"/>
    <x v="15"/>
    <s v="Mindi"/>
    <s v="|79/01/87|"/>
    <n v="1284"/>
    <n v="0.7"/>
    <n v="1.18"/>
  </r>
  <r>
    <x v="3"/>
    <s v="Supermarkets"/>
    <x v="15"/>
    <s v="Mindi"/>
    <s v="|79/01/88|"/>
    <n v="1464"/>
    <n v="0.9"/>
    <n v="0.96"/>
  </r>
  <r>
    <x v="3"/>
    <s v="Supermarkets"/>
    <x v="15"/>
    <s v="Mindi"/>
    <s v="|79/01/89|"/>
    <n v="1596"/>
    <n v="0.64"/>
    <n v="0.98"/>
  </r>
  <r>
    <x v="3"/>
    <s v="Supermarkets"/>
    <x v="15"/>
    <s v="Mindi"/>
    <s v="|79/01/90|"/>
    <n v="1416"/>
    <n v="0.6"/>
    <n v="0.97"/>
  </r>
  <r>
    <x v="3"/>
    <s v="Supermarkets"/>
    <x v="15"/>
    <s v="Mindi"/>
    <s v="|79/01/91|"/>
    <n v="1536"/>
    <n v="0.78"/>
    <n v="1.1100000000000001"/>
  </r>
  <r>
    <x v="3"/>
    <s v="Supermarkets"/>
    <x v="15"/>
    <s v="Mindi"/>
    <s v="|79/01/92|"/>
    <n v="1392"/>
    <n v="0.72"/>
    <n v="0.97"/>
  </r>
  <r>
    <x v="3"/>
    <s v="Supermarkets"/>
    <x v="15"/>
    <s v="Mindi"/>
    <s v="|79/01/93|"/>
    <n v="1644"/>
    <n v="0.82"/>
    <n v="1"/>
  </r>
  <r>
    <x v="3"/>
    <s v="Supermarkets"/>
    <x v="15"/>
    <s v="Mindi"/>
    <s v="|79/01/94|"/>
    <n v="1596"/>
    <n v="0.89"/>
    <n v="1.01"/>
  </r>
  <r>
    <x v="3"/>
    <s v="Supermarkets"/>
    <x v="15"/>
    <s v="Mindi"/>
    <s v="|79/01/95|"/>
    <n v="1428"/>
    <n v="0.89"/>
    <n v="0.92"/>
  </r>
  <r>
    <x v="3"/>
    <s v="Supermarkets"/>
    <x v="15"/>
    <s v="Mindi"/>
    <s v="|79/01/96|"/>
    <n v="1404"/>
    <n v="0.64"/>
    <n v="1.2"/>
  </r>
  <r>
    <x v="3"/>
    <s v="Supermarkets"/>
    <x v="15"/>
    <s v="Mindi"/>
    <s v="|79/01/97|"/>
    <n v="1512"/>
    <n v="0.89"/>
    <n v="1.07"/>
  </r>
  <r>
    <x v="3"/>
    <s v="Supermarkets"/>
    <x v="15"/>
    <s v="Mindi"/>
    <s v="|79/01/98|"/>
    <n v="1560"/>
    <n v="0.89"/>
    <n v="1.1599999999999999"/>
  </r>
  <r>
    <x v="3"/>
    <s v="Supermarkets"/>
    <x v="15"/>
    <s v="Mindi"/>
    <s v="|79/01/122|"/>
    <n v="1416"/>
    <n v="0.9"/>
    <n v="1.17"/>
  </r>
  <r>
    <x v="3"/>
    <s v="Supermarkets"/>
    <x v="15"/>
    <s v="Mindi"/>
    <s v="|79/01/123|"/>
    <n v="1428"/>
    <n v="0.61"/>
    <n v="1.1399999999999999"/>
  </r>
  <r>
    <x v="3"/>
    <s v="Supermarkets"/>
    <x v="15"/>
    <s v="Mindi"/>
    <s v="|79/01/124|"/>
    <n v="1680"/>
    <n v="0.71"/>
    <n v="1.1000000000000001"/>
  </r>
  <r>
    <x v="3"/>
    <s v="Supermarkets"/>
    <x v="15"/>
    <s v="Mindi"/>
    <s v="|79/01/125|"/>
    <n v="1560"/>
    <n v="0.87"/>
    <n v="1.1399999999999999"/>
  </r>
  <r>
    <x v="3"/>
    <s v="Supermarkets"/>
    <x v="15"/>
    <s v="Mindi"/>
    <s v="|79/01/126|"/>
    <n v="1524"/>
    <n v="0.83"/>
    <n v="1.07"/>
  </r>
  <r>
    <x v="3"/>
    <s v="Supermarkets"/>
    <x v="15"/>
    <s v="Mindi"/>
    <s v="|79/01/127|"/>
    <n v="1404"/>
    <n v="0.63"/>
    <n v="1.07"/>
  </r>
  <r>
    <x v="3"/>
    <s v="Supermarkets"/>
    <x v="15"/>
    <s v="Mindi"/>
    <s v="|79/01/128|"/>
    <n v="1320"/>
    <n v="0.74"/>
    <n v="1.1499999999999999"/>
  </r>
  <r>
    <x v="3"/>
    <s v="Supermarkets"/>
    <x v="15"/>
    <s v="Mindi"/>
    <s v="|79/01/129|"/>
    <n v="1620"/>
    <n v="0.7"/>
    <n v="1.1499999999999999"/>
  </r>
  <r>
    <x v="3"/>
    <s v="Supermarkets"/>
    <x v="15"/>
    <s v="Mindi"/>
    <s v="|79/01/130|"/>
    <n v="1536"/>
    <n v="0.88"/>
    <n v="0.95"/>
  </r>
  <r>
    <x v="3"/>
    <s v="Supermarkets"/>
    <x v="15"/>
    <s v="Mindi"/>
    <s v="|79/02/01|"/>
    <n v="1500"/>
    <n v="0.63"/>
    <n v="0.94"/>
  </r>
  <r>
    <x v="3"/>
    <s v="Supermarkets"/>
    <x v="15"/>
    <s v="Mindi"/>
    <s v="|79/02/02|"/>
    <n v="1500"/>
    <n v="0.67"/>
    <n v="0.98"/>
  </r>
  <r>
    <x v="3"/>
    <s v="Supermarkets"/>
    <x v="15"/>
    <s v="Mindi"/>
    <s v="|79/02/03|"/>
    <n v="1296"/>
    <n v="0.89"/>
    <n v="1.05"/>
  </r>
  <r>
    <x v="3"/>
    <s v="Supermarkets"/>
    <x v="15"/>
    <s v="Mindi"/>
    <s v="|79/02/04|"/>
    <n v="1560"/>
    <n v="0.69"/>
    <n v="1.0900000000000001"/>
  </r>
  <r>
    <x v="3"/>
    <s v="Supermarkets"/>
    <x v="15"/>
    <s v="Mindi"/>
    <s v="|79/02/05|"/>
    <n v="1464"/>
    <n v="0.63"/>
    <n v="0.97"/>
  </r>
  <r>
    <x v="3"/>
    <s v="Supermarkets"/>
    <x v="15"/>
    <s v="Mindi"/>
    <s v="|79/02/06|"/>
    <n v="1248"/>
    <n v="0.73"/>
    <n v="1.02"/>
  </r>
  <r>
    <x v="3"/>
    <s v="Supermarkets"/>
    <x v="15"/>
    <s v="Mindi"/>
    <s v="|79/02/07|"/>
    <n v="1668"/>
    <n v="0.88"/>
    <n v="1.19"/>
  </r>
  <r>
    <x v="3"/>
    <s v="Supermarkets"/>
    <x v="15"/>
    <s v="Mindi"/>
    <s v="|79/02/08|"/>
    <n v="1548"/>
    <n v="0.77"/>
    <n v="1.1499999999999999"/>
  </r>
  <r>
    <x v="3"/>
    <s v="Supermarkets"/>
    <x v="15"/>
    <s v="Mindi"/>
    <s v="|79/02/09|"/>
    <n v="1572"/>
    <n v="0.89"/>
    <n v="1.05"/>
  </r>
  <r>
    <x v="3"/>
    <s v="Supermarkets"/>
    <x v="15"/>
    <s v="Mindi"/>
    <s v="|79/02/10|"/>
    <n v="1608"/>
    <n v="0.68"/>
    <n v="1.08"/>
  </r>
  <r>
    <x v="3"/>
    <s v="Supermarkets"/>
    <x v="15"/>
    <s v="Mindi"/>
    <s v="|79/02/11|"/>
    <n v="1584"/>
    <n v="0.7"/>
    <n v="1.07"/>
  </r>
  <r>
    <x v="3"/>
    <s v="Supermarkets"/>
    <x v="15"/>
    <s v="Mindi"/>
    <s v="|79/02/12|"/>
    <n v="1404"/>
    <n v="0.9"/>
    <n v="1.1200000000000001"/>
  </r>
  <r>
    <x v="3"/>
    <s v="Supermarkets"/>
    <x v="15"/>
    <s v="Mindi"/>
    <s v="|79/02/13|"/>
    <n v="1560"/>
    <n v="0.86"/>
    <n v="0.95"/>
  </r>
  <r>
    <x v="3"/>
    <s v="Supermarkets"/>
    <x v="15"/>
    <s v="Mindi"/>
    <s v="|79/02/15|"/>
    <n v="1404"/>
    <n v="0.66"/>
    <n v="1"/>
  </r>
  <r>
    <x v="3"/>
    <s v="Supermarkets"/>
    <x v="15"/>
    <s v="Mindi"/>
    <s v="|79/02/20|"/>
    <n v="1524"/>
    <n v="0.77"/>
    <n v="0.93"/>
  </r>
  <r>
    <x v="3"/>
    <s v="Supermarkets"/>
    <x v="15"/>
    <s v="Mindi"/>
    <s v="|79/02/50|"/>
    <n v="1404"/>
    <n v="0.83"/>
    <n v="1.1499999999999999"/>
  </r>
  <r>
    <x v="3"/>
    <s v="Supermarkets"/>
    <x v="15"/>
    <s v="Mindi"/>
    <s v="|79/02/51|"/>
    <n v="1596"/>
    <n v="0.9"/>
    <n v="1.17"/>
  </r>
  <r>
    <x v="3"/>
    <s v="Supermarkets"/>
    <x v="15"/>
    <s v="Mindi"/>
    <s v="|79/02/52|"/>
    <n v="1572"/>
    <n v="0.89"/>
    <n v="1.01"/>
  </r>
  <r>
    <x v="3"/>
    <s v="Supermarkets"/>
    <x v="15"/>
    <s v="Mindi"/>
    <s v="|79/02/54|"/>
    <n v="1296"/>
    <n v="0.75"/>
    <n v="1.1399999999999999"/>
  </r>
  <r>
    <x v="3"/>
    <s v="Supermarkets"/>
    <x v="15"/>
    <s v="Star foods"/>
    <s v="|108/01/01|"/>
    <n v="1308"/>
    <n v="0.75"/>
    <n v="1.02"/>
  </r>
  <r>
    <x v="3"/>
    <s v="Supermarkets"/>
    <x v="15"/>
    <s v="Star foods"/>
    <s v="|108/01/02|"/>
    <n v="1368"/>
    <n v="0.8"/>
    <n v="1.1399999999999999"/>
  </r>
  <r>
    <x v="3"/>
    <s v="Supermarkets"/>
    <x v="15"/>
    <s v="Star foods"/>
    <s v="|108/01/03|"/>
    <n v="1416"/>
    <n v="0.83"/>
    <n v="1.08"/>
  </r>
  <r>
    <x v="3"/>
    <s v="Supermarkets"/>
    <x v="15"/>
    <s v="Star foods"/>
    <s v="|108/01/04|"/>
    <n v="1236"/>
    <n v="0.62"/>
    <n v="1.08"/>
  </r>
  <r>
    <x v="3"/>
    <s v="Supermarkets"/>
    <x v="15"/>
    <s v="Star foods"/>
    <s v="|108/01/05|"/>
    <n v="1272"/>
    <n v="0.8"/>
    <n v="1.1100000000000001"/>
  </r>
  <r>
    <x v="3"/>
    <s v="Supermarkets"/>
    <x v="15"/>
    <s v="Star foods"/>
    <s v="|108/01/06|"/>
    <n v="1272"/>
    <n v="0.77"/>
    <n v="0.92"/>
  </r>
  <r>
    <x v="3"/>
    <s v="Supermarkets"/>
    <x v="15"/>
    <s v="Star foods"/>
    <s v="|108/01/07|"/>
    <n v="1656"/>
    <n v="0.81"/>
    <n v="1.1499999999999999"/>
  </r>
  <r>
    <x v="3"/>
    <s v="Supermarkets"/>
    <x v="15"/>
    <s v="Star foods"/>
    <s v="|108/01/08|"/>
    <n v="1560"/>
    <n v="0.71"/>
    <n v="1.1299999999999999"/>
  </r>
  <r>
    <x v="3"/>
    <s v="Supermarkets"/>
    <x v="15"/>
    <s v="Star foods"/>
    <s v="|108/01/09|"/>
    <n v="1596"/>
    <n v="0.89"/>
    <n v="1.18"/>
  </r>
  <r>
    <x v="3"/>
    <s v="Supermarkets"/>
    <x v="15"/>
    <s v="Star foods"/>
    <s v="|108/01/10|"/>
    <n v="1572"/>
    <n v="0.89"/>
    <n v="1.05"/>
  </r>
  <r>
    <x v="3"/>
    <s v="Supermarkets"/>
    <x v="15"/>
    <s v="Kronos"/>
    <s v="|87/00/01|"/>
    <n v="1596"/>
    <n v="0.64"/>
    <n v="1.0900000000000001"/>
  </r>
  <r>
    <x v="3"/>
    <s v="Supermarkets"/>
    <x v="15"/>
    <s v="Kronos"/>
    <s v="|87/00/02|"/>
    <n v="1632"/>
    <n v="0.76"/>
    <n v="1.08"/>
  </r>
  <r>
    <x v="3"/>
    <s v="Supermarkets"/>
    <x v="15"/>
    <s v="Kronos"/>
    <s v="|87/00/03|"/>
    <n v="1236"/>
    <n v="0.77"/>
    <n v="1.1100000000000001"/>
  </r>
  <r>
    <x v="3"/>
    <s v="Supermarkets"/>
    <x v="15"/>
    <s v="Kronos"/>
    <s v="|87/00/04|"/>
    <n v="1236"/>
    <n v="0.71"/>
    <n v="1.1100000000000001"/>
  </r>
  <r>
    <x v="3"/>
    <s v="Supermarkets"/>
    <x v="15"/>
    <s v="Kronos"/>
    <s v="|87/00/05|"/>
    <n v="1488"/>
    <n v="0.9"/>
    <n v="1.1499999999999999"/>
  </r>
  <r>
    <x v="3"/>
    <s v="Supermarkets"/>
    <x v="15"/>
    <s v="Kronos"/>
    <s v="|87/00/06|"/>
    <n v="1572"/>
    <n v="0.84"/>
    <n v="1.06"/>
  </r>
  <r>
    <x v="3"/>
    <s v="Supermarkets"/>
    <x v="15"/>
    <s v="Kronos"/>
    <s v="|87/00/07|"/>
    <n v="1632"/>
    <n v="0.8"/>
    <n v="1.08"/>
  </r>
  <r>
    <x v="3"/>
    <s v="Supermarkets"/>
    <x v="15"/>
    <s v="Kronos"/>
    <s v="|87/00/08|"/>
    <n v="1668"/>
    <n v="0.81"/>
    <n v="1.1599999999999999"/>
  </r>
  <r>
    <x v="3"/>
    <s v="Supermarkets"/>
    <x v="15"/>
    <s v="Kronos"/>
    <s v="|87/00/09|"/>
    <n v="1404"/>
    <n v="0.83"/>
    <n v="0.95"/>
  </r>
  <r>
    <x v="3"/>
    <s v="Supermarkets"/>
    <x v="15"/>
    <s v="Kronos"/>
    <s v="|87/00/10|"/>
    <n v="1356"/>
    <n v="0.87"/>
    <n v="1.17"/>
  </r>
  <r>
    <x v="3"/>
    <s v="Supermarkets"/>
    <x v="15"/>
    <s v="Kronos"/>
    <s v="|87/00/11|"/>
    <n v="1356"/>
    <n v="0.66"/>
    <n v="1.07"/>
  </r>
  <r>
    <x v="3"/>
    <s v="Supermarkets"/>
    <x v="15"/>
    <s v="Kronos"/>
    <s v="|87/00/20|"/>
    <n v="1368"/>
    <n v="0.82"/>
    <n v="1.1299999999999999"/>
  </r>
  <r>
    <x v="3"/>
    <s v="Supermarkets"/>
    <x v="15"/>
    <s v="Kronos"/>
    <s v="|87/00/21|"/>
    <n v="1224"/>
    <n v="0.85"/>
    <n v="0.98"/>
  </r>
  <r>
    <x v="3"/>
    <s v="Supermarkets"/>
    <x v="15"/>
    <s v="Kronos"/>
    <s v="|87/00/22|"/>
    <n v="1368"/>
    <n v="0.76"/>
    <n v="0.95"/>
  </r>
  <r>
    <x v="3"/>
    <s v="Supermarkets"/>
    <x v="15"/>
    <s v="Kronos"/>
    <s v="|87/00/23|"/>
    <n v="1428"/>
    <n v="0.77"/>
    <n v="0.93"/>
  </r>
  <r>
    <x v="3"/>
    <s v="Supermarkets"/>
    <x v="15"/>
    <s v="Kronos"/>
    <s v="|87/00/24|"/>
    <n v="1608"/>
    <n v="0.73"/>
    <n v="1.04"/>
  </r>
  <r>
    <x v="3"/>
    <s v="Supermarkets"/>
    <x v="15"/>
    <s v="Corosina"/>
    <s v="|115/01/01|"/>
    <n v="1320"/>
    <n v="0.83"/>
    <n v="1.03"/>
  </r>
  <r>
    <x v="3"/>
    <s v="Supermarkets"/>
    <x v="15"/>
    <s v="Corosina"/>
    <s v="|115/01/03|"/>
    <n v="1668"/>
    <n v="0.81"/>
    <n v="1.05"/>
  </r>
  <r>
    <x v="3"/>
    <s v="Supermarkets"/>
    <x v="15"/>
    <s v="Corosina"/>
    <s v="|115/01/04|"/>
    <n v="1452"/>
    <n v="0.7"/>
    <n v="1.02"/>
  </r>
  <r>
    <x v="3"/>
    <s v="Supermarkets"/>
    <x v="15"/>
    <s v="Corosina"/>
    <s v="|115/01/05|"/>
    <n v="1608"/>
    <n v="0.7"/>
    <n v="1.17"/>
  </r>
  <r>
    <x v="3"/>
    <s v="Supermarkets"/>
    <x v="15"/>
    <s v="Corosina"/>
    <s v="|115/01/06|"/>
    <n v="1440"/>
    <n v="0.64"/>
    <n v="1.1100000000000001"/>
  </r>
  <r>
    <x v="3"/>
    <s v="Supermarkets"/>
    <x v="15"/>
    <s v="Corosina"/>
    <s v="|115/01/07|"/>
    <n v="1272"/>
    <n v="0.6"/>
    <n v="1.1000000000000001"/>
  </r>
  <r>
    <x v="3"/>
    <s v="Supermarkets"/>
    <x v="15"/>
    <s v="Corosina"/>
    <s v="|115/01/08|"/>
    <n v="1212"/>
    <n v="0.73"/>
    <n v="1.18"/>
  </r>
  <r>
    <x v="3"/>
    <s v="Supermarkets"/>
    <x v="15"/>
    <s v="Corosina"/>
    <s v="|115/01/09|"/>
    <n v="1572"/>
    <n v="0.89"/>
    <n v="1.0900000000000001"/>
  </r>
  <r>
    <x v="3"/>
    <s v="Supermarkets"/>
    <x v="15"/>
    <s v="Corosina"/>
    <s v="|115/01/10|"/>
    <n v="1260"/>
    <n v="0.74"/>
    <n v="1.02"/>
  </r>
  <r>
    <x v="3"/>
    <s v="Supermarkets"/>
    <x v="15"/>
    <s v="Corosina"/>
    <s v="|115/01/11|"/>
    <n v="1452"/>
    <n v="0.75"/>
    <n v="1.1299999999999999"/>
  </r>
  <r>
    <x v="3"/>
    <s v="Supermarkets"/>
    <x v="15"/>
    <s v="Corosina"/>
    <s v="|115/01/12|"/>
    <n v="1632"/>
    <n v="0.67"/>
    <n v="0.96"/>
  </r>
  <r>
    <x v="3"/>
    <s v="Supermarkets"/>
    <x v="15"/>
    <s v="Corosina"/>
    <s v="|115/01/13|"/>
    <n v="1344"/>
    <n v="0.63"/>
    <n v="1.1299999999999999"/>
  </r>
  <r>
    <x v="3"/>
    <s v="Supermarkets"/>
    <x v="15"/>
    <s v="Corosina"/>
    <s v="|115/01/14|"/>
    <n v="1260"/>
    <n v="0.85"/>
    <n v="0.96"/>
  </r>
  <r>
    <x v="3"/>
    <s v="Supermarkets"/>
    <x v="15"/>
    <s v="Corosina"/>
    <s v="|115/01/15|"/>
    <n v="1536"/>
    <n v="0.84"/>
    <n v="1.03"/>
  </r>
  <r>
    <x v="3"/>
    <s v="Supermarkets"/>
    <x v="15"/>
    <s v="Surgital"/>
    <s v="|03/01/03|"/>
    <n v="1200"/>
    <n v="0.79"/>
    <n v="0.94"/>
  </r>
  <r>
    <x v="3"/>
    <s v="Supermarkets"/>
    <x v="15"/>
    <s v="Surgital"/>
    <s v="|03/01/04|"/>
    <n v="1380"/>
    <n v="0.65"/>
    <n v="1.05"/>
  </r>
  <r>
    <x v="3"/>
    <s v="Supermarkets"/>
    <x v="15"/>
    <s v="Surgital"/>
    <s v="|03/01/05|"/>
    <n v="1548"/>
    <n v="0.79"/>
    <n v="1.0900000000000001"/>
  </r>
  <r>
    <x v="3"/>
    <s v="Supermarkets"/>
    <x v="15"/>
    <s v="Surgital"/>
    <s v="|03/01/06|"/>
    <n v="1656"/>
    <n v="0.63"/>
    <n v="1.18"/>
  </r>
  <r>
    <x v="3"/>
    <s v="Supermarkets"/>
    <x v="15"/>
    <s v="Surgital"/>
    <s v="|03/01/07|"/>
    <n v="1236"/>
    <n v="0.76"/>
    <n v="0.95"/>
  </r>
  <r>
    <x v="3"/>
    <s v="Supermarkets"/>
    <x v="15"/>
    <s v="Surgital"/>
    <s v="|03/01/08|"/>
    <n v="1584"/>
    <n v="0.66"/>
    <n v="0.99"/>
  </r>
  <r>
    <x v="3"/>
    <s v="Supermarkets"/>
    <x v="15"/>
    <s v="Surgital"/>
    <s v="|03/01/09|"/>
    <n v="1524"/>
    <n v="0.72"/>
    <n v="1.1000000000000001"/>
  </r>
  <r>
    <x v="3"/>
    <s v="Supermarkets"/>
    <x v="15"/>
    <s v="Surgital"/>
    <s v="|03/01/10|"/>
    <n v="1632"/>
    <n v="0.6"/>
    <n v="0.98"/>
  </r>
  <r>
    <x v="3"/>
    <s v="Supermarkets"/>
    <x v="15"/>
    <s v="Surgital"/>
    <s v="|03/01/11|"/>
    <n v="1536"/>
    <n v="0.86"/>
    <n v="1.07"/>
  </r>
  <r>
    <x v="3"/>
    <s v="Supermarkets"/>
    <x v="15"/>
    <s v="Surgital"/>
    <s v="|03/01/12|"/>
    <n v="1524"/>
    <n v="0.85"/>
    <n v="0.97"/>
  </r>
  <r>
    <x v="3"/>
    <s v="Supermarkets"/>
    <x v="15"/>
    <s v="Surgital"/>
    <s v="|03/01/13|"/>
    <n v="1464"/>
    <n v="0.77"/>
    <n v="1.05"/>
  </r>
  <r>
    <x v="3"/>
    <s v="Supermarkets"/>
    <x v="15"/>
    <s v="Surgital"/>
    <s v="|03/01/14|"/>
    <n v="1296"/>
    <n v="0.83"/>
    <n v="1.05"/>
  </r>
  <r>
    <x v="3"/>
    <s v="Supermarkets"/>
    <x v="15"/>
    <s v="Surgital"/>
    <s v="|03/01/15|"/>
    <n v="1344"/>
    <n v="0.9"/>
    <n v="0.92"/>
  </r>
  <r>
    <x v="3"/>
    <s v="Supermarkets"/>
    <x v="15"/>
    <s v="Surgital"/>
    <s v="|03/01/16|"/>
    <n v="1200"/>
    <n v="0.64"/>
    <n v="1.1000000000000001"/>
  </r>
  <r>
    <x v="3"/>
    <s v="Supermarkets"/>
    <x v="15"/>
    <s v="Surgital"/>
    <s v="|03/01/17|"/>
    <n v="1668"/>
    <n v="0.9"/>
    <n v="0.99"/>
  </r>
  <r>
    <x v="3"/>
    <s v="Supermarkets"/>
    <x v="15"/>
    <s v="Surgital"/>
    <s v="|03/01/18|"/>
    <n v="1380"/>
    <n v="0.66"/>
    <n v="1.1399999999999999"/>
  </r>
  <r>
    <x v="3"/>
    <s v="Supermarkets"/>
    <x v="15"/>
    <s v="Surgital"/>
    <s v="|03/01/19|"/>
    <n v="1488"/>
    <n v="0.78"/>
    <n v="1.1599999999999999"/>
  </r>
  <r>
    <x v="3"/>
    <s v="Supermarkets"/>
    <x v="15"/>
    <s v="Surgital"/>
    <s v="|03/01/20|"/>
    <n v="1548"/>
    <n v="0.7"/>
    <n v="1.1499999999999999"/>
  </r>
  <r>
    <x v="3"/>
    <s v="Supermarkets"/>
    <x v="15"/>
    <s v="Surgital"/>
    <s v="|03/01/21|"/>
    <n v="1644"/>
    <n v="0.68"/>
    <n v="0.98"/>
  </r>
  <r>
    <x v="3"/>
    <s v="Supermarkets"/>
    <x v="15"/>
    <s v="Surgital"/>
    <s v="|03/01/22|"/>
    <n v="1608"/>
    <n v="0.88"/>
    <n v="0.95"/>
  </r>
  <r>
    <x v="3"/>
    <s v="Supermarkets"/>
    <x v="15"/>
    <s v="Surgital"/>
    <s v="|03/01/23|"/>
    <n v="1212"/>
    <n v="0.7"/>
    <n v="1.05"/>
  </r>
  <r>
    <x v="3"/>
    <s v="Supermarkets"/>
    <x v="15"/>
    <s v="Surgital"/>
    <s v="|03/01/24|"/>
    <n v="1572"/>
    <n v="0.65"/>
    <n v="1.08"/>
  </r>
  <r>
    <x v="3"/>
    <s v="Supermarkets"/>
    <x v="15"/>
    <s v="Surgital"/>
    <s v="|03/01/25|"/>
    <n v="1404"/>
    <n v="0.73"/>
    <n v="1.05"/>
  </r>
  <r>
    <x v="3"/>
    <s v="Supermarkets"/>
    <x v="15"/>
    <s v="Surgital"/>
    <s v="|03/01/26|"/>
    <n v="1452"/>
    <n v="0.86"/>
    <n v="1.01"/>
  </r>
  <r>
    <x v="3"/>
    <s v="Supermarkets"/>
    <x v="15"/>
    <s v="Surgital"/>
    <s v="|03/01/27|"/>
    <n v="1596"/>
    <n v="0.73"/>
    <n v="0.96"/>
  </r>
  <r>
    <x v="3"/>
    <s v="Supermarkets"/>
    <x v="15"/>
    <s v="Surgital"/>
    <s v="|03/01/28|"/>
    <n v="1392"/>
    <n v="0.64"/>
    <n v="1.08"/>
  </r>
  <r>
    <x v="3"/>
    <s v="Supermarkets"/>
    <x v="15"/>
    <s v="Surgital"/>
    <s v="|03/01/29|"/>
    <n v="1308"/>
    <n v="0.88"/>
    <n v="1.02"/>
  </r>
  <r>
    <x v="3"/>
    <s v="Supermarkets"/>
    <x v="15"/>
    <s v="Surgital"/>
    <s v="|03/01/30|"/>
    <n v="1428"/>
    <n v="0.63"/>
    <n v="1.1599999999999999"/>
  </r>
  <r>
    <x v="3"/>
    <s v="Supermarkets"/>
    <x v="15"/>
    <s v="Surgital"/>
    <s v="|03/01/31|"/>
    <n v="1248"/>
    <n v="0.68"/>
    <n v="1.19"/>
  </r>
  <r>
    <x v="3"/>
    <s v="Supermarkets"/>
    <x v="15"/>
    <s v="Surgital"/>
    <s v="|03/01/32|"/>
    <n v="1680"/>
    <n v="0.81"/>
    <n v="0.94"/>
  </r>
  <r>
    <x v="3"/>
    <s v="Supermarkets"/>
    <x v="15"/>
    <s v="Surgital"/>
    <s v="|03/01/33|"/>
    <n v="1644"/>
    <n v="0.89"/>
    <n v="0.98"/>
  </r>
  <r>
    <x v="3"/>
    <s v="Supermarkets"/>
    <x v="15"/>
    <s v="Surgital"/>
    <s v="|03/01/34|"/>
    <n v="1200"/>
    <n v="0.7"/>
    <n v="1.1200000000000001"/>
  </r>
  <r>
    <x v="3"/>
    <s v="Supermarkets"/>
    <x v="15"/>
    <s v="Surgital"/>
    <s v="|03/01/35|"/>
    <n v="1224"/>
    <n v="0.74"/>
    <n v="1.1499999999999999"/>
  </r>
  <r>
    <x v="3"/>
    <s v="Supermarkets"/>
    <x v="15"/>
    <s v="Surgital"/>
    <s v="|03/01/36|"/>
    <n v="1356"/>
    <n v="0.62"/>
    <n v="1.18"/>
  </r>
  <r>
    <x v="3"/>
    <s v="Supermarkets"/>
    <x v="15"/>
    <s v="Surgital"/>
    <s v="|03/01/37|"/>
    <n v="1428"/>
    <n v="0.77"/>
    <n v="0.97"/>
  </r>
  <r>
    <x v="3"/>
    <s v="Supermarkets"/>
    <x v="15"/>
    <s v="Surgital"/>
    <s v="|03/01/38|"/>
    <n v="1224"/>
    <n v="0.82"/>
    <n v="0.97"/>
  </r>
  <r>
    <x v="3"/>
    <s v="Supermarkets"/>
    <x v="15"/>
    <s v="Surgital"/>
    <s v="|03/01/39|"/>
    <n v="1512"/>
    <n v="0.6"/>
    <n v="1.02"/>
  </r>
  <r>
    <x v="3"/>
    <s v="Supermarkets"/>
    <x v="15"/>
    <s v="Surgital"/>
    <s v="|03/01/40|"/>
    <n v="1296"/>
    <n v="0.81"/>
    <n v="1.2"/>
  </r>
  <r>
    <x v="3"/>
    <s v="Supermarkets"/>
    <x v="15"/>
    <s v="Surgital"/>
    <s v="|03/01/41|"/>
    <n v="1308"/>
    <n v="0.72"/>
    <n v="1.1000000000000001"/>
  </r>
  <r>
    <x v="3"/>
    <s v="Supermarkets"/>
    <x v="15"/>
    <s v="Surgital"/>
    <s v="|03/01/43|"/>
    <n v="1236"/>
    <n v="0.8"/>
    <n v="1.07"/>
  </r>
  <r>
    <x v="3"/>
    <s v="Supermarkets"/>
    <x v="15"/>
    <s v="Surgital"/>
    <s v="|03/01/44|"/>
    <n v="1632"/>
    <n v="0.72"/>
    <n v="0.99"/>
  </r>
  <r>
    <x v="3"/>
    <s v="Supermarkets"/>
    <x v="15"/>
    <s v="Surgital"/>
    <s v="|03/01/45|"/>
    <n v="1284"/>
    <n v="0.8"/>
    <n v="0.97"/>
  </r>
  <r>
    <x v="3"/>
    <s v="Supermarkets"/>
    <x v="15"/>
    <s v="Surgital"/>
    <s v="|03/01/46|"/>
    <n v="1608"/>
    <n v="0.68"/>
    <n v="1.06"/>
  </r>
  <r>
    <x v="3"/>
    <s v="Supermarkets"/>
    <x v="15"/>
    <s v="Surgital"/>
    <s v="|03/01/47|"/>
    <n v="1584"/>
    <n v="0.87"/>
    <n v="1.1100000000000001"/>
  </r>
  <r>
    <x v="3"/>
    <s v="Supermarkets"/>
    <x v="15"/>
    <s v="Surgital"/>
    <s v="|03/01/48|"/>
    <n v="1332"/>
    <n v="0.9"/>
    <n v="1.2"/>
  </r>
  <r>
    <x v="3"/>
    <s v="Supermarkets"/>
    <x v="15"/>
    <s v="Surgital"/>
    <s v="|03/01/49|"/>
    <n v="1596"/>
    <n v="0.68"/>
    <n v="1.1399999999999999"/>
  </r>
  <r>
    <x v="3"/>
    <s v="Supermarkets"/>
    <x v="15"/>
    <s v="Surgital"/>
    <s v="|03/01/50|"/>
    <n v="1620"/>
    <n v="0.62"/>
    <n v="1.1000000000000001"/>
  </r>
  <r>
    <x v="3"/>
    <s v="Supermarkets"/>
    <x v="15"/>
    <s v="Surgital"/>
    <s v="|03/01/51|"/>
    <n v="1296"/>
    <n v="0.83"/>
    <n v="1.07"/>
  </r>
  <r>
    <x v="3"/>
    <s v="Supermarkets"/>
    <x v="15"/>
    <s v="Surgital"/>
    <s v="|03/01/52|"/>
    <n v="1212"/>
    <n v="0.88"/>
    <n v="1"/>
  </r>
  <r>
    <x v="3"/>
    <s v="Supermarkets"/>
    <x v="15"/>
    <s v="Surgital"/>
    <s v="|03/01/53|"/>
    <n v="1632"/>
    <n v="0.88"/>
    <n v="1.18"/>
  </r>
  <r>
    <x v="3"/>
    <s v="Supermarkets"/>
    <x v="15"/>
    <s v="Surgital"/>
    <s v="|03/01/54|"/>
    <n v="1272"/>
    <n v="0.74"/>
    <n v="1.1000000000000001"/>
  </r>
  <r>
    <x v="3"/>
    <s v="Supermarkets"/>
    <x v="15"/>
    <s v="Surgital"/>
    <s v="|03/01/55|"/>
    <n v="1260"/>
    <n v="0.82"/>
    <n v="1.01"/>
  </r>
  <r>
    <x v="3"/>
    <s v="Supermarkets"/>
    <x v="15"/>
    <s v="Surgital"/>
    <s v="|03/01/56|"/>
    <n v="1380"/>
    <n v="0.63"/>
    <n v="1.18"/>
  </r>
  <r>
    <x v="3"/>
    <s v="Supermarkets"/>
    <x v="15"/>
    <s v="Surgital"/>
    <s v="|03/01/57|"/>
    <n v="1488"/>
    <n v="0.83"/>
    <n v="1.18"/>
  </r>
  <r>
    <x v="3"/>
    <s v="Supermarkets"/>
    <x v="15"/>
    <s v="Surgital"/>
    <s v="|03/01/58|"/>
    <n v="1200"/>
    <n v="0.61"/>
    <n v="1.03"/>
  </r>
  <r>
    <x v="3"/>
    <s v="Supermarkets"/>
    <x v="15"/>
    <s v="Surgital"/>
    <s v="|03/01/59|"/>
    <n v="1212"/>
    <n v="0.79"/>
    <n v="1"/>
  </r>
  <r>
    <x v="3"/>
    <s v="Supermarkets"/>
    <x v="15"/>
    <s v="Surgital"/>
    <s v="|03/01/60|"/>
    <n v="1512"/>
    <n v="0.7"/>
    <n v="1.1299999999999999"/>
  </r>
  <r>
    <x v="3"/>
    <s v="Supermarkets"/>
    <x v="15"/>
    <s v="Surgital"/>
    <s v="|03/01/62|"/>
    <n v="1680"/>
    <n v="0.79"/>
    <n v="1.1299999999999999"/>
  </r>
  <r>
    <x v="3"/>
    <s v="Supermarkets"/>
    <x v="15"/>
    <s v="Surgital"/>
    <s v="|03/01/63|"/>
    <n v="1224"/>
    <n v="0.69"/>
    <n v="0.95"/>
  </r>
  <r>
    <x v="3"/>
    <s v="Supermarkets"/>
    <x v="15"/>
    <s v="Surgital"/>
    <s v="|03/01/64|"/>
    <n v="1416"/>
    <n v="0.89"/>
    <n v="1.19"/>
  </r>
  <r>
    <x v="3"/>
    <s v="Supermarkets"/>
    <x v="15"/>
    <s v="Surgital"/>
    <s v="|03/01/65|"/>
    <n v="1200"/>
    <n v="0.68"/>
    <n v="0.93"/>
  </r>
  <r>
    <x v="3"/>
    <s v="Supermarkets"/>
    <x v="15"/>
    <s v="Surgital"/>
    <s v="|03/01/66|"/>
    <n v="1428"/>
    <n v="0.86"/>
    <n v="1.08"/>
  </r>
  <r>
    <x v="3"/>
    <s v="Supermarkets"/>
    <x v="15"/>
    <s v="Surgital"/>
    <s v="|03/01/67|"/>
    <n v="1572"/>
    <n v="0.63"/>
    <n v="1.2"/>
  </r>
  <r>
    <x v="3"/>
    <s v="Supermarkets"/>
    <x v="15"/>
    <s v="Surgital"/>
    <s v="|03/01/68|"/>
    <n v="1380"/>
    <n v="0.8"/>
    <n v="1.02"/>
  </r>
  <r>
    <x v="3"/>
    <s v="Supermarkets"/>
    <x v="15"/>
    <s v="Surgital"/>
    <s v="|03/01/69|"/>
    <n v="1248"/>
    <n v="0.77"/>
    <n v="1.18"/>
  </r>
  <r>
    <x v="3"/>
    <s v="Supermarkets"/>
    <x v="15"/>
    <s v="Surgital"/>
    <s v="|03/01/70|"/>
    <n v="1572"/>
    <n v="0.78"/>
    <n v="1.1299999999999999"/>
  </r>
  <r>
    <x v="3"/>
    <s v="Supermarkets"/>
    <x v="15"/>
    <s v="Surgital"/>
    <s v="|03/01/71|"/>
    <n v="1308"/>
    <n v="0.89"/>
    <n v="1"/>
  </r>
  <r>
    <x v="3"/>
    <s v="Supermarkets"/>
    <x v="15"/>
    <s v="Surgital"/>
    <s v="|03/01/72|"/>
    <n v="1464"/>
    <n v="0.81"/>
    <n v="1.07"/>
  </r>
  <r>
    <x v="3"/>
    <s v="Supermarkets"/>
    <x v="15"/>
    <s v="Surgital"/>
    <s v="|03/01/73|"/>
    <n v="1296"/>
    <n v="0.67"/>
    <n v="1.0900000000000001"/>
  </r>
  <r>
    <x v="3"/>
    <s v="Supermarkets"/>
    <x v="15"/>
    <s v="Surgital"/>
    <s v="|03/01/75|"/>
    <n v="1224"/>
    <n v="0.9"/>
    <n v="1.19"/>
  </r>
  <r>
    <x v="3"/>
    <s v="Supermarkets"/>
    <x v="15"/>
    <s v="Surgital"/>
    <s v="|03/01/76|"/>
    <n v="1296"/>
    <n v="0.84"/>
    <n v="1.1299999999999999"/>
  </r>
  <r>
    <x v="3"/>
    <s v="Supermarkets"/>
    <x v="15"/>
    <s v="Surgital"/>
    <s v="|03/02/01|"/>
    <n v="1536"/>
    <n v="0.84"/>
    <n v="0.95"/>
  </r>
  <r>
    <x v="3"/>
    <s v="Supermarkets"/>
    <x v="15"/>
    <s v="Surgital"/>
    <s v="|03/02/02|"/>
    <n v="1656"/>
    <n v="0.85"/>
    <n v="0.95"/>
  </r>
  <r>
    <x v="3"/>
    <s v="Supermarkets"/>
    <x v="15"/>
    <s v="Surgital"/>
    <s v="|03/02/03|"/>
    <n v="1584"/>
    <n v="0.73"/>
    <n v="1.04"/>
  </r>
  <r>
    <x v="3"/>
    <s v="Supermarkets"/>
    <x v="15"/>
    <s v="Surgital"/>
    <s v="|03/02/04|"/>
    <n v="1260"/>
    <n v="0.67"/>
    <n v="0.96"/>
  </r>
  <r>
    <x v="3"/>
    <s v="Supermarkets"/>
    <x v="15"/>
    <s v="Surgital"/>
    <s v="|03/02/05|"/>
    <n v="1452"/>
    <n v="0.61"/>
    <n v="0.96"/>
  </r>
  <r>
    <x v="3"/>
    <s v="Supermarkets"/>
    <x v="15"/>
    <s v="Surgital"/>
    <s v="|03/02/06|"/>
    <n v="1392"/>
    <n v="0.76"/>
    <n v="1.1499999999999999"/>
  </r>
  <r>
    <x v="3"/>
    <s v="Supermarkets"/>
    <x v="15"/>
    <s v="Surgital"/>
    <s v="|03/02/07|"/>
    <n v="1260"/>
    <n v="0.65"/>
    <n v="1.1499999999999999"/>
  </r>
  <r>
    <x v="3"/>
    <s v="Supermarkets"/>
    <x v="15"/>
    <s v="Surgital"/>
    <s v="|03/02/08|"/>
    <n v="1320"/>
    <n v="0.88"/>
    <n v="1.19"/>
  </r>
  <r>
    <x v="3"/>
    <s v="Supermarkets"/>
    <x v="15"/>
    <s v="Surgital"/>
    <s v="|03/02/09|"/>
    <n v="1620"/>
    <n v="0.69"/>
    <n v="1.19"/>
  </r>
  <r>
    <x v="3"/>
    <s v="Supermarkets"/>
    <x v="15"/>
    <s v="Surgital"/>
    <s v="|03/02/10|"/>
    <n v="1608"/>
    <n v="0.6"/>
    <n v="0.95"/>
  </r>
  <r>
    <x v="3"/>
    <s v="Supermarkets"/>
    <x v="15"/>
    <s v="Surgital"/>
    <s v="|03/02/11|"/>
    <n v="1488"/>
    <n v="0.75"/>
    <n v="1.1000000000000001"/>
  </r>
  <r>
    <x v="3"/>
    <s v="Supermarkets"/>
    <x v="15"/>
    <s v="Surgital"/>
    <s v="|03/02/12|"/>
    <n v="1236"/>
    <n v="0.8"/>
    <n v="0.96"/>
  </r>
  <r>
    <x v="3"/>
    <s v="Supermarkets"/>
    <x v="15"/>
    <s v="Surgital"/>
    <s v="|03/02/13|"/>
    <n v="1332"/>
    <n v="0.61"/>
    <n v="1.02"/>
  </r>
  <r>
    <x v="3"/>
    <s v="Supermarkets"/>
    <x v="15"/>
    <s v="Surgital"/>
    <s v="|03/02/14|"/>
    <n v="1296"/>
    <n v="0.82"/>
    <n v="0.98"/>
  </r>
  <r>
    <x v="3"/>
    <s v="Supermarkets"/>
    <x v="15"/>
    <s v="Surgital"/>
    <s v="|03/02/15|"/>
    <n v="1344"/>
    <n v="0.8"/>
    <n v="0.92"/>
  </r>
  <r>
    <x v="3"/>
    <s v="Supermarkets"/>
    <x v="15"/>
    <s v="Surgital"/>
    <s v="|03/02/16|"/>
    <n v="1596"/>
    <n v="0.81"/>
    <n v="1.1100000000000001"/>
  </r>
  <r>
    <x v="3"/>
    <s v="Supermarkets"/>
    <x v="15"/>
    <s v="Surgital"/>
    <s v="|03/02/17|"/>
    <n v="1632"/>
    <n v="0.89"/>
    <n v="1.1100000000000001"/>
  </r>
  <r>
    <x v="3"/>
    <s v="Supermarkets"/>
    <x v="15"/>
    <s v="Surgital"/>
    <s v="|03/02/77|"/>
    <n v="1680"/>
    <n v="0.6"/>
    <n v="1.1599999999999999"/>
  </r>
  <r>
    <x v="3"/>
    <s v="Supermarkets"/>
    <x v="15"/>
    <s v="Surgital"/>
    <s v="|03/02/78|"/>
    <n v="1272"/>
    <n v="0.66"/>
    <n v="1.1399999999999999"/>
  </r>
  <r>
    <x v="3"/>
    <s v="Convenience stores"/>
    <x v="10"/>
    <s v="Aqua"/>
    <s v="|38/01/01|"/>
    <n v="360"/>
    <n v="3.39"/>
    <n v="6.23"/>
  </r>
  <r>
    <x v="3"/>
    <s v="Convenience stores"/>
    <x v="10"/>
    <s v="Aqua"/>
    <s v="|38/01/02|"/>
    <n v="516"/>
    <n v="3.27"/>
    <n v="5.8"/>
  </r>
  <r>
    <x v="3"/>
    <s v="Convenience stores"/>
    <x v="10"/>
    <s v="Aqua"/>
    <s v="|38/01/03|"/>
    <n v="468"/>
    <n v="3.99"/>
    <n v="6.63"/>
  </r>
  <r>
    <x v="3"/>
    <s v="Convenience stores"/>
    <x v="10"/>
    <s v="Aqua"/>
    <s v="|38/01/04|"/>
    <n v="516"/>
    <n v="4.37"/>
    <n v="5.85"/>
  </r>
  <r>
    <x v="3"/>
    <s v="Convenience stores"/>
    <x v="10"/>
    <s v="Aqua"/>
    <s v="|38/01/05|"/>
    <n v="384"/>
    <n v="3.53"/>
    <n v="5.55"/>
  </r>
  <r>
    <x v="3"/>
    <s v="Convenience stores"/>
    <x v="10"/>
    <s v="Aqua"/>
    <s v="|38/01/06|"/>
    <n v="540"/>
    <n v="3.2"/>
    <n v="5.47"/>
  </r>
  <r>
    <x v="3"/>
    <s v="Convenience stores"/>
    <x v="10"/>
    <s v="Aqua"/>
    <s v="|38/01/07|"/>
    <n v="516"/>
    <n v="4.97"/>
    <n v="6.16"/>
  </r>
  <r>
    <x v="3"/>
    <s v="Convenience stores"/>
    <x v="10"/>
    <s v="Aqua"/>
    <s v="|38/01/08|"/>
    <n v="480"/>
    <n v="4.8899999999999997"/>
    <n v="5.58"/>
  </r>
  <r>
    <x v="3"/>
    <s v="Convenience stores"/>
    <x v="10"/>
    <s v="Aqua"/>
    <s v="|38/01/09|"/>
    <n v="492"/>
    <n v="3.46"/>
    <n v="5.64"/>
  </r>
  <r>
    <x v="3"/>
    <s v="Convenience stores"/>
    <x v="7"/>
    <s v="Cibo italiano"/>
    <s v="|59/01/01|"/>
    <n v="1140"/>
    <n v="2.54"/>
    <n v="3.39"/>
  </r>
  <r>
    <x v="3"/>
    <s v="Convenience stores"/>
    <x v="7"/>
    <s v="Cibo italiano"/>
    <s v="|59/01/02|"/>
    <n v="660"/>
    <n v="2.2000000000000002"/>
    <n v="3.49"/>
  </r>
  <r>
    <x v="3"/>
    <s v="Convenience stores"/>
    <x v="7"/>
    <s v="Cibo italiano"/>
    <s v="|59/01/03|"/>
    <n v="876"/>
    <n v="2.14"/>
    <n v="3.75"/>
  </r>
  <r>
    <x v="3"/>
    <s v="Convenience stores"/>
    <x v="7"/>
    <s v="Cibo italiano"/>
    <s v="|59/01/04|"/>
    <n v="912"/>
    <n v="2.75"/>
    <n v="3.26"/>
  </r>
  <r>
    <x v="3"/>
    <s v="Convenience stores"/>
    <x v="7"/>
    <s v="Cibo italiano"/>
    <s v="|59/01/05|"/>
    <n v="1200"/>
    <n v="2.73"/>
    <n v="3.79"/>
  </r>
  <r>
    <x v="3"/>
    <s v="Convenience stores"/>
    <x v="7"/>
    <s v="Cibo italiano"/>
    <s v="|59/01/06|"/>
    <n v="708"/>
    <n v="2.57"/>
    <n v="3.32"/>
  </r>
  <r>
    <x v="3"/>
    <s v="Convenience stores"/>
    <x v="7"/>
    <s v="Cibo italiano"/>
    <s v="|59/01/07|"/>
    <n v="864"/>
    <n v="2.06"/>
    <n v="3.53"/>
  </r>
  <r>
    <x v="3"/>
    <s v="Convenience stores"/>
    <x v="7"/>
    <s v="Cibo italiano"/>
    <s v="|59/01/08|"/>
    <n v="1044"/>
    <n v="2.64"/>
    <n v="3.27"/>
  </r>
  <r>
    <x v="3"/>
    <s v="Convenience stores"/>
    <x v="7"/>
    <s v="Cibo italiano"/>
    <s v="|59/01/09|"/>
    <n v="1056"/>
    <n v="2.23"/>
    <n v="3.55"/>
  </r>
  <r>
    <x v="3"/>
    <s v="Convenience stores"/>
    <x v="7"/>
    <s v="Cibo italiano"/>
    <s v="|59/01/10|"/>
    <n v="1188"/>
    <n v="2.11"/>
    <n v="3.83"/>
  </r>
  <r>
    <x v="3"/>
    <s v="Convenience stores"/>
    <x v="7"/>
    <s v="Cibo italiano"/>
    <s v="|59/01/11|"/>
    <n v="1008"/>
    <n v="2"/>
    <n v="3.66"/>
  </r>
  <r>
    <x v="3"/>
    <s v="Convenience stores"/>
    <x v="7"/>
    <s v="Cibo italiano"/>
    <s v="|59/01/12|"/>
    <n v="1008"/>
    <n v="2.66"/>
    <n v="3.51"/>
  </r>
  <r>
    <x v="3"/>
    <s v="Convenience stores"/>
    <x v="7"/>
    <s v="Cibo italiano"/>
    <s v="|59/01/13|"/>
    <n v="756"/>
    <n v="2.78"/>
    <n v="3.86"/>
  </r>
  <r>
    <x v="3"/>
    <s v="Convenience stores"/>
    <x v="7"/>
    <s v="Cibo italiano"/>
    <s v="|59/01/14|"/>
    <n v="780"/>
    <n v="2.02"/>
    <n v="3.75"/>
  </r>
  <r>
    <x v="3"/>
    <s v="Convenience stores"/>
    <x v="7"/>
    <s v="Cibo italiano"/>
    <s v="|59/01/15|"/>
    <n v="912"/>
    <n v="2.86"/>
    <n v="3.75"/>
  </r>
  <r>
    <x v="3"/>
    <s v="Convenience stores"/>
    <x v="7"/>
    <s v="Cibo italiano"/>
    <s v="|59/01/16|"/>
    <n v="708"/>
    <n v="2.78"/>
    <n v="3.95"/>
  </r>
  <r>
    <x v="3"/>
    <s v="Convenience stores"/>
    <x v="7"/>
    <s v="Cibo italiano"/>
    <s v="|59/01/17|"/>
    <n v="1008"/>
    <n v="2.04"/>
    <n v="3.24"/>
  </r>
  <r>
    <x v="3"/>
    <s v="Convenience stores"/>
    <x v="7"/>
    <s v="Cibo italiano"/>
    <s v="|59/01/18|"/>
    <n v="1092"/>
    <n v="2.52"/>
    <n v="3.48"/>
  </r>
  <r>
    <x v="3"/>
    <s v="Convenience stores"/>
    <x v="7"/>
    <s v="Cibo italiano"/>
    <s v="|59/01/19|"/>
    <n v="696"/>
    <n v="2.2799999999999998"/>
    <n v="3.91"/>
  </r>
  <r>
    <x v="3"/>
    <s v="Convenience stores"/>
    <x v="7"/>
    <s v="Cibo italiano"/>
    <s v="|59/01/20|"/>
    <n v="1140"/>
    <n v="2.0699999999999998"/>
    <n v="3.9"/>
  </r>
  <r>
    <x v="3"/>
    <s v="Convenience stores"/>
    <x v="7"/>
    <s v="Cibo italiano"/>
    <s v="|59/01/21|"/>
    <n v="996"/>
    <n v="2.66"/>
    <n v="3.35"/>
  </r>
  <r>
    <x v="3"/>
    <s v="Convenience stores"/>
    <x v="7"/>
    <s v="Cibo italiano"/>
    <s v="|59/01/22|"/>
    <n v="1080"/>
    <n v="2.2400000000000002"/>
    <n v="3.41"/>
  </r>
  <r>
    <x v="3"/>
    <s v="Convenience stores"/>
    <x v="7"/>
    <s v="Cibo italiano"/>
    <s v="|59/01/23|"/>
    <n v="1080"/>
    <n v="2.56"/>
    <n v="3.59"/>
  </r>
  <r>
    <x v="3"/>
    <s v="Convenience stores"/>
    <x v="7"/>
    <s v="Cibo italiano"/>
    <s v="|59/01/24|"/>
    <n v="1128"/>
    <n v="3"/>
    <n v="3.52"/>
  </r>
  <r>
    <x v="3"/>
    <s v="Convenience stores"/>
    <x v="7"/>
    <s v="Cibo italiano"/>
    <s v="|59/01/25|"/>
    <n v="1008"/>
    <n v="2.5499999999999998"/>
    <n v="3.97"/>
  </r>
  <r>
    <x v="3"/>
    <s v="Convenience stores"/>
    <x v="7"/>
    <s v="Cibo italiano"/>
    <s v="|59/01/26|"/>
    <n v="900"/>
    <n v="2.91"/>
    <n v="3.9"/>
  </r>
  <r>
    <x v="3"/>
    <s v="Convenience stores"/>
    <x v="7"/>
    <s v="Cibo italiano"/>
    <s v="|59/01/27|"/>
    <n v="792"/>
    <n v="2.3199999999999998"/>
    <n v="3.29"/>
  </r>
  <r>
    <x v="3"/>
    <s v="Convenience stores"/>
    <x v="7"/>
    <s v="Cibo italiano"/>
    <s v="|59/01/28|"/>
    <n v="636"/>
    <n v="2.87"/>
    <n v="3.71"/>
  </r>
  <r>
    <x v="3"/>
    <s v="Convenience stores"/>
    <x v="7"/>
    <s v="Cibo italiano"/>
    <s v="|59/01/29|"/>
    <n v="924"/>
    <n v="2.41"/>
    <n v="3.94"/>
  </r>
  <r>
    <x v="3"/>
    <s v="Convenience stores"/>
    <x v="7"/>
    <s v="Cibo italiano"/>
    <s v="|59/01/30|"/>
    <n v="1020"/>
    <n v="2.61"/>
    <n v="3.4"/>
  </r>
  <r>
    <x v="3"/>
    <s v="Convenience stores"/>
    <x v="7"/>
    <s v="Cibo italiano"/>
    <s v="|59/01/31|"/>
    <n v="672"/>
    <n v="2.2999999999999998"/>
    <n v="3.74"/>
  </r>
  <r>
    <x v="3"/>
    <s v="Convenience stores"/>
    <x v="7"/>
    <s v="Cibo italiano"/>
    <s v="|59/01/32|"/>
    <n v="972"/>
    <n v="2.72"/>
    <n v="3.44"/>
  </r>
  <r>
    <x v="3"/>
    <s v="Convenience stores"/>
    <x v="7"/>
    <s v="Cibo italiano"/>
    <s v="|59/01/33|"/>
    <n v="960"/>
    <n v="2.96"/>
    <n v="3.84"/>
  </r>
  <r>
    <x v="3"/>
    <s v="Convenience stores"/>
    <x v="7"/>
    <s v="Cibo italiano"/>
    <s v="|59/01/34|"/>
    <n v="996"/>
    <n v="2.4700000000000002"/>
    <n v="3.8"/>
  </r>
  <r>
    <x v="3"/>
    <s v="Convenience stores"/>
    <x v="7"/>
    <s v="Cibo italiano"/>
    <s v="|59/01/35|"/>
    <n v="1164"/>
    <n v="2.36"/>
    <n v="3.72"/>
  </r>
  <r>
    <x v="3"/>
    <s v="Convenience stores"/>
    <x v="7"/>
    <s v="Cibo italiano"/>
    <s v="|59/01/36|"/>
    <n v="600"/>
    <n v="2.69"/>
    <n v="3.33"/>
  </r>
  <r>
    <x v="3"/>
    <s v="Convenience stores"/>
    <x v="7"/>
    <s v="Cibo italiano"/>
    <s v="|59/01/37|"/>
    <n v="684"/>
    <n v="2.95"/>
    <n v="3.4"/>
  </r>
  <r>
    <x v="3"/>
    <s v="Convenience stores"/>
    <x v="7"/>
    <s v="Cibo italiano"/>
    <s v="|59/01/38|"/>
    <n v="840"/>
    <n v="2.2599999999999998"/>
    <n v="3.56"/>
  </r>
  <r>
    <x v="3"/>
    <s v="Convenience stores"/>
    <x v="7"/>
    <s v="Cibo italiano"/>
    <s v="|59/01/39|"/>
    <n v="912"/>
    <n v="2.14"/>
    <n v="3.53"/>
  </r>
  <r>
    <x v="3"/>
    <s v="Convenience stores"/>
    <x v="7"/>
    <s v="Cibo italiano"/>
    <s v="|59/01/40|"/>
    <n v="1104"/>
    <n v="2.84"/>
    <n v="3.5"/>
  </r>
  <r>
    <x v="3"/>
    <s v="Convenience stores"/>
    <x v="7"/>
    <s v="Cibo italiano"/>
    <s v="|59/01/41|"/>
    <n v="960"/>
    <n v="2.9"/>
    <n v="3.46"/>
  </r>
  <r>
    <x v="3"/>
    <s v="Convenience stores"/>
    <x v="7"/>
    <s v="Cibo italiano"/>
    <s v="|59/01/42|"/>
    <n v="660"/>
    <n v="2.58"/>
    <n v="3.63"/>
  </r>
  <r>
    <x v="3"/>
    <s v="Convenience stores"/>
    <x v="7"/>
    <s v="Cibo italiano"/>
    <s v="|59/01/43|"/>
    <n v="1092"/>
    <n v="2.79"/>
    <n v="3.25"/>
  </r>
  <r>
    <x v="3"/>
    <s v="Convenience stores"/>
    <x v="7"/>
    <s v="Cibo italiano"/>
    <s v="|59/01/44|"/>
    <n v="1032"/>
    <n v="2.5499999999999998"/>
    <n v="3.47"/>
  </r>
  <r>
    <x v="3"/>
    <s v="Convenience stores"/>
    <x v="7"/>
    <s v="Cibo italiano"/>
    <s v="|59/01/45|"/>
    <n v="684"/>
    <n v="2.4500000000000002"/>
    <n v="3.39"/>
  </r>
  <r>
    <x v="3"/>
    <s v="Convenience stores"/>
    <x v="7"/>
    <s v="Cibo italiano"/>
    <s v="|59/01/46|"/>
    <n v="1188"/>
    <n v="2.68"/>
    <n v="3.92"/>
  </r>
  <r>
    <x v="3"/>
    <s v="Convenience stores"/>
    <x v="7"/>
    <s v="Cibo italiano"/>
    <s v="|59/01/47|"/>
    <n v="1068"/>
    <n v="2.3199999999999998"/>
    <n v="3.28"/>
  </r>
  <r>
    <x v="3"/>
    <s v="Convenience stores"/>
    <x v="7"/>
    <s v="Cibo italiano"/>
    <s v="|59/01/48|"/>
    <n v="828"/>
    <n v="2.12"/>
    <n v="3.52"/>
  </r>
  <r>
    <x v="3"/>
    <s v="Convenience stores"/>
    <x v="7"/>
    <s v="Cibo italiano"/>
    <s v="|59/01/49|"/>
    <n v="720"/>
    <n v="2.1"/>
    <n v="3.68"/>
  </r>
  <r>
    <x v="3"/>
    <s v="Convenience stores"/>
    <x v="7"/>
    <s v="Cibo italiano"/>
    <s v="|59/01/50|"/>
    <n v="900"/>
    <n v="2.25"/>
    <n v="3.45"/>
  </r>
  <r>
    <x v="3"/>
    <s v="Convenience stores"/>
    <x v="7"/>
    <s v="Cibo italiano"/>
    <s v="|59/01/51|"/>
    <n v="840"/>
    <n v="2.5299999999999998"/>
    <n v="3.81"/>
  </r>
  <r>
    <x v="3"/>
    <s v="Convenience stores"/>
    <x v="7"/>
    <s v="Cibo italiano"/>
    <s v="|59/01/52|"/>
    <n v="912"/>
    <n v="2.89"/>
    <n v="3.46"/>
  </r>
  <r>
    <x v="3"/>
    <s v="Convenience stores"/>
    <x v="7"/>
    <s v="Cibo italiano"/>
    <s v="|59/01/53|"/>
    <n v="1008"/>
    <n v="2.38"/>
    <n v="3.54"/>
  </r>
  <r>
    <x v="3"/>
    <s v="Convenience stores"/>
    <x v="7"/>
    <s v="Cibo italiano"/>
    <s v="|59/01/54|"/>
    <n v="660"/>
    <n v="2.8"/>
    <n v="3.78"/>
  </r>
  <r>
    <x v="3"/>
    <s v="Convenience stores"/>
    <x v="7"/>
    <s v="Cibo italiano"/>
    <s v="|59/01/55|"/>
    <n v="1056"/>
    <n v="2.94"/>
    <n v="3.45"/>
  </r>
  <r>
    <x v="3"/>
    <s v="Convenience stores"/>
    <x v="7"/>
    <s v="Cibo italiano"/>
    <s v="|59/01/56|"/>
    <n v="1068"/>
    <n v="2.93"/>
    <n v="3.61"/>
  </r>
  <r>
    <x v="3"/>
    <s v="Convenience stores"/>
    <x v="7"/>
    <s v="Cibo italiano"/>
    <s v="|59/01/57|"/>
    <n v="1092"/>
    <n v="2.81"/>
    <n v="3.95"/>
  </r>
  <r>
    <x v="3"/>
    <s v="Convenience stores"/>
    <x v="7"/>
    <s v="Cibo italiano"/>
    <s v="|59/01/58|"/>
    <n v="948"/>
    <n v="2.89"/>
    <n v="3.91"/>
  </r>
  <r>
    <x v="3"/>
    <s v="Convenience stores"/>
    <x v="7"/>
    <s v="Cibo italiano"/>
    <s v="|59/01/59|"/>
    <n v="1080"/>
    <n v="2.39"/>
    <n v="3.86"/>
  </r>
  <r>
    <x v="3"/>
    <s v="Convenience stores"/>
    <x v="7"/>
    <s v="Cibo italiano"/>
    <s v="|59/01/60|"/>
    <n v="948"/>
    <n v="2"/>
    <n v="3.41"/>
  </r>
  <r>
    <x v="3"/>
    <s v="Convenience stores"/>
    <x v="7"/>
    <s v="Cibo italiano"/>
    <s v="|59/01/61|"/>
    <n v="900"/>
    <n v="2.91"/>
    <n v="3.37"/>
  </r>
  <r>
    <x v="3"/>
    <s v="Convenience stores"/>
    <x v="7"/>
    <s v="Cibo italiano"/>
    <s v="|59/01/62|"/>
    <n v="876"/>
    <n v="2.78"/>
    <n v="3.35"/>
  </r>
  <r>
    <x v="3"/>
    <s v="Convenience stores"/>
    <x v="7"/>
    <s v="Cibo italiano"/>
    <s v="|59/01/63|"/>
    <n v="924"/>
    <n v="2.42"/>
    <n v="3.33"/>
  </r>
  <r>
    <x v="3"/>
    <s v="Convenience stores"/>
    <x v="7"/>
    <s v="Cibo italiano"/>
    <s v="|59/01/64|"/>
    <n v="1104"/>
    <n v="2.37"/>
    <n v="3.24"/>
  </r>
  <r>
    <x v="3"/>
    <s v="Convenience stores"/>
    <x v="7"/>
    <s v="Cibo italiano"/>
    <s v="|59/01/65|"/>
    <n v="1080"/>
    <n v="2.09"/>
    <n v="3.77"/>
  </r>
  <r>
    <x v="3"/>
    <s v="Convenience stores"/>
    <x v="7"/>
    <s v="Cibo italiano"/>
    <s v="|59/01/66|"/>
    <n v="1152"/>
    <n v="2.63"/>
    <n v="3.25"/>
  </r>
  <r>
    <x v="3"/>
    <s v="Convenience stores"/>
    <x v="7"/>
    <s v="Cibo italiano"/>
    <s v="|59/01/67|"/>
    <n v="1188"/>
    <n v="2.58"/>
    <n v="3.37"/>
  </r>
  <r>
    <x v="3"/>
    <s v="Convenience stores"/>
    <x v="7"/>
    <s v="Cibo italiano"/>
    <s v="|59/01/68|"/>
    <n v="660"/>
    <n v="2.1"/>
    <n v="3.64"/>
  </r>
  <r>
    <x v="3"/>
    <s v="Convenience stores"/>
    <x v="7"/>
    <s v="Cibo italiano"/>
    <s v="|59/01/69|"/>
    <n v="1116"/>
    <n v="2.76"/>
    <n v="3.63"/>
  </r>
  <r>
    <x v="3"/>
    <s v="Convenience stores"/>
    <x v="7"/>
    <s v="Cibo italiano"/>
    <s v="|59/02/01|"/>
    <n v="756"/>
    <n v="2.36"/>
    <n v="3.52"/>
  </r>
  <r>
    <x v="3"/>
    <s v="Convenience stores"/>
    <x v="7"/>
    <s v="Cibo italiano"/>
    <s v="|59/02/02|"/>
    <n v="732"/>
    <n v="2.2799999999999998"/>
    <n v="3.92"/>
  </r>
  <r>
    <x v="3"/>
    <s v="Convenience stores"/>
    <x v="7"/>
    <s v="Cibo italiano"/>
    <s v="|59/02/03|"/>
    <n v="1164"/>
    <n v="2.4"/>
    <n v="3.55"/>
  </r>
  <r>
    <x v="3"/>
    <s v="Convenience stores"/>
    <x v="7"/>
    <s v="Cibo italiano"/>
    <s v="|59/02/04|"/>
    <n v="720"/>
    <n v="2.96"/>
    <n v="3.6"/>
  </r>
  <r>
    <x v="3"/>
    <s v="Convenience stores"/>
    <x v="7"/>
    <s v="Cibo italiano"/>
    <s v="|59/02/05|"/>
    <n v="1152"/>
    <n v="2.39"/>
    <n v="3.2"/>
  </r>
  <r>
    <x v="3"/>
    <s v="Convenience stores"/>
    <x v="7"/>
    <s v="Cibo italiano"/>
    <s v="|59/02/06|"/>
    <n v="936"/>
    <n v="2.2599999999999998"/>
    <n v="3.4"/>
  </r>
  <r>
    <x v="3"/>
    <s v="Convenience stores"/>
    <x v="7"/>
    <s v="Cibo italiano"/>
    <s v="|59/02/07|"/>
    <n v="888"/>
    <n v="2.93"/>
    <n v="3.27"/>
  </r>
  <r>
    <x v="3"/>
    <s v="Convenience stores"/>
    <x v="7"/>
    <s v="Cibo italiano"/>
    <s v="|59/02/08|"/>
    <n v="1176"/>
    <n v="2.85"/>
    <n v="3.98"/>
  </r>
  <r>
    <x v="3"/>
    <s v="Convenience stores"/>
    <x v="7"/>
    <s v="Cibo italiano"/>
    <s v="|59/02/09|"/>
    <n v="1056"/>
    <n v="2.77"/>
    <n v="3.59"/>
  </r>
  <r>
    <x v="3"/>
    <s v="Convenience stores"/>
    <x v="7"/>
    <s v="Cibo italiano"/>
    <s v="|59/02/10|"/>
    <n v="1200"/>
    <n v="2.58"/>
    <n v="3.29"/>
  </r>
  <r>
    <x v="3"/>
    <s v="Convenience stores"/>
    <x v="7"/>
    <s v="Cibo italiano"/>
    <s v="|59/02/11|"/>
    <n v="1008"/>
    <n v="2.36"/>
    <n v="3.96"/>
  </r>
  <r>
    <x v="3"/>
    <s v="Convenience stores"/>
    <x v="7"/>
    <s v="Cibo italiano"/>
    <s v="|59/02/12|"/>
    <n v="1104"/>
    <n v="2.93"/>
    <n v="3.9"/>
  </r>
  <r>
    <x v="3"/>
    <s v="Convenience stores"/>
    <x v="7"/>
    <s v="Cibo italiano"/>
    <s v="|59/02/13|"/>
    <n v="876"/>
    <n v="2.41"/>
    <n v="3.51"/>
  </r>
  <r>
    <x v="3"/>
    <s v="Convenience stores"/>
    <x v="7"/>
    <s v="Cibo italiano"/>
    <s v="|59/02/14|"/>
    <n v="648"/>
    <n v="2.65"/>
    <n v="3.49"/>
  </r>
  <r>
    <x v="3"/>
    <s v="Convenience stores"/>
    <x v="7"/>
    <s v="Cibo italiano"/>
    <s v="|59/02/15|"/>
    <n v="948"/>
    <n v="2.15"/>
    <n v="3.47"/>
  </r>
  <r>
    <x v="3"/>
    <s v="Convenience stores"/>
    <x v="7"/>
    <s v="Cibo italiano"/>
    <s v="|59/02/16|"/>
    <n v="612"/>
    <n v="2.81"/>
    <n v="3.96"/>
  </r>
  <r>
    <x v="3"/>
    <s v="Convenience stores"/>
    <x v="7"/>
    <s v="Cibo italiano"/>
    <s v="|59/02/17|"/>
    <n v="1092"/>
    <n v="2.09"/>
    <n v="3.51"/>
  </r>
  <r>
    <x v="3"/>
    <s v="Convenience stores"/>
    <x v="7"/>
    <s v="Cibo italiano"/>
    <s v="|59/02/18|"/>
    <n v="1152"/>
    <n v="2.4500000000000002"/>
    <n v="3.7"/>
  </r>
  <r>
    <x v="3"/>
    <s v="Convenience stores"/>
    <x v="7"/>
    <s v="Cibo italiano"/>
    <s v="|59/02/19|"/>
    <n v="612"/>
    <n v="2.76"/>
    <n v="3.47"/>
  </r>
  <r>
    <x v="3"/>
    <s v="Convenience stores"/>
    <x v="7"/>
    <s v="Cibo italiano"/>
    <s v="|59/02/20|"/>
    <n v="876"/>
    <n v="2.4"/>
    <n v="3.69"/>
  </r>
  <r>
    <x v="3"/>
    <s v="Convenience stores"/>
    <x v="7"/>
    <s v="Cibo italiano"/>
    <s v="|59/02/21|"/>
    <n v="1044"/>
    <n v="2.11"/>
    <n v="3.74"/>
  </r>
  <r>
    <x v="3"/>
    <s v="Convenience stores"/>
    <x v="7"/>
    <s v="Cibo italiano"/>
    <s v="|59/02/22|"/>
    <n v="1188"/>
    <n v="2.31"/>
    <n v="3.95"/>
  </r>
  <r>
    <x v="3"/>
    <s v="Convenience stores"/>
    <x v="7"/>
    <s v="Cibo italiano"/>
    <s v="|59/02/23|"/>
    <n v="684"/>
    <n v="2.15"/>
    <n v="3.82"/>
  </r>
  <r>
    <x v="3"/>
    <s v="Convenience stores"/>
    <x v="7"/>
    <s v="Cibo italiano"/>
    <s v="|59/02/24|"/>
    <n v="948"/>
    <n v="2.54"/>
    <n v="3.51"/>
  </r>
  <r>
    <x v="3"/>
    <s v="Convenience stores"/>
    <x v="7"/>
    <s v="Cibo italiano"/>
    <s v="|59/02/25|"/>
    <n v="612"/>
    <n v="2.2999999999999998"/>
    <n v="3.85"/>
  </r>
  <r>
    <x v="3"/>
    <s v="Convenience stores"/>
    <x v="7"/>
    <s v="Cibo italiano"/>
    <s v="|59/02/26|"/>
    <n v="996"/>
    <n v="2.88"/>
    <n v="3.21"/>
  </r>
  <r>
    <x v="3"/>
    <s v="Convenience stores"/>
    <x v="7"/>
    <s v="Cibo italiano"/>
    <s v="|59/02/27|"/>
    <n v="984"/>
    <n v="2.83"/>
    <n v="3.29"/>
  </r>
  <r>
    <x v="3"/>
    <s v="Convenience stores"/>
    <x v="7"/>
    <s v="Cibo italiano"/>
    <s v="|59/02/28|"/>
    <n v="780"/>
    <n v="2.08"/>
    <n v="3.91"/>
  </r>
  <r>
    <x v="3"/>
    <s v="Convenience stores"/>
    <x v="7"/>
    <s v="Cibo italiano"/>
    <s v="|59/02/29|"/>
    <n v="996"/>
    <n v="2.09"/>
    <n v="3.3"/>
  </r>
  <r>
    <x v="3"/>
    <s v="Convenience stores"/>
    <x v="7"/>
    <s v="Cibo italiano"/>
    <s v="|59/02/30|"/>
    <n v="948"/>
    <n v="2.35"/>
    <n v="3.44"/>
  </r>
  <r>
    <x v="3"/>
    <s v="Convenience stores"/>
    <x v="7"/>
    <s v="Cibo italiano"/>
    <s v="|59/03/01|"/>
    <n v="660"/>
    <n v="2.4500000000000002"/>
    <n v="3.56"/>
  </r>
  <r>
    <x v="3"/>
    <s v="Convenience stores"/>
    <x v="7"/>
    <s v="Cibo italiano"/>
    <s v="|59/03/02|"/>
    <n v="648"/>
    <n v="2.65"/>
    <n v="3.73"/>
  </r>
  <r>
    <x v="3"/>
    <s v="Convenience stores"/>
    <x v="7"/>
    <s v="Cibo italiano"/>
    <s v="|59/03/03|"/>
    <n v="624"/>
    <n v="2.72"/>
    <n v="3.33"/>
  </r>
  <r>
    <x v="3"/>
    <s v="Convenience stores"/>
    <x v="7"/>
    <s v="Cibo italiano"/>
    <s v="|59/03/04|"/>
    <n v="1188"/>
    <n v="2.5"/>
    <n v="3.96"/>
  </r>
  <r>
    <x v="3"/>
    <s v="Convenience stores"/>
    <x v="7"/>
    <s v="Cibo italiano"/>
    <s v="|59/03/05|"/>
    <n v="972"/>
    <n v="2.2599999999999998"/>
    <n v="3.88"/>
  </r>
  <r>
    <x v="3"/>
    <s v="Convenience stores"/>
    <x v="7"/>
    <s v="Cibo italiano"/>
    <s v="|59/03/06|"/>
    <n v="708"/>
    <n v="2.5299999999999998"/>
    <n v="3.25"/>
  </r>
  <r>
    <x v="3"/>
    <s v="Convenience stores"/>
    <x v="7"/>
    <s v="Cibo italiano"/>
    <s v="|59/03/07|"/>
    <n v="1032"/>
    <n v="2.54"/>
    <n v="3.36"/>
  </r>
  <r>
    <x v="3"/>
    <s v="Convenience stores"/>
    <x v="7"/>
    <s v="Cibo italiano"/>
    <s v="|59/03/08|"/>
    <n v="1056"/>
    <n v="2.4900000000000002"/>
    <n v="3.59"/>
  </r>
  <r>
    <x v="3"/>
    <s v="Convenience stores"/>
    <x v="5"/>
    <s v="Haribo"/>
    <s v="|121/01/01|"/>
    <n v="732"/>
    <n v="1.1000000000000001"/>
    <n v="1.89"/>
  </r>
  <r>
    <x v="3"/>
    <s v="Convenience stores"/>
    <x v="5"/>
    <s v="Haribo"/>
    <s v="|121/01/02|"/>
    <n v="576"/>
    <n v="1.43"/>
    <n v="1.81"/>
  </r>
  <r>
    <x v="3"/>
    <s v="Convenience stores"/>
    <x v="5"/>
    <s v="Haribo"/>
    <s v="|121/01/03|"/>
    <n v="936"/>
    <n v="1.35"/>
    <n v="1.81"/>
  </r>
  <r>
    <x v="3"/>
    <s v="Convenience stores"/>
    <x v="5"/>
    <s v="Haribo"/>
    <s v="|121/01/04|"/>
    <n v="852"/>
    <n v="1.17"/>
    <n v="1.73"/>
  </r>
  <r>
    <x v="3"/>
    <s v="Convenience stores"/>
    <x v="5"/>
    <s v="Haribo"/>
    <s v="|121/01/05|"/>
    <n v="1116"/>
    <n v="1.47"/>
    <n v="1.82"/>
  </r>
  <r>
    <x v="3"/>
    <s v="Convenience stores"/>
    <x v="5"/>
    <s v="Haribo"/>
    <s v="|121/01/06|"/>
    <n v="972"/>
    <n v="1.47"/>
    <n v="1.61"/>
  </r>
  <r>
    <x v="3"/>
    <s v="Convenience stores"/>
    <x v="5"/>
    <s v="Haribo"/>
    <s v="|121/01/07|"/>
    <n v="1224"/>
    <n v="1.31"/>
    <n v="1.82"/>
  </r>
  <r>
    <x v="3"/>
    <s v="Convenience stores"/>
    <x v="5"/>
    <s v="Haribo"/>
    <s v="|121/01/08|"/>
    <n v="1296"/>
    <n v="1.19"/>
    <n v="1.62"/>
  </r>
  <r>
    <x v="3"/>
    <s v="Convenience stores"/>
    <x v="5"/>
    <s v="Haribo"/>
    <s v="|121/01/09|"/>
    <n v="972"/>
    <n v="1.44"/>
    <n v="1.6"/>
  </r>
  <r>
    <x v="3"/>
    <s v="Convenience stores"/>
    <x v="5"/>
    <s v="Haribo"/>
    <s v="|121/01/10|"/>
    <n v="1164"/>
    <n v="1.4"/>
    <n v="1.75"/>
  </r>
  <r>
    <x v="3"/>
    <s v="Convenience stores"/>
    <x v="5"/>
    <s v="Haribo"/>
    <s v="|121/01/11|"/>
    <n v="1020"/>
    <n v="1.49"/>
    <n v="1.62"/>
  </r>
  <r>
    <x v="3"/>
    <s v="Convenience stores"/>
    <x v="5"/>
    <s v="Lindt"/>
    <s v="|74/01/01|"/>
    <n v="708"/>
    <n v="1.36"/>
    <n v="1.79"/>
  </r>
  <r>
    <x v="3"/>
    <s v="Convenience stores"/>
    <x v="5"/>
    <s v="Lindt"/>
    <s v="|74/01/02|"/>
    <n v="924"/>
    <n v="1.46"/>
    <n v="1.89"/>
  </r>
  <r>
    <x v="3"/>
    <s v="Convenience stores"/>
    <x v="5"/>
    <s v="Lindt"/>
    <s v="|74/01/03|"/>
    <n v="1140"/>
    <n v="1.1299999999999999"/>
    <n v="1.7"/>
  </r>
  <r>
    <x v="3"/>
    <s v="Convenience stores"/>
    <x v="5"/>
    <s v="Lindt"/>
    <s v="|74/01/04|"/>
    <n v="804"/>
    <n v="1.23"/>
    <n v="1.63"/>
  </r>
  <r>
    <x v="3"/>
    <s v="Convenience stores"/>
    <x v="5"/>
    <s v="Lindt"/>
    <s v="|74/01/05|"/>
    <n v="948"/>
    <n v="1.31"/>
    <n v="1.64"/>
  </r>
  <r>
    <x v="3"/>
    <s v="Convenience stores"/>
    <x v="5"/>
    <s v="Lindt"/>
    <s v="|74/01/06|"/>
    <n v="1200"/>
    <n v="1.1599999999999999"/>
    <n v="1.9"/>
  </r>
  <r>
    <x v="3"/>
    <s v="Convenience stores"/>
    <x v="5"/>
    <s v="Lindt"/>
    <s v="|74/02/01|"/>
    <n v="684"/>
    <n v="1.35"/>
    <n v="1.65"/>
  </r>
  <r>
    <x v="3"/>
    <s v="Convenience stores"/>
    <x v="5"/>
    <s v="Lindt"/>
    <s v="|74/02/02|"/>
    <n v="828"/>
    <n v="1.42"/>
    <n v="1.89"/>
  </r>
  <r>
    <x v="3"/>
    <s v="Convenience stores"/>
    <x v="5"/>
    <s v="Lindt"/>
    <s v="|74/02/03|"/>
    <n v="1164"/>
    <n v="1.45"/>
    <n v="1.89"/>
  </r>
  <r>
    <x v="3"/>
    <s v="Convenience stores"/>
    <x v="5"/>
    <s v="Lindt"/>
    <s v="|74/02/04|"/>
    <n v="1308"/>
    <n v="1.1000000000000001"/>
    <n v="1.63"/>
  </r>
  <r>
    <x v="3"/>
    <s v="Convenience stores"/>
    <x v="5"/>
    <s v="Lindt"/>
    <s v="|74/02/05|"/>
    <n v="696"/>
    <n v="1.17"/>
    <n v="1.76"/>
  </r>
  <r>
    <x v="3"/>
    <s v="Convenience stores"/>
    <x v="5"/>
    <s v="Lindt"/>
    <s v="|74/02/06|"/>
    <n v="696"/>
    <n v="1.27"/>
    <n v="1.88"/>
  </r>
  <r>
    <x v="3"/>
    <s v="Convenience stores"/>
    <x v="5"/>
    <s v="Lindt"/>
    <s v="|74/02/07|"/>
    <n v="1008"/>
    <n v="1.47"/>
    <n v="1.67"/>
  </r>
  <r>
    <x v="3"/>
    <s v="Convenience stores"/>
    <x v="5"/>
    <s v="Lindt"/>
    <s v="|74/02/08|"/>
    <n v="1260"/>
    <n v="1.1100000000000001"/>
    <n v="1.64"/>
  </r>
  <r>
    <x v="3"/>
    <s v="Convenience stores"/>
    <x v="5"/>
    <s v="Lindt"/>
    <s v="|74/02/09|"/>
    <n v="936"/>
    <n v="1.22"/>
    <n v="1.67"/>
  </r>
  <r>
    <x v="3"/>
    <s v="Convenience stores"/>
    <x v="5"/>
    <s v="Lindt"/>
    <s v="|74/02/10|"/>
    <n v="1044"/>
    <n v="1.21"/>
    <n v="1.65"/>
  </r>
  <r>
    <x v="3"/>
    <s v="Convenience stores"/>
    <x v="5"/>
    <s v="Lindt"/>
    <s v="|74/02/11|"/>
    <n v="732"/>
    <n v="1.21"/>
    <n v="1.6"/>
  </r>
  <r>
    <x v="3"/>
    <s v="Convenience stores"/>
    <x v="5"/>
    <s v="Lindt"/>
    <s v="|74/02/12|"/>
    <n v="696"/>
    <n v="1.48"/>
    <n v="1.77"/>
  </r>
  <r>
    <x v="3"/>
    <s v="Convenience stores"/>
    <x v="5"/>
    <s v="Lindt"/>
    <s v="|74/03/01|"/>
    <n v="1044"/>
    <n v="1.18"/>
    <n v="1.72"/>
  </r>
  <r>
    <x v="3"/>
    <s v="Convenience stores"/>
    <x v="5"/>
    <s v="Lindt"/>
    <s v="|74/03/02|"/>
    <n v="1212"/>
    <n v="1.2"/>
    <n v="1.89"/>
  </r>
  <r>
    <x v="3"/>
    <s v="Convenience stores"/>
    <x v="5"/>
    <s v="Lindt"/>
    <s v="|74/03/03|"/>
    <n v="696"/>
    <n v="1.49"/>
    <n v="1.63"/>
  </r>
  <r>
    <x v="3"/>
    <s v="Convenience stores"/>
    <x v="5"/>
    <s v="Lindt"/>
    <s v="|74/03/04|"/>
    <n v="732"/>
    <n v="1.35"/>
    <n v="1.64"/>
  </r>
  <r>
    <x v="3"/>
    <s v="Convenience stores"/>
    <x v="5"/>
    <s v="Lindt"/>
    <s v="|74/04/01|"/>
    <n v="684"/>
    <n v="1.2"/>
    <n v="1.78"/>
  </r>
  <r>
    <x v="3"/>
    <s v="Convenience stores"/>
    <x v="5"/>
    <s v="Lindt"/>
    <s v="|74/05/01|"/>
    <n v="708"/>
    <n v="1.45"/>
    <n v="1.65"/>
  </r>
  <r>
    <x v="3"/>
    <s v="Convenience stores"/>
    <x v="5"/>
    <s v="Lindt"/>
    <s v="|74/05/02|"/>
    <n v="672"/>
    <n v="1.38"/>
    <n v="1.87"/>
  </r>
  <r>
    <x v="3"/>
    <s v="Convenience stores"/>
    <x v="5"/>
    <s v="Lindt"/>
    <s v="|74/06/00|"/>
    <n v="1320"/>
    <n v="1.35"/>
    <n v="1.85"/>
  </r>
  <r>
    <x v="3"/>
    <s v="Convenience stores"/>
    <x v="5"/>
    <s v="Lindt"/>
    <s v="|74/06/01|"/>
    <n v="696"/>
    <n v="1.1200000000000001"/>
    <n v="1.6"/>
  </r>
  <r>
    <x v="3"/>
    <s v="Convenience stores"/>
    <x v="5"/>
    <s v="Lindt"/>
    <s v="|74/06/02|"/>
    <n v="1236"/>
    <n v="1.21"/>
    <n v="1.83"/>
  </r>
  <r>
    <x v="3"/>
    <s v="Convenience stores"/>
    <x v="5"/>
    <s v="Lindt"/>
    <s v="|74/06/03|"/>
    <n v="1236"/>
    <n v="1.38"/>
    <n v="1.78"/>
  </r>
  <r>
    <x v="3"/>
    <s v="Convenience stores"/>
    <x v="5"/>
    <s v="Lindt"/>
    <s v="|74/06/04|"/>
    <n v="1248"/>
    <n v="1.1399999999999999"/>
    <n v="1.67"/>
  </r>
  <r>
    <x v="3"/>
    <s v="Convenience stores"/>
    <x v="5"/>
    <s v="Lindt"/>
    <s v="|74/06/05|"/>
    <n v="1176"/>
    <n v="1.1399999999999999"/>
    <n v="1.85"/>
  </r>
  <r>
    <x v="3"/>
    <s v="Convenience stores"/>
    <x v="5"/>
    <s v="Lindt"/>
    <s v="|74/06/06|"/>
    <n v="900"/>
    <n v="1.24"/>
    <n v="1.66"/>
  </r>
  <r>
    <x v="3"/>
    <s v="Convenience stores"/>
    <x v="5"/>
    <s v="Lindt"/>
    <s v="|74/06/07|"/>
    <n v="1224"/>
    <n v="1.48"/>
    <n v="1.61"/>
  </r>
  <r>
    <x v="3"/>
    <s v="Convenience stores"/>
    <x v="5"/>
    <s v="Lindt"/>
    <s v="|74/06/08|"/>
    <n v="792"/>
    <n v="1.1100000000000001"/>
    <n v="1.63"/>
  </r>
  <r>
    <x v="3"/>
    <s v="Convenience stores"/>
    <x v="5"/>
    <s v="Lindt"/>
    <s v="|74/06/09|"/>
    <n v="804"/>
    <n v="1.1399999999999999"/>
    <n v="1.65"/>
  </r>
  <r>
    <x v="3"/>
    <s v="Convenience stores"/>
    <x v="5"/>
    <s v="Lindt"/>
    <s v="|74/06/10|"/>
    <n v="1200"/>
    <n v="1.33"/>
    <n v="1.73"/>
  </r>
  <r>
    <x v="3"/>
    <s v="Convenience stores"/>
    <x v="5"/>
    <s v="Lindt"/>
    <s v="|74/06/11|"/>
    <n v="1272"/>
    <n v="1.44"/>
    <n v="1.71"/>
  </r>
  <r>
    <x v="3"/>
    <s v="Convenience stores"/>
    <x v="5"/>
    <s v="Lindt"/>
    <s v="|74/06/12|"/>
    <n v="720"/>
    <n v="1.22"/>
    <n v="1.72"/>
  </r>
  <r>
    <x v="3"/>
    <s v="Convenience stores"/>
    <x v="7"/>
    <s v="Maxi Fresh"/>
    <s v="|81/01/01|"/>
    <n v="684"/>
    <n v="2.09"/>
    <n v="3.5"/>
  </r>
  <r>
    <x v="3"/>
    <s v="Convenience stores"/>
    <x v="7"/>
    <s v="Maxi Fresh"/>
    <s v="|81/01/02|"/>
    <n v="936"/>
    <n v="2.89"/>
    <n v="3.58"/>
  </r>
  <r>
    <x v="3"/>
    <s v="Convenience stores"/>
    <x v="7"/>
    <s v="Maxi Fresh"/>
    <s v="|81/01/03|"/>
    <n v="960"/>
    <n v="2.83"/>
    <n v="3.81"/>
  </r>
  <r>
    <x v="3"/>
    <s v="Convenience stores"/>
    <x v="7"/>
    <s v="Maxi Fresh"/>
    <s v="|81/01/04|"/>
    <n v="792"/>
    <n v="2.79"/>
    <n v="3.27"/>
  </r>
  <r>
    <x v="3"/>
    <s v="Convenience stores"/>
    <x v="7"/>
    <s v="Maxi Fresh"/>
    <s v="|81/01/05|"/>
    <n v="708"/>
    <n v="2.83"/>
    <n v="3.95"/>
  </r>
  <r>
    <x v="3"/>
    <s v="Convenience stores"/>
    <x v="7"/>
    <s v="Maxi Fresh"/>
    <s v="|81/01/06|"/>
    <n v="1176"/>
    <n v="2.82"/>
    <n v="3.86"/>
  </r>
  <r>
    <x v="3"/>
    <s v="Convenience stores"/>
    <x v="7"/>
    <s v="Maxi Fresh"/>
    <s v="|81/01/07|"/>
    <n v="1104"/>
    <n v="2.94"/>
    <n v="3.44"/>
  </r>
  <r>
    <x v="3"/>
    <s v="Convenience stores"/>
    <x v="7"/>
    <s v="Maxi Fresh"/>
    <s v="|81/01/08|"/>
    <n v="1020"/>
    <n v="2.14"/>
    <n v="3.54"/>
  </r>
  <r>
    <x v="3"/>
    <s v="Convenience stores"/>
    <x v="7"/>
    <s v="Maxi Fresh"/>
    <s v="|81/01/09|"/>
    <n v="1020"/>
    <n v="2.2799999999999998"/>
    <n v="3.63"/>
  </r>
  <r>
    <x v="3"/>
    <s v="Convenience stores"/>
    <x v="7"/>
    <s v="Maxi Fresh"/>
    <s v="|81/01/10|"/>
    <n v="1020"/>
    <n v="2.92"/>
    <n v="3.26"/>
  </r>
  <r>
    <x v="3"/>
    <s v="Convenience stores"/>
    <x v="7"/>
    <s v="Maxi Fresh"/>
    <s v="|81/01/11|"/>
    <n v="1140"/>
    <n v="2.2999999999999998"/>
    <n v="3.93"/>
  </r>
  <r>
    <x v="3"/>
    <s v="Convenience stores"/>
    <x v="7"/>
    <s v="Maxi Fresh"/>
    <s v="|81/01/12|"/>
    <n v="876"/>
    <n v="2.52"/>
    <n v="3.45"/>
  </r>
  <r>
    <x v="3"/>
    <s v="Convenience stores"/>
    <x v="7"/>
    <s v="Maxi Fresh"/>
    <s v="|81/01/13|"/>
    <n v="1164"/>
    <n v="2.37"/>
    <n v="3.94"/>
  </r>
  <r>
    <x v="3"/>
    <s v="Convenience stores"/>
    <x v="7"/>
    <s v="Maxi Fresh"/>
    <s v="|81/01/14|"/>
    <n v="1116"/>
    <n v="2.3199999999999998"/>
    <n v="3.99"/>
  </r>
  <r>
    <x v="3"/>
    <s v="Convenience stores"/>
    <x v="7"/>
    <s v="Maxi Fresh"/>
    <s v="|81/01/15|"/>
    <n v="900"/>
    <n v="2.78"/>
    <n v="3.84"/>
  </r>
  <r>
    <x v="3"/>
    <s v="Convenience stores"/>
    <x v="7"/>
    <s v="Maxi Fresh"/>
    <s v="|81/01/16|"/>
    <n v="984"/>
    <n v="2.68"/>
    <n v="3.73"/>
  </r>
  <r>
    <x v="3"/>
    <s v="Convenience stores"/>
    <x v="7"/>
    <s v="Maxi Fresh"/>
    <s v="|81/01/17|"/>
    <n v="1128"/>
    <n v="2.5299999999999998"/>
    <n v="3.44"/>
  </r>
  <r>
    <x v="3"/>
    <s v="Convenience stores"/>
    <x v="7"/>
    <s v="Maxi Fresh"/>
    <s v="|81/01/18|"/>
    <n v="912"/>
    <n v="2.2200000000000002"/>
    <n v="3.8"/>
  </r>
  <r>
    <x v="3"/>
    <s v="Convenience stores"/>
    <x v="7"/>
    <s v="Maxi Fresh"/>
    <s v="|81/01/19|"/>
    <n v="924"/>
    <n v="2.91"/>
    <n v="3.45"/>
  </r>
  <r>
    <x v="3"/>
    <s v="Convenience stores"/>
    <x v="7"/>
    <s v="Maxi Fresh"/>
    <s v="|81/01/20|"/>
    <n v="984"/>
    <n v="2.68"/>
    <n v="3.21"/>
  </r>
  <r>
    <x v="3"/>
    <s v="Convenience stores"/>
    <x v="7"/>
    <s v="Maxi Fresh"/>
    <s v="|81/01/21|"/>
    <n v="1164"/>
    <n v="2.2599999999999998"/>
    <n v="3.74"/>
  </r>
  <r>
    <x v="3"/>
    <s v="Convenience stores"/>
    <x v="7"/>
    <s v="Maxi Fresh"/>
    <s v="|81/01/22|"/>
    <n v="660"/>
    <n v="2.16"/>
    <n v="3.78"/>
  </r>
  <r>
    <x v="3"/>
    <s v="Convenience stores"/>
    <x v="7"/>
    <s v="Maxi Fresh"/>
    <s v="|81/01/23|"/>
    <n v="1020"/>
    <n v="2.35"/>
    <n v="3.32"/>
  </r>
  <r>
    <x v="3"/>
    <s v="Convenience stores"/>
    <x v="7"/>
    <s v="Maxi Fresh"/>
    <s v="|81/01/24|"/>
    <n v="648"/>
    <n v="2.98"/>
    <n v="3.52"/>
  </r>
  <r>
    <x v="3"/>
    <s v="Convenience stores"/>
    <x v="7"/>
    <s v="Maxi Fresh"/>
    <s v="|81/01/25|"/>
    <n v="1044"/>
    <n v="2.4"/>
    <n v="3.37"/>
  </r>
  <r>
    <x v="3"/>
    <s v="Convenience stores"/>
    <x v="7"/>
    <s v="Maxi Fresh"/>
    <s v="|81/01/26|"/>
    <n v="864"/>
    <n v="2.4"/>
    <n v="3.78"/>
  </r>
  <r>
    <x v="3"/>
    <s v="Convenience stores"/>
    <x v="7"/>
    <s v="Maxi Fresh"/>
    <s v="|81/01/27|"/>
    <n v="888"/>
    <n v="2.89"/>
    <n v="3.82"/>
  </r>
  <r>
    <x v="3"/>
    <s v="Convenience stores"/>
    <x v="7"/>
    <s v="Maxi Fresh"/>
    <s v="|81/01/28|"/>
    <n v="624"/>
    <n v="2.7"/>
    <n v="3.98"/>
  </r>
  <r>
    <x v="3"/>
    <s v="Convenience stores"/>
    <x v="7"/>
    <s v="Maxi Fresh"/>
    <s v="|81/01/29|"/>
    <n v="1080"/>
    <n v="2.46"/>
    <n v="3.3"/>
  </r>
  <r>
    <x v="3"/>
    <s v="Convenience stores"/>
    <x v="7"/>
    <s v="Maxi Fresh"/>
    <s v="|81/01/30|"/>
    <n v="972"/>
    <n v="2.62"/>
    <n v="4"/>
  </r>
  <r>
    <x v="3"/>
    <s v="Convenience stores"/>
    <x v="7"/>
    <s v="Maxi Fresh"/>
    <s v="|81/01/31|"/>
    <n v="1140"/>
    <n v="2.38"/>
    <n v="3.92"/>
  </r>
  <r>
    <x v="3"/>
    <s v="Convenience stores"/>
    <x v="7"/>
    <s v="Maxi Fresh"/>
    <s v="|81/01/32|"/>
    <n v="684"/>
    <n v="2.57"/>
    <n v="3.95"/>
  </r>
  <r>
    <x v="3"/>
    <s v="Convenience stores"/>
    <x v="7"/>
    <s v="Maxi Fresh"/>
    <s v="|81/01/33|"/>
    <n v="960"/>
    <n v="2.86"/>
    <n v="3.93"/>
  </r>
  <r>
    <x v="3"/>
    <s v="Convenience stores"/>
    <x v="7"/>
    <s v="Maxi Fresh"/>
    <s v="|81/01/34|"/>
    <n v="804"/>
    <n v="2.86"/>
    <n v="3.28"/>
  </r>
  <r>
    <x v="3"/>
    <s v="Convenience stores"/>
    <x v="7"/>
    <s v="Maxi Fresh"/>
    <s v="|81/01/35|"/>
    <n v="1200"/>
    <n v="2.8"/>
    <n v="3.67"/>
  </r>
  <r>
    <x v="3"/>
    <s v="Convenience stores"/>
    <x v="7"/>
    <s v="Maxi Fresh"/>
    <s v="|81/01/36|"/>
    <n v="756"/>
    <n v="2.66"/>
    <n v="3.88"/>
  </r>
  <r>
    <x v="3"/>
    <s v="Convenience stores"/>
    <x v="7"/>
    <s v="Maxi Fresh"/>
    <s v="|81/01/37|"/>
    <n v="636"/>
    <n v="3"/>
    <n v="3.86"/>
  </r>
  <r>
    <x v="3"/>
    <s v="Convenience stores"/>
    <x v="7"/>
    <s v="Maxi Fresh"/>
    <s v="|81/01/38|"/>
    <n v="708"/>
    <n v="2.66"/>
    <n v="3.45"/>
  </r>
  <r>
    <x v="3"/>
    <s v="Convenience stores"/>
    <x v="7"/>
    <s v="Maxi Fresh"/>
    <s v="|81/01/39|"/>
    <n v="1044"/>
    <n v="2.2599999999999998"/>
    <n v="3.78"/>
  </r>
  <r>
    <x v="3"/>
    <s v="Convenience stores"/>
    <x v="7"/>
    <s v="Maxi Fresh"/>
    <s v="|81/01/40|"/>
    <n v="1080"/>
    <n v="2.95"/>
    <n v="3.8"/>
  </r>
  <r>
    <x v="3"/>
    <s v="Convenience stores"/>
    <x v="7"/>
    <s v="Maxi Fresh"/>
    <s v="|81/01/41|"/>
    <n v="1008"/>
    <n v="2.75"/>
    <n v="3.94"/>
  </r>
  <r>
    <x v="3"/>
    <s v="Convenience stores"/>
    <x v="7"/>
    <s v="Maxi Fresh"/>
    <s v="|81/01/42|"/>
    <n v="756"/>
    <n v="2.31"/>
    <n v="3.74"/>
  </r>
  <r>
    <x v="3"/>
    <s v="Convenience stores"/>
    <x v="7"/>
    <s v="Maxi Fresh"/>
    <s v="|81/01/43|"/>
    <n v="948"/>
    <n v="2.54"/>
    <n v="3.86"/>
  </r>
  <r>
    <x v="3"/>
    <s v="Convenience stores"/>
    <x v="7"/>
    <s v="Maxi Fresh"/>
    <s v="|81/01/44|"/>
    <n v="1020"/>
    <n v="2.08"/>
    <n v="3.77"/>
  </r>
  <r>
    <x v="3"/>
    <s v="Convenience stores"/>
    <x v="7"/>
    <s v="Maxi Fresh"/>
    <s v="|81/01/45|"/>
    <n v="1128"/>
    <n v="2.2000000000000002"/>
    <n v="3.34"/>
  </r>
  <r>
    <x v="3"/>
    <s v="Convenience stores"/>
    <x v="7"/>
    <s v="Maxi Fresh"/>
    <s v="|81/01/46|"/>
    <n v="1044"/>
    <n v="2.46"/>
    <n v="3.57"/>
  </r>
  <r>
    <x v="3"/>
    <s v="Convenience stores"/>
    <x v="7"/>
    <s v="Maxi Fresh"/>
    <s v="|81/01/47|"/>
    <n v="660"/>
    <n v="2.78"/>
    <n v="3.31"/>
  </r>
  <r>
    <x v="3"/>
    <s v="Convenience stores"/>
    <x v="7"/>
    <s v="Maxi Fresh"/>
    <s v="|81/01/48|"/>
    <n v="696"/>
    <n v="2.46"/>
    <n v="3.39"/>
  </r>
  <r>
    <x v="3"/>
    <s v="Convenience stores"/>
    <x v="7"/>
    <s v="Maxi Fresh"/>
    <s v="|81/01/49|"/>
    <n v="924"/>
    <n v="2.2599999999999998"/>
    <n v="3.72"/>
  </r>
  <r>
    <x v="3"/>
    <s v="Convenience stores"/>
    <x v="7"/>
    <s v="Maxi Fresh"/>
    <s v="|81/01/80|"/>
    <n v="1092"/>
    <n v="2.56"/>
    <n v="3.6"/>
  </r>
  <r>
    <x v="3"/>
    <s v="Convenience stores"/>
    <x v="7"/>
    <s v="Maxi Fresh"/>
    <s v="|81/01/81|"/>
    <n v="996"/>
    <n v="2.74"/>
    <n v="4"/>
  </r>
  <r>
    <x v="3"/>
    <s v="Convenience stores"/>
    <x v="7"/>
    <s v="Maxi Fresh"/>
    <s v="|81/01/82|"/>
    <n v="1140"/>
    <n v="2.88"/>
    <n v="3.52"/>
  </r>
  <r>
    <x v="3"/>
    <s v="Convenience stores"/>
    <x v="7"/>
    <s v="Maxi Fresh"/>
    <s v="|81/01/83|"/>
    <n v="960"/>
    <n v="2.82"/>
    <n v="3.53"/>
  </r>
  <r>
    <x v="3"/>
    <s v="Convenience stores"/>
    <x v="7"/>
    <s v="Maxi Fresh"/>
    <s v="|81/01/84|"/>
    <n v="1056"/>
    <n v="2.2000000000000002"/>
    <n v="3.37"/>
  </r>
  <r>
    <x v="3"/>
    <s v="Convenience stores"/>
    <x v="7"/>
    <s v="Maxi Fresh"/>
    <s v="|81/01/85|"/>
    <n v="1164"/>
    <n v="2.0299999999999998"/>
    <n v="3.3"/>
  </r>
  <r>
    <x v="3"/>
    <s v="Convenience stores"/>
    <x v="7"/>
    <s v="Maxi Fresh"/>
    <s v="|81/02/01|"/>
    <n v="600"/>
    <n v="2.64"/>
    <n v="3.49"/>
  </r>
  <r>
    <x v="3"/>
    <s v="Convenience stores"/>
    <x v="7"/>
    <s v="Maxi Fresh"/>
    <s v="|81/02/02|"/>
    <n v="948"/>
    <n v="2.16"/>
    <n v="3.3"/>
  </r>
  <r>
    <x v="3"/>
    <s v="Convenience stores"/>
    <x v="7"/>
    <s v="Maxi Fresh"/>
    <s v="|81/02/03|"/>
    <n v="1128"/>
    <n v="2.0499999999999998"/>
    <n v="3.61"/>
  </r>
  <r>
    <x v="3"/>
    <s v="Convenience stores"/>
    <x v="7"/>
    <s v="Maxi Fresh"/>
    <s v="|81/02/04|"/>
    <n v="948"/>
    <n v="2.2400000000000002"/>
    <n v="3.91"/>
  </r>
  <r>
    <x v="3"/>
    <s v="Convenience stores"/>
    <x v="7"/>
    <s v="Maxi Fresh"/>
    <s v="|81/02/05|"/>
    <n v="1152"/>
    <n v="2.2200000000000002"/>
    <n v="3.87"/>
  </r>
  <r>
    <x v="3"/>
    <s v="Convenience stores"/>
    <x v="7"/>
    <s v="Maxi Fresh"/>
    <s v="|81/02/07|"/>
    <n v="1080"/>
    <n v="2.61"/>
    <n v="3.23"/>
  </r>
  <r>
    <x v="3"/>
    <s v="Convenience stores"/>
    <x v="10"/>
    <s v="Wild West"/>
    <s v="|30/02/00|"/>
    <n v="396"/>
    <n v="4.53"/>
    <n v="6.01"/>
  </r>
  <r>
    <x v="3"/>
    <s v="Convenience stores"/>
    <x v="10"/>
    <s v="Wild West"/>
    <s v="|30/02/01|"/>
    <n v="468"/>
    <n v="3.32"/>
    <n v="6.37"/>
  </r>
  <r>
    <x v="3"/>
    <s v="Convenience stores"/>
    <x v="10"/>
    <s v="Wild West"/>
    <s v="|30/02/02|"/>
    <n v="468"/>
    <n v="3.96"/>
    <n v="5.78"/>
  </r>
  <r>
    <x v="3"/>
    <s v="Convenience stores"/>
    <x v="10"/>
    <s v="Wild West"/>
    <s v="|30/02/03|"/>
    <n v="516"/>
    <n v="4.7699999999999996"/>
    <n v="5.13"/>
  </r>
  <r>
    <x v="3"/>
    <s v="Convenience stores"/>
    <x v="10"/>
    <s v="Wild West"/>
    <s v="|30/02/04|"/>
    <n v="384"/>
    <n v="3.3"/>
    <n v="6"/>
  </r>
  <r>
    <x v="3"/>
    <s v="Convenience stores"/>
    <x v="10"/>
    <s v="Wild West"/>
    <s v="|30/02/05|"/>
    <n v="444"/>
    <n v="3.61"/>
    <n v="6.61"/>
  </r>
  <r>
    <x v="3"/>
    <s v="Convenience stores"/>
    <x v="10"/>
    <s v="Wild West"/>
    <s v="|30/02/06|"/>
    <n v="504"/>
    <n v="4.12"/>
    <n v="6.87"/>
  </r>
  <r>
    <x v="3"/>
    <s v="Convenience stores"/>
    <x v="10"/>
    <s v="Wild West"/>
    <s v="|30/02/07|"/>
    <n v="492"/>
    <n v="3.67"/>
    <n v="5.39"/>
  </r>
  <r>
    <x v="3"/>
    <s v="Convenience stores"/>
    <x v="10"/>
    <s v="Wild West"/>
    <s v="|30/02/09|"/>
    <n v="492"/>
    <n v="4.8"/>
    <n v="6.52"/>
  </r>
  <r>
    <x v="3"/>
    <s v="Convenience stores"/>
    <x v="10"/>
    <s v="Wild West"/>
    <s v="|30/02/89|"/>
    <n v="384"/>
    <n v="3.54"/>
    <n v="5.05"/>
  </r>
  <r>
    <x v="3"/>
    <s v="Convenience stores"/>
    <x v="10"/>
    <s v="Wild West"/>
    <s v="|30/02/90|"/>
    <n v="456"/>
    <n v="4.96"/>
    <n v="5.88"/>
  </r>
  <r>
    <x v="3"/>
    <s v="Convenience stores"/>
    <x v="10"/>
    <s v="Wild West"/>
    <s v="|30/02/91|"/>
    <n v="396"/>
    <n v="4.93"/>
    <n v="6.43"/>
  </r>
  <r>
    <x v="3"/>
    <s v="Convenience stores"/>
    <x v="10"/>
    <s v="Wild West"/>
    <s v="|30/02/99|"/>
    <n v="408"/>
    <n v="3.17"/>
    <n v="5.97"/>
  </r>
  <r>
    <x v="3"/>
    <s v="Convenience stores"/>
    <x v="10"/>
    <s v="Wild West"/>
    <s v="|30/03/01|"/>
    <n v="432"/>
    <n v="3.38"/>
    <n v="6.83"/>
  </r>
  <r>
    <x v="3"/>
    <s v="Convenience stores"/>
    <x v="10"/>
    <s v="Wild West"/>
    <s v="|30/03/02|"/>
    <n v="384"/>
    <n v="4.25"/>
    <n v="5.13"/>
  </r>
  <r>
    <x v="3"/>
    <s v="Convenience stores"/>
    <x v="10"/>
    <s v="Wild West"/>
    <s v="|30/03/03|"/>
    <n v="444"/>
    <n v="3.29"/>
    <n v="6.51"/>
  </r>
  <r>
    <x v="3"/>
    <s v="Convenience stores"/>
    <x v="10"/>
    <s v="Wild West"/>
    <s v="|30/03/05|"/>
    <n v="444"/>
    <n v="3.25"/>
    <n v="6.81"/>
  </r>
  <r>
    <x v="3"/>
    <s v="Convenience stores"/>
    <x v="10"/>
    <s v="Wild West"/>
    <s v="|30/03/06|"/>
    <n v="444"/>
    <n v="4.4800000000000004"/>
    <n v="5.15"/>
  </r>
  <r>
    <x v="3"/>
    <s v="Convenience stores"/>
    <x v="10"/>
    <s v="Wild West"/>
    <s v="|30/03/07|"/>
    <n v="540"/>
    <n v="3.9"/>
    <n v="6.69"/>
  </r>
  <r>
    <x v="3"/>
    <s v="Convenience stores"/>
    <x v="10"/>
    <s v="Wild West"/>
    <s v="|30/03/08|"/>
    <n v="528"/>
    <n v="3.41"/>
    <n v="6.22"/>
  </r>
  <r>
    <x v="3"/>
    <s v="Convenience stores"/>
    <x v="10"/>
    <s v="Wild West"/>
    <s v="|30/04/01|"/>
    <n v="528"/>
    <n v="3.14"/>
    <n v="5.84"/>
  </r>
  <r>
    <x v="3"/>
    <s v="Convenience stores"/>
    <x v="10"/>
    <s v="Wild West"/>
    <s v="|30/04/02|"/>
    <n v="528"/>
    <n v="3.21"/>
    <n v="5.83"/>
  </r>
  <r>
    <x v="3"/>
    <s v="Convenience stores"/>
    <x v="10"/>
    <s v="Wild West"/>
    <s v="|30/05/01|"/>
    <n v="432"/>
    <n v="4.13"/>
    <n v="6.52"/>
  </r>
  <r>
    <x v="3"/>
    <s v="Convenience stores"/>
    <x v="10"/>
    <s v="Wild West"/>
    <s v="|30/05/02|"/>
    <n v="432"/>
    <n v="4.72"/>
    <n v="5.66"/>
  </r>
  <r>
    <x v="3"/>
    <s v="Convenience stores"/>
    <x v="10"/>
    <s v="Wild West"/>
    <s v="|30/05/03|"/>
    <n v="492"/>
    <n v="4.78"/>
    <n v="5.93"/>
  </r>
  <r>
    <x v="3"/>
    <s v="Convenience stores"/>
    <x v="10"/>
    <s v="Wild West"/>
    <s v="|30/05/04|"/>
    <n v="456"/>
    <n v="3.77"/>
    <n v="6.74"/>
  </r>
  <r>
    <x v="3"/>
    <s v="Convenience stores"/>
    <x v="10"/>
    <s v="Wild West"/>
    <s v="|30/05/06|"/>
    <n v="372"/>
    <n v="4.9000000000000004"/>
    <n v="6.09"/>
  </r>
  <r>
    <x v="3"/>
    <s v="Convenience stores"/>
    <x v="10"/>
    <s v="Wild West"/>
    <s v="|30/05/07|"/>
    <n v="456"/>
    <n v="4.88"/>
    <n v="5.68"/>
  </r>
  <r>
    <x v="3"/>
    <s v="Convenience stores"/>
    <x v="10"/>
    <s v="Wild West"/>
    <s v="|30/06/01|"/>
    <n v="372"/>
    <n v="4.34"/>
    <n v="6.39"/>
  </r>
  <r>
    <x v="3"/>
    <s v="Convenience stores"/>
    <x v="10"/>
    <s v="Wild West"/>
    <s v="|30/06/02|"/>
    <n v="492"/>
    <n v="3.91"/>
    <n v="6.45"/>
  </r>
  <r>
    <x v="3"/>
    <s v="Convenience stores"/>
    <x v="3"/>
    <s v="Capy"/>
    <s v="|98/01/01|"/>
    <n v="84"/>
    <n v="1.1100000000000001"/>
    <n v="1.39"/>
  </r>
  <r>
    <x v="3"/>
    <s v="Convenience stores"/>
    <x v="10"/>
    <s v="Palmera"/>
    <s v="|91/00/01|"/>
    <n v="396"/>
    <n v="4.46"/>
    <n v="6.71"/>
  </r>
  <r>
    <x v="3"/>
    <s v="Convenience stores"/>
    <x v="10"/>
    <s v="Palmera"/>
    <s v="|91/00/02|"/>
    <n v="528"/>
    <n v="3.77"/>
    <n v="6.28"/>
  </r>
  <r>
    <x v="3"/>
    <s v="Convenience stores"/>
    <x v="10"/>
    <s v="Palmera"/>
    <s v="|91/00/03|"/>
    <n v="408"/>
    <n v="3.24"/>
    <n v="5.22"/>
  </r>
  <r>
    <x v="3"/>
    <s v="Convenience stores"/>
    <x v="10"/>
    <s v="Palmera"/>
    <s v="|91/00/04|"/>
    <n v="360"/>
    <n v="3.09"/>
    <n v="5.2"/>
  </r>
  <r>
    <x v="3"/>
    <s v="Convenience stores"/>
    <x v="10"/>
    <s v="Palmera"/>
    <s v="|91/00/05|"/>
    <n v="528"/>
    <n v="4.4800000000000004"/>
    <n v="6.26"/>
  </r>
  <r>
    <x v="3"/>
    <s v="Convenience stores"/>
    <x v="10"/>
    <s v="Palmera"/>
    <s v="|91/00/06|"/>
    <n v="528"/>
    <n v="4.8899999999999997"/>
    <n v="6.46"/>
  </r>
  <r>
    <x v="3"/>
    <s v="Convenience stores"/>
    <x v="10"/>
    <s v="Palmera"/>
    <s v="|91/00/07|"/>
    <n v="432"/>
    <n v="3.81"/>
    <n v="6.78"/>
  </r>
  <r>
    <x v="3"/>
    <s v="Convenience stores"/>
    <x v="10"/>
    <s v="Palmera"/>
    <s v="|91/00/08|"/>
    <n v="516"/>
    <n v="3.67"/>
    <n v="5.0199999999999996"/>
  </r>
  <r>
    <x v="3"/>
    <s v="Convenience stores"/>
    <x v="10"/>
    <s v="Palmera"/>
    <s v="|91/00/09|"/>
    <n v="492"/>
    <n v="4.83"/>
    <n v="6.78"/>
  </r>
  <r>
    <x v="3"/>
    <s v="Convenience stores"/>
    <x v="10"/>
    <s v="Palmera"/>
    <s v="|91/00/10|"/>
    <n v="396"/>
    <n v="3.5"/>
    <n v="6.12"/>
  </r>
  <r>
    <x v="3"/>
    <s v="Convenience stores"/>
    <x v="10"/>
    <s v="Palmera"/>
    <s v="|91/00/11|"/>
    <n v="516"/>
    <n v="3.94"/>
    <n v="5.84"/>
  </r>
  <r>
    <x v="3"/>
    <s v="Convenience stores"/>
    <x v="10"/>
    <s v="Palmera"/>
    <s v="|91/00/12|"/>
    <n v="456"/>
    <n v="3.79"/>
    <n v="5.18"/>
  </r>
  <r>
    <x v="3"/>
    <s v="Convenience stores"/>
    <x v="10"/>
    <s v="Palmera"/>
    <s v="|91/00/13|"/>
    <n v="540"/>
    <n v="3.54"/>
    <n v="6.35"/>
  </r>
  <r>
    <x v="3"/>
    <s v="Convenience stores"/>
    <x v="10"/>
    <s v="Palmera"/>
    <s v="|91/00/14|"/>
    <n v="432"/>
    <n v="3.4"/>
    <n v="6.96"/>
  </r>
  <r>
    <x v="3"/>
    <s v="Convenience stores"/>
    <x v="10"/>
    <s v="Palmera"/>
    <s v="|91/00/15|"/>
    <n v="504"/>
    <n v="3.48"/>
    <n v="6.98"/>
  </r>
  <r>
    <x v="3"/>
    <s v="Convenience stores"/>
    <x v="10"/>
    <s v="Palmera"/>
    <s v="|91/00/16|"/>
    <n v="480"/>
    <n v="4.93"/>
    <n v="5.22"/>
  </r>
  <r>
    <x v="3"/>
    <s v="Convenience stores"/>
    <x v="10"/>
    <s v="Palmera"/>
    <s v="|91/00/17|"/>
    <n v="408"/>
    <n v="3.37"/>
    <n v="6.44"/>
  </r>
  <r>
    <x v="3"/>
    <s v="Convenience stores"/>
    <x v="10"/>
    <s v="Palmera"/>
    <s v="|91/00/18|"/>
    <n v="408"/>
    <n v="4.17"/>
    <n v="6.99"/>
  </r>
  <r>
    <x v="3"/>
    <s v="Convenience stores"/>
    <x v="10"/>
    <s v="Palmera"/>
    <s v="|91/00/19|"/>
    <n v="384"/>
    <n v="4.72"/>
    <n v="5.57"/>
  </r>
  <r>
    <x v="3"/>
    <s v="Convenience stores"/>
    <x v="10"/>
    <s v="Palmera"/>
    <s v="|91/00/20|"/>
    <n v="528"/>
    <n v="4.18"/>
    <n v="6.29"/>
  </r>
  <r>
    <x v="3"/>
    <s v="Hypermarkets"/>
    <x v="13"/>
    <s v="President"/>
    <s v="|32/01/01|"/>
    <n v="324"/>
    <n v="2.73"/>
    <n v="3.76"/>
  </r>
  <r>
    <x v="3"/>
    <s v="Hypermarkets"/>
    <x v="13"/>
    <s v="President"/>
    <s v="|32/01/02|"/>
    <n v="204"/>
    <n v="2.63"/>
    <n v="3.01"/>
  </r>
  <r>
    <x v="3"/>
    <s v="Hypermarkets"/>
    <x v="13"/>
    <s v="President"/>
    <s v="|32/01/03|"/>
    <n v="552"/>
    <n v="2.79"/>
    <n v="3.12"/>
  </r>
  <r>
    <x v="3"/>
    <s v="Hypermarkets"/>
    <x v="13"/>
    <s v="President"/>
    <s v="|32/01/04|"/>
    <n v="156"/>
    <n v="2.2000000000000002"/>
    <n v="3.57"/>
  </r>
  <r>
    <x v="3"/>
    <s v="Hypermarkets"/>
    <x v="13"/>
    <s v="President"/>
    <s v="|32/01/05|"/>
    <n v="552"/>
    <n v="2.17"/>
    <n v="3.55"/>
  </r>
  <r>
    <x v="3"/>
    <s v="Hypermarkets"/>
    <x v="13"/>
    <s v="President"/>
    <s v="|32/01/06|"/>
    <n v="264"/>
    <n v="2.12"/>
    <n v="3.78"/>
  </r>
  <r>
    <x v="3"/>
    <s v="Hypermarkets"/>
    <x v="13"/>
    <s v="President"/>
    <s v="|32/01/07|"/>
    <n v="168"/>
    <n v="2.4900000000000002"/>
    <n v="3.53"/>
  </r>
  <r>
    <x v="3"/>
    <s v="Hypermarkets"/>
    <x v="13"/>
    <s v="President"/>
    <s v="|32/01/08|"/>
    <n v="468"/>
    <n v="2.33"/>
    <n v="3.6"/>
  </r>
  <r>
    <x v="3"/>
    <s v="Hypermarkets"/>
    <x v="13"/>
    <s v="President"/>
    <s v="|32/01/09|"/>
    <n v="264"/>
    <n v="2.69"/>
    <n v="3.21"/>
  </r>
  <r>
    <x v="3"/>
    <s v="Hypermarkets"/>
    <x v="13"/>
    <s v="President"/>
    <s v="|32/01/10|"/>
    <n v="528"/>
    <n v="2.52"/>
    <n v="3.04"/>
  </r>
  <r>
    <x v="3"/>
    <s v="Hypermarkets"/>
    <x v="13"/>
    <s v="President"/>
    <s v="|32/01/11|"/>
    <n v="288"/>
    <n v="2.6"/>
    <n v="3.24"/>
  </r>
  <r>
    <x v="3"/>
    <s v="Hypermarkets"/>
    <x v="13"/>
    <s v="President"/>
    <s v="|32/01/12|"/>
    <n v="132"/>
    <n v="2.2400000000000002"/>
    <n v="3.56"/>
  </r>
  <r>
    <x v="3"/>
    <s v="Hypermarkets"/>
    <x v="13"/>
    <s v="President"/>
    <s v="|32/01/13|"/>
    <n v="264"/>
    <n v="2.46"/>
    <n v="3.67"/>
  </r>
  <r>
    <x v="3"/>
    <s v="Hypermarkets"/>
    <x v="13"/>
    <s v="President"/>
    <s v="|32/01/14|"/>
    <n v="240"/>
    <n v="2.13"/>
    <n v="3.57"/>
  </r>
  <r>
    <x v="3"/>
    <s v="Hypermarkets"/>
    <x v="13"/>
    <s v="President"/>
    <s v="|32/01/15|"/>
    <n v="312"/>
    <n v="2.1800000000000002"/>
    <n v="3.74"/>
  </r>
  <r>
    <x v="3"/>
    <s v="Hypermarkets"/>
    <x v="13"/>
    <s v="President"/>
    <s v="|32/01/16|"/>
    <n v="540"/>
    <n v="2.57"/>
    <n v="3.5"/>
  </r>
  <r>
    <x v="3"/>
    <s v="Hypermarkets"/>
    <x v="13"/>
    <s v="President"/>
    <s v="|32/01/17|"/>
    <n v="600"/>
    <n v="2.74"/>
    <n v="3.4"/>
  </r>
  <r>
    <x v="3"/>
    <s v="Hypermarkets"/>
    <x v="13"/>
    <s v="President"/>
    <s v="|32/01/18|"/>
    <n v="336"/>
    <n v="2.5499999999999998"/>
    <n v="3.2"/>
  </r>
  <r>
    <x v="3"/>
    <s v="Hypermarkets"/>
    <x v="13"/>
    <s v="President"/>
    <s v="|32/01/19|"/>
    <n v="312"/>
    <n v="2.39"/>
    <n v="3.04"/>
  </r>
  <r>
    <x v="3"/>
    <s v="Hypermarkets"/>
    <x v="13"/>
    <s v="President"/>
    <s v="|32/01/20|"/>
    <n v="216"/>
    <n v="2.33"/>
    <n v="3.11"/>
  </r>
  <r>
    <x v="3"/>
    <s v="Hypermarkets"/>
    <x v="13"/>
    <s v="President"/>
    <s v="|32/01/21|"/>
    <n v="120"/>
    <n v="2.4700000000000002"/>
    <n v="3.71"/>
  </r>
  <r>
    <x v="3"/>
    <s v="Hypermarkets"/>
    <x v="13"/>
    <s v="President"/>
    <s v="|32/01/22|"/>
    <n v="432"/>
    <n v="2.54"/>
    <n v="3.44"/>
  </r>
  <r>
    <x v="3"/>
    <s v="Hypermarkets"/>
    <x v="13"/>
    <s v="President"/>
    <s v="|32/02/01|"/>
    <n v="228"/>
    <n v="2.15"/>
    <n v="3.18"/>
  </r>
  <r>
    <x v="3"/>
    <s v="Hypermarkets"/>
    <x v="14"/>
    <s v="Hassett"/>
    <s v="|130/01/01|"/>
    <n v="1872"/>
    <n v="0.71"/>
    <n v="0.91"/>
  </r>
  <r>
    <x v="3"/>
    <s v="Hypermarkets"/>
    <x v="14"/>
    <s v="Hassett"/>
    <s v="|130/01/02|"/>
    <n v="2208"/>
    <n v="0.85"/>
    <n v="1"/>
  </r>
  <r>
    <x v="3"/>
    <s v="Hypermarkets"/>
    <x v="14"/>
    <s v="Hassett"/>
    <s v="|130/01/03|"/>
    <n v="1836"/>
    <n v="0.89"/>
    <n v="0.97"/>
  </r>
  <r>
    <x v="3"/>
    <s v="Hypermarkets"/>
    <x v="14"/>
    <s v="Hassett"/>
    <s v="|130/01/04|"/>
    <n v="2280"/>
    <n v="0.74"/>
    <n v="0.93"/>
  </r>
  <r>
    <x v="3"/>
    <s v="Hypermarkets"/>
    <x v="14"/>
    <s v="Southeastern windmill"/>
    <s v="|44/01/10|"/>
    <n v="1608"/>
    <n v="0.88"/>
    <n v="0.95"/>
  </r>
  <r>
    <x v="3"/>
    <s v="Hypermarkets"/>
    <x v="14"/>
    <s v="Southeastern windmill"/>
    <s v="|44/01/11|"/>
    <n v="2076"/>
    <n v="0.77"/>
    <n v="1"/>
  </r>
  <r>
    <x v="3"/>
    <s v="Hypermarkets"/>
    <x v="14"/>
    <s v="Southeastern windmill"/>
    <s v="|44/01/12|"/>
    <n v="1956"/>
    <n v="0.72"/>
    <n v="0.97"/>
  </r>
  <r>
    <x v="3"/>
    <s v="Hypermarkets"/>
    <x v="14"/>
    <s v="Southeastern windmill"/>
    <s v="|44/01/13|"/>
    <n v="2280"/>
    <n v="0.9"/>
    <n v="0.91"/>
  </r>
  <r>
    <x v="3"/>
    <s v="Hypermarkets"/>
    <x v="14"/>
    <s v="Southeastern windmill"/>
    <s v="|44/01/14|"/>
    <n v="1404"/>
    <n v="0.9"/>
    <n v="0.98"/>
  </r>
  <r>
    <x v="3"/>
    <s v="Hypermarkets"/>
    <x v="14"/>
    <s v="Southeastern windmill"/>
    <s v="|44/01/15|"/>
    <n v="2340"/>
    <n v="0.79"/>
    <n v="0.99"/>
  </r>
  <r>
    <x v="3"/>
    <s v="Hypermarkets"/>
    <x v="14"/>
    <s v="Southeastern windmill"/>
    <s v="|44/01/16|"/>
    <n v="1476"/>
    <n v="0.84"/>
    <n v="0.9"/>
  </r>
  <r>
    <x v="3"/>
    <s v="Hypermarkets"/>
    <x v="14"/>
    <s v="Southeastern windmill"/>
    <s v="|44/01/17|"/>
    <n v="2316"/>
    <n v="0.72"/>
    <n v="0.97"/>
  </r>
  <r>
    <x v="3"/>
    <s v="Hypermarkets"/>
    <x v="14"/>
    <s v="Southeastern windmill"/>
    <s v="|44/01/18|"/>
    <n v="2352"/>
    <n v="0.89"/>
    <n v="0.92"/>
  </r>
  <r>
    <x v="3"/>
    <s v="Hypermarkets"/>
    <x v="14"/>
    <s v="Southeastern windmill"/>
    <s v="|44/02/01|"/>
    <n v="1884"/>
    <n v="0.83"/>
    <n v="0.94"/>
  </r>
  <r>
    <x v="3"/>
    <s v="Hypermarkets"/>
    <x v="14"/>
    <s v="Southeastern windmill"/>
    <s v="|44/02/02|"/>
    <n v="1788"/>
    <n v="0.81"/>
    <n v="0.92"/>
  </r>
  <r>
    <x v="3"/>
    <s v="Hypermarkets"/>
    <x v="14"/>
    <s v="Southeastern windmill"/>
    <s v="|44/02/03|"/>
    <n v="1584"/>
    <n v="0.9"/>
    <n v="0.96"/>
  </r>
  <r>
    <x v="3"/>
    <s v="Hypermarkets"/>
    <x v="14"/>
    <s v="Southeastern windmill"/>
    <s v="|44/02/04|"/>
    <n v="1332"/>
    <n v="0.84"/>
    <n v="0.99"/>
  </r>
  <r>
    <x v="3"/>
    <s v="Hypermarkets"/>
    <x v="14"/>
    <s v="Southeastern windmill"/>
    <s v="|44/02/05|"/>
    <n v="1212"/>
    <n v="0.85"/>
    <n v="0.99"/>
  </r>
  <r>
    <x v="3"/>
    <s v="Hypermarkets"/>
    <x v="14"/>
    <s v="Southeastern windmill"/>
    <s v="|44/02/06|"/>
    <n v="2388"/>
    <n v="0.83"/>
    <n v="1"/>
  </r>
  <r>
    <x v="3"/>
    <s v="Hypermarkets"/>
    <x v="14"/>
    <s v="Southeastern windmill"/>
    <s v="|44/02/07|"/>
    <n v="2400"/>
    <n v="0.81"/>
    <n v="0.97"/>
  </r>
  <r>
    <x v="3"/>
    <s v="Hypermarkets"/>
    <x v="14"/>
    <s v="Southeastern windmill"/>
    <s v="|44/02/08|"/>
    <n v="2256"/>
    <n v="0.7"/>
    <n v="0.95"/>
  </r>
  <r>
    <x v="3"/>
    <s v="Hypermarkets"/>
    <x v="14"/>
    <s v="Southeastern windmill"/>
    <s v="|44/02/09|"/>
    <n v="1836"/>
    <n v="0.73"/>
    <n v="0.96"/>
  </r>
  <r>
    <x v="3"/>
    <s v="Hypermarkets"/>
    <x v="12"/>
    <s v="De Cecco"/>
    <s v="|22/22/01|"/>
    <n v="120"/>
    <n v="2.66"/>
    <n v="2.9733333333333332"/>
  </r>
  <r>
    <x v="3"/>
    <s v="Hypermarkets"/>
    <x v="12"/>
    <s v="De Cecco"/>
    <s v="|22/22/02|"/>
    <n v="132"/>
    <n v="2.7866666666666666"/>
    <n v="2.9333333333333331"/>
  </r>
  <r>
    <x v="3"/>
    <s v="Hypermarkets"/>
    <x v="12"/>
    <s v="De Cecco"/>
    <s v="|22/22/03|"/>
    <n v="132"/>
    <n v="2.62"/>
    <n v="2.9866666666666668"/>
  </r>
  <r>
    <x v="3"/>
    <s v="Hypermarkets"/>
    <x v="12"/>
    <s v="De Cecco"/>
    <s v="|22/22/04|"/>
    <n v="156"/>
    <n v="2.72"/>
    <n v="2.96"/>
  </r>
  <r>
    <x v="3"/>
    <s v="Hypermarkets"/>
    <x v="12"/>
    <s v="De Cecco"/>
    <s v="|22/22/05|"/>
    <n v="132"/>
    <n v="2.46"/>
    <n v="3"/>
  </r>
  <r>
    <x v="3"/>
    <s v="Hypermarkets"/>
    <x v="12"/>
    <s v="De Cecco"/>
    <s v="|22/22/06|"/>
    <n v="156"/>
    <n v="2.38"/>
    <n v="2.9733333333333332"/>
  </r>
  <r>
    <x v="3"/>
    <s v="Hypermarkets"/>
    <x v="12"/>
    <s v="De Cecco"/>
    <s v="|22/22/07|"/>
    <n v="144"/>
    <n v="2.3466666666666667"/>
    <n v="2.9133333333333336"/>
  </r>
  <r>
    <x v="3"/>
    <s v="Hypermarkets"/>
    <x v="12"/>
    <s v="De Cecco"/>
    <s v="|22/22/08|"/>
    <n v="120"/>
    <n v="2.5"/>
    <n v="2.9066666666666667"/>
  </r>
  <r>
    <x v="3"/>
    <s v="Hypermarkets"/>
    <x v="12"/>
    <s v="De Cecco"/>
    <s v="|22/22/09|"/>
    <n v="168"/>
    <n v="2.6666666666666665"/>
    <n v="2.94"/>
  </r>
  <r>
    <x v="3"/>
    <s v="Hypermarkets"/>
    <x v="12"/>
    <s v="De Cecco"/>
    <s v="|22/22/10|"/>
    <n v="144"/>
    <n v="2.6933333333333334"/>
    <n v="2.8933333333333335"/>
  </r>
  <r>
    <x v="3"/>
    <s v="Hypermarkets"/>
    <x v="12"/>
    <s v="De Cecco"/>
    <s v="|22/22/11|"/>
    <n v="120"/>
    <n v="2.42"/>
    <n v="2.9266666666666667"/>
  </r>
  <r>
    <x v="3"/>
    <s v="Hypermarkets"/>
    <x v="12"/>
    <s v="De Cecco"/>
    <s v="|22/22/12|"/>
    <n v="180"/>
    <n v="2.3066666666666666"/>
    <n v="2.9133333333333336"/>
  </r>
  <r>
    <x v="3"/>
    <s v="Hypermarkets"/>
    <x v="12"/>
    <s v="De Cecco"/>
    <s v="|22/22/13|"/>
    <n v="120"/>
    <n v="2.6266666666666665"/>
    <n v="2.9866666666666668"/>
  </r>
  <r>
    <x v="3"/>
    <s v="Hypermarkets"/>
    <x v="12"/>
    <s v="De Cecco"/>
    <s v="|22/22/14|"/>
    <n v="120"/>
    <n v="2.7866666666666666"/>
    <n v="2.9466666666666668"/>
  </r>
  <r>
    <x v="3"/>
    <s v="Hypermarkets"/>
    <x v="12"/>
    <s v="De Cecco"/>
    <s v="|22/22/15|"/>
    <n v="156"/>
    <n v="2.68"/>
    <n v="2.8866666666666667"/>
  </r>
  <r>
    <x v="3"/>
    <s v="Hypermarkets"/>
    <x v="12"/>
    <s v="De Cecco"/>
    <s v="|22/22/16|"/>
    <n v="120"/>
    <n v="2.6533333333333333"/>
    <n v="2.8666666666666667"/>
  </r>
  <r>
    <x v="3"/>
    <s v="Hypermarkets"/>
    <x v="12"/>
    <s v="De Cecco"/>
    <s v="|22/22/17|"/>
    <n v="132"/>
    <n v="2.58"/>
    <n v="2.9333333333333331"/>
  </r>
  <r>
    <x v="3"/>
    <s v="Hypermarkets"/>
    <x v="12"/>
    <s v="De Cecco"/>
    <s v="|22/22/18|"/>
    <n v="168"/>
    <n v="2.4933333333333332"/>
    <n v="3"/>
  </r>
  <r>
    <x v="3"/>
    <s v="Hypermarkets"/>
    <x v="12"/>
    <s v="De Cecco"/>
    <s v="|22/22/19|"/>
    <n v="120"/>
    <n v="2.2666666666666666"/>
    <n v="2.88"/>
  </r>
  <r>
    <x v="3"/>
    <s v="Hypermarkets"/>
    <x v="12"/>
    <s v="De Cecco"/>
    <s v="|22/22/20|"/>
    <n v="120"/>
    <n v="2.66"/>
    <n v="2.9466666666666668"/>
  </r>
  <r>
    <x v="3"/>
    <s v="Hypermarkets"/>
    <x v="12"/>
    <s v="De Cecco"/>
    <s v="|22/22/21|"/>
    <n v="156"/>
    <n v="2.7866666666666666"/>
    <n v="2.9266666666666667"/>
  </r>
  <r>
    <x v="3"/>
    <s v="Hypermarkets"/>
    <x v="12"/>
    <s v="De Cecco"/>
    <s v="|22/22/22|"/>
    <n v="180"/>
    <n v="2.3533333333333335"/>
    <n v="2.9466666666666668"/>
  </r>
  <r>
    <x v="3"/>
    <s v="Hypermarkets"/>
    <x v="12"/>
    <s v="De Cecco"/>
    <s v="|22/22/23|"/>
    <n v="156"/>
    <n v="2.4066666666666667"/>
    <n v="2.9733333333333332"/>
  </r>
  <r>
    <x v="3"/>
    <s v="Hypermarkets"/>
    <x v="12"/>
    <s v="De Cecco"/>
    <s v="|22/22/24|"/>
    <n v="132"/>
    <n v="2.6666666666666665"/>
    <n v="2.88"/>
  </r>
  <r>
    <x v="3"/>
    <s v="Hypermarkets"/>
    <x v="12"/>
    <s v="De Cecco"/>
    <s v="|22/22/25|"/>
    <n v="144"/>
    <n v="2.5"/>
    <n v="2.9466666666666668"/>
  </r>
  <r>
    <x v="3"/>
    <s v="Hypermarkets"/>
    <x v="12"/>
    <s v="De Cecco"/>
    <s v="|22/22/26|"/>
    <n v="168"/>
    <n v="2.34"/>
    <n v="2.8733333333333335"/>
  </r>
  <r>
    <x v="3"/>
    <s v="Hypermarkets"/>
    <x v="12"/>
    <s v="De Cecco"/>
    <s v="|22/22/27|"/>
    <n v="144"/>
    <n v="2.52"/>
    <n v="2.98"/>
  </r>
  <r>
    <x v="3"/>
    <s v="Hypermarkets"/>
    <x v="12"/>
    <s v="De Cecco"/>
    <s v="|22/22/28|"/>
    <n v="144"/>
    <n v="2.5866666666666664"/>
    <n v="2.9266666666666667"/>
  </r>
  <r>
    <x v="3"/>
    <s v="Hypermarkets"/>
    <x v="12"/>
    <s v="De Cecco"/>
    <s v="|22/22/29|"/>
    <n v="132"/>
    <n v="2.48"/>
    <n v="2.9333333333333331"/>
  </r>
  <r>
    <x v="3"/>
    <s v="Hypermarkets"/>
    <x v="12"/>
    <s v="De Cecco"/>
    <s v="|22/22/30|"/>
    <n v="180"/>
    <n v="2.4533333333333331"/>
    <n v="2.96"/>
  </r>
  <r>
    <x v="3"/>
    <s v="Hypermarkets"/>
    <x v="12"/>
    <s v="De Cecco"/>
    <s v="|22/22/31|"/>
    <n v="168"/>
    <n v="2.6666666666666665"/>
    <n v="2.9333333333333331"/>
  </r>
  <r>
    <x v="3"/>
    <s v="Hypermarkets"/>
    <x v="12"/>
    <s v="De Cecco"/>
    <s v="|22/22/32|"/>
    <n v="180"/>
    <n v="2.6066666666666665"/>
    <n v="3"/>
  </r>
  <r>
    <x v="3"/>
    <s v="Hypermarkets"/>
    <x v="12"/>
    <s v="De Cecco"/>
    <s v="|22/22/33|"/>
    <n v="168"/>
    <n v="2.7933333333333334"/>
    <n v="2.9066666666666667"/>
  </r>
  <r>
    <x v="3"/>
    <s v="Hypermarkets"/>
    <x v="12"/>
    <s v="De Cecco"/>
    <s v="|22/22/34|"/>
    <n v="144"/>
    <n v="2.3066666666666666"/>
    <n v="2.98"/>
  </r>
  <r>
    <x v="3"/>
    <s v="Hypermarkets"/>
    <x v="12"/>
    <s v="De Cecco"/>
    <s v="|22/22/35|"/>
    <n v="120"/>
    <n v="2.5533333333333332"/>
    <n v="2.9933333333333332"/>
  </r>
  <r>
    <x v="3"/>
    <s v="Hypermarkets"/>
    <x v="12"/>
    <s v="De Cecco"/>
    <s v="|22/22/36|"/>
    <n v="168"/>
    <n v="2.2666666666666666"/>
    <n v="2.9933333333333332"/>
  </r>
  <r>
    <x v="3"/>
    <s v="Hypermarkets"/>
    <x v="12"/>
    <s v="De Cecco"/>
    <s v="|22/22/37|"/>
    <n v="120"/>
    <n v="2.64"/>
    <n v="2.8933333333333335"/>
  </r>
  <r>
    <x v="3"/>
    <s v="Hypermarkets"/>
    <x v="12"/>
    <s v="De Cecco"/>
    <s v="|22/22/38|"/>
    <n v="168"/>
    <n v="2.4733333333333332"/>
    <n v="2.9266666666666667"/>
  </r>
  <r>
    <x v="3"/>
    <s v="Hypermarkets"/>
    <x v="12"/>
    <s v="De Cecco"/>
    <s v="|22/22/39|"/>
    <n v="168"/>
    <n v="2.5333333333333332"/>
    <n v="2.96"/>
  </r>
  <r>
    <x v="3"/>
    <s v="Hypermarkets"/>
    <x v="12"/>
    <s v="De Cecco"/>
    <s v="|22/22/40|"/>
    <n v="156"/>
    <n v="2.3133333333333335"/>
    <n v="2.9466666666666668"/>
  </r>
  <r>
    <x v="3"/>
    <s v="Hypermarkets"/>
    <x v="12"/>
    <s v="De Cecco"/>
    <s v="|22/22/41|"/>
    <n v="168"/>
    <n v="2.7133333333333334"/>
    <n v="3"/>
  </r>
  <r>
    <x v="3"/>
    <s v="Hypermarkets"/>
    <x v="12"/>
    <s v="De Cecco"/>
    <s v="|22/22/42|"/>
    <n v="132"/>
    <n v="2.56"/>
    <n v="2.9266666666666667"/>
  </r>
  <r>
    <x v="3"/>
    <s v="Hypermarkets"/>
    <x v="12"/>
    <s v="De Cecco"/>
    <s v="|22/22/43|"/>
    <n v="144"/>
    <n v="2.3199999999999998"/>
    <n v="2.9"/>
  </r>
  <r>
    <x v="3"/>
    <s v="Hypermarkets"/>
    <x v="12"/>
    <s v="De Cecco"/>
    <s v="|22/22/44|"/>
    <n v="180"/>
    <n v="2.3733333333333335"/>
    <n v="2.9533333333333331"/>
  </r>
  <r>
    <x v="3"/>
    <s v="Hypermarkets"/>
    <x v="12"/>
    <s v="De Cecco"/>
    <s v="|22/22/45|"/>
    <n v="168"/>
    <n v="2.3866666666666667"/>
    <n v="2.9533333333333331"/>
  </r>
  <r>
    <x v="3"/>
    <s v="Hypermarkets"/>
    <x v="12"/>
    <s v="De Cecco"/>
    <s v="|22/22/46|"/>
    <n v="180"/>
    <n v="2.6733333333333333"/>
    <n v="2.9"/>
  </r>
  <r>
    <x v="3"/>
    <s v="Hypermarkets"/>
    <x v="12"/>
    <s v="De Cecco"/>
    <s v="|22/22/47|"/>
    <n v="168"/>
    <n v="2.4"/>
    <n v="2.9466666666666668"/>
  </r>
  <r>
    <x v="3"/>
    <s v="Hypermarkets"/>
    <x v="12"/>
    <s v="De Cecco"/>
    <s v="|22/22/48|"/>
    <n v="132"/>
    <n v="2.2799999999999998"/>
    <n v="2.9666666666666668"/>
  </r>
  <r>
    <x v="3"/>
    <s v="Hypermarkets"/>
    <x v="12"/>
    <s v="De Cecco"/>
    <s v="|22/22/49|"/>
    <n v="144"/>
    <n v="2.7666666666666666"/>
    <n v="2.96"/>
  </r>
  <r>
    <x v="3"/>
    <s v="Hypermarkets"/>
    <x v="12"/>
    <s v="De Cecco"/>
    <s v="|22/22/50|"/>
    <n v="156"/>
    <n v="2.52"/>
    <n v="2.92"/>
  </r>
  <r>
    <x v="3"/>
    <s v="Hypermarkets"/>
    <x v="12"/>
    <s v="De Cecco"/>
    <s v="|22/22/51|"/>
    <n v="120"/>
    <n v="2.4666666666666668"/>
    <n v="2.9333333333333331"/>
  </r>
  <r>
    <x v="3"/>
    <s v="Hypermarkets"/>
    <x v="12"/>
    <s v="De Cecco"/>
    <s v="|22/22/52|"/>
    <n v="168"/>
    <n v="2.7733333333333334"/>
    <n v="3"/>
  </r>
  <r>
    <x v="3"/>
    <s v="Hypermarkets"/>
    <x v="12"/>
    <s v="De Cecco"/>
    <s v="|22/22/53|"/>
    <n v="132"/>
    <n v="2.72"/>
    <n v="2.98"/>
  </r>
  <r>
    <x v="3"/>
    <s v="Hypermarkets"/>
    <x v="12"/>
    <s v="De Cecco"/>
    <s v="|22/22/54|"/>
    <n v="156"/>
    <n v="2.5133333333333332"/>
    <n v="2.9133333333333336"/>
  </r>
  <r>
    <x v="3"/>
    <s v="Hypermarkets"/>
    <x v="12"/>
    <s v="De Cecco"/>
    <s v="|22/22/55|"/>
    <n v="144"/>
    <n v="2.3866666666666667"/>
    <n v="2.9666666666666668"/>
  </r>
  <r>
    <x v="3"/>
    <s v="Hypermarkets"/>
    <x v="12"/>
    <s v="De Cecco"/>
    <s v="|22/22/56|"/>
    <n v="180"/>
    <n v="2.7266666666666666"/>
    <n v="2.9"/>
  </r>
  <r>
    <x v="3"/>
    <s v="Hypermarkets"/>
    <x v="12"/>
    <s v="De Cecco"/>
    <s v="|22/22/57|"/>
    <n v="180"/>
    <n v="2.46"/>
    <n v="2.8733333333333335"/>
  </r>
  <r>
    <x v="3"/>
    <s v="Hypermarkets"/>
    <x v="12"/>
    <s v="De Cecco"/>
    <s v="|22/22/61|"/>
    <n v="120"/>
    <n v="2.6333333333333333"/>
    <n v="2.8866666666666667"/>
  </r>
  <r>
    <x v="3"/>
    <s v="Hypermarkets"/>
    <x v="12"/>
    <s v="De Cecco"/>
    <s v="|22/22/62|"/>
    <n v="180"/>
    <n v="2.5333333333333332"/>
    <n v="2.98"/>
  </r>
  <r>
    <x v="3"/>
    <s v="Hypermarkets"/>
    <x v="12"/>
    <s v="De Cecco"/>
    <s v="|22/22/63|"/>
    <n v="180"/>
    <n v="2.6733333333333333"/>
    <n v="2.9933333333333332"/>
  </r>
  <r>
    <x v="3"/>
    <s v="Hypermarkets"/>
    <x v="12"/>
    <s v="De Cecco"/>
    <s v="|22/22/64|"/>
    <n v="156"/>
    <n v="2.7133333333333334"/>
    <n v="2.8666666666666667"/>
  </r>
  <r>
    <x v="3"/>
    <s v="Hypermarkets"/>
    <x v="12"/>
    <s v="De Cecco"/>
    <s v="|22/22/65|"/>
    <n v="180"/>
    <n v="2.6933333333333334"/>
    <n v="2.9333333333333331"/>
  </r>
  <r>
    <x v="3"/>
    <s v="Hypermarkets"/>
    <x v="12"/>
    <s v="De Cecco"/>
    <s v="|22/22/66|"/>
    <n v="132"/>
    <n v="2.46"/>
    <n v="2.8866666666666667"/>
  </r>
  <r>
    <x v="3"/>
    <s v="Hypermarkets"/>
    <x v="12"/>
    <s v="De Cecco"/>
    <s v="|22/22/67|"/>
    <n v="168"/>
    <n v="2.8"/>
    <n v="2.98"/>
  </r>
  <r>
    <x v="3"/>
    <s v="Hypermarkets"/>
    <x v="12"/>
    <s v="De Cecco"/>
    <s v="|22/22/68|"/>
    <n v="132"/>
    <n v="2.3333333333333335"/>
    <n v="2.9933333333333332"/>
  </r>
  <r>
    <x v="3"/>
    <s v="Hypermarkets"/>
    <x v="12"/>
    <s v="De Cecco"/>
    <s v="|22/22/69|"/>
    <n v="168"/>
    <n v="2.3666666666666667"/>
    <n v="2.9666666666666668"/>
  </r>
  <r>
    <x v="3"/>
    <s v="Hypermarkets"/>
    <x v="12"/>
    <s v="De Cecco"/>
    <s v="|22/22/70|"/>
    <n v="144"/>
    <n v="2.3133333333333335"/>
    <n v="2.8933333333333335"/>
  </r>
  <r>
    <x v="3"/>
    <s v="Hypermarkets"/>
    <x v="13"/>
    <s v="Garofalo"/>
    <s v="|110/00/00|"/>
    <n v="492"/>
    <n v="2.41"/>
    <n v="3.55"/>
  </r>
  <r>
    <x v="3"/>
    <s v="Hypermarkets"/>
    <x v="13"/>
    <s v="Garofalo"/>
    <s v="|110/00/01|"/>
    <n v="468"/>
    <n v="2.59"/>
    <n v="3.42"/>
  </r>
  <r>
    <x v="3"/>
    <s v="Hypermarkets"/>
    <x v="13"/>
    <s v="Garofalo"/>
    <s v="|110/00/02|"/>
    <n v="564"/>
    <n v="2.41"/>
    <n v="3.67"/>
  </r>
  <r>
    <x v="3"/>
    <s v="Hypermarkets"/>
    <x v="13"/>
    <s v="Garofalo"/>
    <s v="|110/00/03|"/>
    <n v="252"/>
    <n v="2"/>
    <n v="3.25"/>
  </r>
  <r>
    <x v="3"/>
    <s v="Hypermarkets"/>
    <x v="13"/>
    <s v="Garofalo"/>
    <s v="|110/00/04|"/>
    <n v="384"/>
    <n v="2.72"/>
    <n v="3.23"/>
  </r>
  <r>
    <x v="3"/>
    <s v="Hypermarkets"/>
    <x v="13"/>
    <s v="Garofalo"/>
    <s v="|110/00/05|"/>
    <n v="468"/>
    <n v="2.73"/>
    <n v="3.12"/>
  </r>
  <r>
    <x v="3"/>
    <s v="Hypermarkets"/>
    <x v="13"/>
    <s v="Garofalo"/>
    <s v="|110/00/06|"/>
    <n v="216"/>
    <n v="2.0699999999999998"/>
    <n v="3.7"/>
  </r>
  <r>
    <x v="3"/>
    <s v="Hypermarkets"/>
    <x v="13"/>
    <s v="Garofalo"/>
    <s v="|110/00/07|"/>
    <n v="144"/>
    <n v="2.2400000000000002"/>
    <n v="3.55"/>
  </r>
  <r>
    <x v="3"/>
    <s v="Hypermarkets"/>
    <x v="13"/>
    <s v="Garofalo"/>
    <s v="|110/00/08|"/>
    <n v="588"/>
    <n v="2.21"/>
    <n v="3.39"/>
  </r>
  <r>
    <x v="3"/>
    <s v="Hypermarkets"/>
    <x v="13"/>
    <s v="Garofalo"/>
    <s v="|110/00/09|"/>
    <n v="324"/>
    <n v="2.17"/>
    <n v="3.43"/>
  </r>
  <r>
    <x v="3"/>
    <s v="Hypermarkets"/>
    <x v="13"/>
    <s v="Garofalo"/>
    <s v="|110/00/10|"/>
    <n v="264"/>
    <n v="2.46"/>
    <n v="3.45"/>
  </r>
  <r>
    <x v="3"/>
    <s v="Hypermarkets"/>
    <x v="13"/>
    <s v="Garofalo"/>
    <s v="|110/00/11|"/>
    <n v="372"/>
    <n v="2.4700000000000002"/>
    <n v="3.57"/>
  </r>
  <r>
    <x v="3"/>
    <s v="Hypermarkets"/>
    <x v="13"/>
    <s v="Garofalo"/>
    <s v="|110/00/13|"/>
    <n v="600"/>
    <n v="2.5"/>
    <n v="3.35"/>
  </r>
  <r>
    <x v="3"/>
    <s v="Hypermarkets"/>
    <x v="13"/>
    <s v="Garofalo"/>
    <s v="|110/00/14|"/>
    <n v="288"/>
    <n v="2.74"/>
    <n v="3"/>
  </r>
  <r>
    <x v="3"/>
    <s v="Hypermarkets"/>
    <x v="13"/>
    <s v="Garofalo"/>
    <s v="|110/00/15|"/>
    <n v="588"/>
    <n v="2.73"/>
    <n v="3.75"/>
  </r>
  <r>
    <x v="3"/>
    <s v="Hypermarkets"/>
    <x v="13"/>
    <s v="Garofalo"/>
    <s v="|110/00/17|"/>
    <n v="516"/>
    <n v="2.72"/>
    <n v="3.49"/>
  </r>
  <r>
    <x v="3"/>
    <s v="Hypermarkets"/>
    <x v="13"/>
    <s v="Garofalo"/>
    <s v="|110/00/18|"/>
    <n v="192"/>
    <n v="2.13"/>
    <n v="3.58"/>
  </r>
  <r>
    <x v="3"/>
    <s v="Hypermarkets"/>
    <x v="13"/>
    <s v="Garofalo"/>
    <s v="|110/00/19|"/>
    <n v="216"/>
    <n v="2.58"/>
    <n v="3.37"/>
  </r>
  <r>
    <x v="3"/>
    <s v="Hypermarkets"/>
    <x v="13"/>
    <s v="President"/>
    <s v="|75/01/01|"/>
    <n v="348"/>
    <n v="2.04"/>
    <n v="3.04"/>
  </r>
  <r>
    <x v="3"/>
    <s v="Hypermarkets"/>
    <x v="13"/>
    <s v="President"/>
    <s v="|75/01/02|"/>
    <n v="276"/>
    <n v="2.4"/>
    <n v="3.34"/>
  </r>
  <r>
    <x v="3"/>
    <s v="Hypermarkets"/>
    <x v="13"/>
    <s v="President"/>
    <s v="|75/01/03|"/>
    <n v="504"/>
    <n v="2.5499999999999998"/>
    <n v="3.5"/>
  </r>
  <r>
    <x v="3"/>
    <s v="Hypermarkets"/>
    <x v="13"/>
    <s v="President"/>
    <s v="|75/01/04|"/>
    <n v="504"/>
    <n v="2.8"/>
    <n v="3.16"/>
  </r>
  <r>
    <x v="3"/>
    <s v="Hypermarkets"/>
    <x v="13"/>
    <s v="President"/>
    <s v="|75/01/05|"/>
    <n v="252"/>
    <n v="2.2200000000000002"/>
    <n v="3.64"/>
  </r>
  <r>
    <x v="3"/>
    <s v="Hypermarkets"/>
    <x v="13"/>
    <s v="President"/>
    <s v="|75/01/06|"/>
    <n v="192"/>
    <n v="2.14"/>
    <n v="3.73"/>
  </r>
  <r>
    <x v="3"/>
    <s v="Hypermarkets"/>
    <x v="13"/>
    <s v="President"/>
    <s v="|75/01/07|"/>
    <n v="300"/>
    <n v="2.2200000000000002"/>
    <n v="3.31"/>
  </r>
  <r>
    <x v="3"/>
    <s v="Hypermarkets"/>
    <x v="13"/>
    <s v="President"/>
    <s v="|75/01/08|"/>
    <n v="372"/>
    <n v="2.11"/>
    <n v="3.63"/>
  </r>
  <r>
    <x v="3"/>
    <s v="Hypermarkets"/>
    <x v="13"/>
    <s v="President"/>
    <s v="|75/01/09|"/>
    <n v="372"/>
    <n v="2.69"/>
    <n v="3.54"/>
  </r>
  <r>
    <x v="3"/>
    <s v="Hypermarkets"/>
    <x v="13"/>
    <s v="President"/>
    <s v="|75/01/10|"/>
    <n v="540"/>
    <n v="2.1800000000000002"/>
    <n v="3.69"/>
  </r>
  <r>
    <x v="3"/>
    <s v="Hypermarkets"/>
    <x v="13"/>
    <s v="President"/>
    <s v="|75/01/11|"/>
    <n v="288"/>
    <n v="2.44"/>
    <n v="3.1"/>
  </r>
  <r>
    <x v="3"/>
    <s v="Hypermarkets"/>
    <x v="13"/>
    <s v="President"/>
    <s v="|75/01/12|"/>
    <n v="540"/>
    <n v="2.11"/>
    <n v="3.05"/>
  </r>
  <r>
    <x v="3"/>
    <s v="Convenience stores"/>
    <x v="2"/>
    <s v="Nestle'"/>
    <s v="|65/01/01|"/>
    <n v="4944"/>
    <n v="1.01"/>
    <n v="1.1000000000000001"/>
  </r>
  <r>
    <x v="3"/>
    <s v="Convenience stores"/>
    <x v="2"/>
    <s v="Nestle'"/>
    <s v="|65/01/02|"/>
    <n v="6204"/>
    <n v="0.49"/>
    <n v="1.07"/>
  </r>
  <r>
    <x v="3"/>
    <s v="Convenience stores"/>
    <x v="2"/>
    <s v="Nestle'"/>
    <s v="|65/01/03|"/>
    <n v="9480"/>
    <n v="0.97"/>
    <n v="0.92"/>
  </r>
  <r>
    <x v="3"/>
    <s v="Convenience stores"/>
    <x v="2"/>
    <s v="Nestle'"/>
    <s v="|65/01/04|"/>
    <n v="8604"/>
    <n v="1.1399999999999999"/>
    <n v="1.01"/>
  </r>
  <r>
    <x v="3"/>
    <s v="Convenience stores"/>
    <x v="2"/>
    <s v="Nestle'"/>
    <s v="|65/01/05|"/>
    <n v="8436"/>
    <n v="0.56000000000000005"/>
    <n v="0.94"/>
  </r>
  <r>
    <x v="3"/>
    <s v="Convenience stores"/>
    <x v="2"/>
    <s v="Nestle'"/>
    <s v="|65/01/06|"/>
    <n v="6612"/>
    <n v="1.1000000000000001"/>
    <n v="0.94"/>
  </r>
  <r>
    <x v="3"/>
    <s v="Convenience stores"/>
    <x v="2"/>
    <s v="Nestle'"/>
    <s v="|65/01/07|"/>
    <n v="6996"/>
    <n v="0.57999999999999996"/>
    <n v="0.92"/>
  </r>
  <r>
    <x v="3"/>
    <s v="Convenience stores"/>
    <x v="2"/>
    <s v="Nestle'"/>
    <s v="|65/01/08|"/>
    <n v="9132"/>
    <n v="0.7"/>
    <n v="1.19"/>
  </r>
  <r>
    <x v="3"/>
    <s v="Convenience stores"/>
    <x v="2"/>
    <s v="Nestle'"/>
    <s v="|65/01/09|"/>
    <n v="7704"/>
    <n v="0.44"/>
    <n v="1.0900000000000001"/>
  </r>
  <r>
    <x v="3"/>
    <s v="Convenience stores"/>
    <x v="2"/>
    <s v="Nestle'"/>
    <s v="|65/01/10|"/>
    <n v="5112"/>
    <n v="1.01"/>
    <n v="0.93"/>
  </r>
  <r>
    <x v="3"/>
    <s v="Convenience stores"/>
    <x v="2"/>
    <s v="Nestle'"/>
    <s v="|65/01/11|"/>
    <n v="5244"/>
    <n v="1.04"/>
    <n v="0.92"/>
  </r>
  <r>
    <x v="3"/>
    <s v="Convenience stores"/>
    <x v="3"/>
    <s v="Nestle'"/>
    <s v="|65/02/01|"/>
    <n v="216"/>
    <n v="1.0900000000000001"/>
    <n v="1.32"/>
  </r>
  <r>
    <x v="3"/>
    <s v="Convenience stores"/>
    <x v="5"/>
    <s v="Corny"/>
    <s v="|109/01/01|"/>
    <n v="1260"/>
    <n v="1.19"/>
    <n v="1.72"/>
  </r>
  <r>
    <x v="3"/>
    <s v="Convenience stores"/>
    <x v="5"/>
    <s v="Corny"/>
    <s v="|109/01/02|"/>
    <n v="816"/>
    <n v="1.38"/>
    <n v="1.9"/>
  </r>
  <r>
    <x v="3"/>
    <s v="Convenience stores"/>
    <x v="5"/>
    <s v="Corny"/>
    <s v="|109/01/03|"/>
    <n v="840"/>
    <n v="1.1399999999999999"/>
    <n v="1.61"/>
  </r>
  <r>
    <x v="3"/>
    <s v="Convenience stores"/>
    <x v="5"/>
    <s v="Corny"/>
    <s v="|109/01/04|"/>
    <n v="1056"/>
    <n v="1.18"/>
    <n v="1.69"/>
  </r>
  <r>
    <x v="3"/>
    <s v="Convenience stores"/>
    <x v="5"/>
    <s v="Corny"/>
    <s v="|109/01/05|"/>
    <n v="696"/>
    <n v="1.26"/>
    <n v="1.78"/>
  </r>
  <r>
    <x v="3"/>
    <s v="Convenience stores"/>
    <x v="7"/>
    <s v="Grekomila"/>
    <s v="|85/01/01|"/>
    <n v="1008"/>
    <n v="2.99"/>
    <n v="3.3"/>
  </r>
  <r>
    <x v="3"/>
    <s v="Convenience stores"/>
    <x v="7"/>
    <s v="Grekomila"/>
    <s v="|85/01/02|"/>
    <n v="696"/>
    <n v="2.68"/>
    <n v="3.83"/>
  </r>
  <r>
    <x v="3"/>
    <s v="Convenience stores"/>
    <x v="7"/>
    <s v="Grekomila"/>
    <s v="|85/01/03|"/>
    <n v="600"/>
    <n v="2.92"/>
    <n v="3.26"/>
  </r>
  <r>
    <x v="3"/>
    <s v="Convenience stores"/>
    <x v="7"/>
    <s v="Grekomila"/>
    <s v="|85/01/04|"/>
    <n v="720"/>
    <n v="2.71"/>
    <n v="3.2"/>
  </r>
  <r>
    <x v="3"/>
    <s v="Convenience stores"/>
    <x v="7"/>
    <s v="Grekomila"/>
    <s v="|85/01/05|"/>
    <n v="1092"/>
    <n v="2.02"/>
    <n v="3.33"/>
  </r>
  <r>
    <x v="3"/>
    <s v="Convenience stores"/>
    <x v="7"/>
    <s v="Grekomila"/>
    <s v="|85/01/06|"/>
    <n v="1200"/>
    <n v="2.4"/>
    <n v="3.31"/>
  </r>
  <r>
    <x v="3"/>
    <s v="Convenience stores"/>
    <x v="7"/>
    <s v="Grekomila"/>
    <s v="|85/01/07|"/>
    <n v="888"/>
    <n v="2.69"/>
    <n v="3.45"/>
  </r>
  <r>
    <x v="3"/>
    <s v="Convenience stores"/>
    <x v="7"/>
    <s v="Grekomila"/>
    <s v="|85/01/08|"/>
    <n v="684"/>
    <n v="2.42"/>
    <n v="3.52"/>
  </r>
  <r>
    <x v="3"/>
    <s v="Convenience stores"/>
    <x v="7"/>
    <s v="Grekomila"/>
    <s v="|85/01/09|"/>
    <n v="660"/>
    <n v="2.23"/>
    <n v="3.52"/>
  </r>
  <r>
    <x v="3"/>
    <s v="Convenience stores"/>
    <x v="7"/>
    <s v="Grekomila"/>
    <s v="|85/01/10|"/>
    <n v="1068"/>
    <n v="2.0299999999999998"/>
    <n v="3.92"/>
  </r>
  <r>
    <x v="3"/>
    <s v="Convenience stores"/>
    <x v="7"/>
    <s v="Grekomila"/>
    <s v="|85/01/11|"/>
    <n v="732"/>
    <n v="2.61"/>
    <n v="3.69"/>
  </r>
  <r>
    <x v="3"/>
    <s v="Convenience stores"/>
    <x v="7"/>
    <s v="Grekomila"/>
    <s v="|85/01/12|"/>
    <n v="816"/>
    <n v="2.4900000000000002"/>
    <n v="3.44"/>
  </r>
  <r>
    <x v="3"/>
    <s v="Convenience stores"/>
    <x v="7"/>
    <s v="Grekomila"/>
    <s v="|85/01/13|"/>
    <n v="828"/>
    <n v="2.5099999999999998"/>
    <n v="3.64"/>
  </r>
  <r>
    <x v="3"/>
    <s v="Convenience stores"/>
    <x v="7"/>
    <s v="Grekomila"/>
    <s v="|85/01/14|"/>
    <n v="1020"/>
    <n v="2.5"/>
    <n v="3.22"/>
  </r>
  <r>
    <x v="3"/>
    <s v="Convenience stores"/>
    <x v="7"/>
    <s v="Grekomila"/>
    <s v="|85/01/15|"/>
    <n v="720"/>
    <n v="2.2400000000000002"/>
    <n v="3.8"/>
  </r>
  <r>
    <x v="3"/>
    <s v="Convenience stores"/>
    <x v="7"/>
    <s v="Grekomila"/>
    <s v="|85/01/16|"/>
    <n v="720"/>
    <n v="2.85"/>
    <n v="3.53"/>
  </r>
  <r>
    <x v="3"/>
    <s v="Convenience stores"/>
    <x v="7"/>
    <s v="Grekomila"/>
    <s v="|85/02/01|"/>
    <n v="768"/>
    <n v="2.09"/>
    <n v="4"/>
  </r>
  <r>
    <x v="3"/>
    <s v="Convenience stores"/>
    <x v="7"/>
    <s v="Grekomila"/>
    <s v="|85/02/02|"/>
    <n v="960"/>
    <n v="2.27"/>
    <n v="3.91"/>
  </r>
  <r>
    <x v="3"/>
    <s v="Convenience stores"/>
    <x v="7"/>
    <s v="Grekomila"/>
    <s v="|85/03/01|"/>
    <n v="840"/>
    <n v="2.67"/>
    <n v="3.84"/>
  </r>
  <r>
    <x v="3"/>
    <s v="Convenience stores"/>
    <x v="7"/>
    <s v="Grekomila"/>
    <s v="|85/03/02|"/>
    <n v="1164"/>
    <n v="2.36"/>
    <n v="3.57"/>
  </r>
  <r>
    <x v="3"/>
    <s v="Convenience stores"/>
    <x v="7"/>
    <s v="Grekomila"/>
    <s v="|85/03/03|"/>
    <n v="996"/>
    <n v="2.83"/>
    <n v="3.51"/>
  </r>
  <r>
    <x v="3"/>
    <s v="Convenience stores"/>
    <x v="7"/>
    <s v="Grekomila"/>
    <s v="|85/03/04|"/>
    <n v="1056"/>
    <n v="2.79"/>
    <n v="3.74"/>
  </r>
  <r>
    <x v="3"/>
    <s v="Convenience stores"/>
    <x v="7"/>
    <s v="Grekomila"/>
    <s v="|85/03/05|"/>
    <n v="624"/>
    <n v="2.96"/>
    <n v="3.38"/>
  </r>
  <r>
    <x v="3"/>
    <s v="Convenience stores"/>
    <x v="7"/>
    <s v="Grekomila"/>
    <s v="|85/03/06|"/>
    <n v="720"/>
    <n v="2.79"/>
    <n v="3.76"/>
  </r>
  <r>
    <x v="3"/>
    <s v="Convenience stores"/>
    <x v="7"/>
    <s v="Grekomila"/>
    <s v="|85/03/07|"/>
    <n v="756"/>
    <n v="2.5299999999999998"/>
    <n v="3.95"/>
  </r>
  <r>
    <x v="3"/>
    <s v="Convenience stores"/>
    <x v="7"/>
    <s v="Grekomila"/>
    <s v="|85/03/08|"/>
    <n v="984"/>
    <n v="2.77"/>
    <n v="3.28"/>
  </r>
  <r>
    <x v="3"/>
    <s v="Convenience stores"/>
    <x v="7"/>
    <s v="Grekomila"/>
    <s v="|85/03/09|"/>
    <n v="684"/>
    <n v="2.1"/>
    <n v="3.99"/>
  </r>
  <r>
    <x v="3"/>
    <s v="Convenience stores"/>
    <x v="7"/>
    <s v="Grekomila"/>
    <s v="|85/03/10|"/>
    <n v="1008"/>
    <n v="2.7"/>
    <n v="3.42"/>
  </r>
  <r>
    <x v="3"/>
    <s v="Convenience stores"/>
    <x v="7"/>
    <s v="Grekomila"/>
    <s v="|85/03/11|"/>
    <n v="1116"/>
    <n v="2.34"/>
    <n v="3.75"/>
  </r>
  <r>
    <x v="3"/>
    <s v="Convenience stores"/>
    <x v="7"/>
    <s v="Grekomila"/>
    <s v="|85/03/12|"/>
    <n v="672"/>
    <n v="2.62"/>
    <n v="3.56"/>
  </r>
  <r>
    <x v="3"/>
    <s v="Convenience stores"/>
    <x v="7"/>
    <s v="Grekomila"/>
    <s v="|85/03/13|"/>
    <n v="756"/>
    <n v="2.87"/>
    <n v="3.67"/>
  </r>
  <r>
    <x v="3"/>
    <s v="Convenience stores"/>
    <x v="7"/>
    <s v="Grekomila"/>
    <s v="|85/03/14|"/>
    <n v="936"/>
    <n v="2.1"/>
    <n v="3.79"/>
  </r>
  <r>
    <x v="3"/>
    <s v="Convenience stores"/>
    <x v="7"/>
    <s v="Grekomila"/>
    <s v="|85/03/15|"/>
    <n v="1092"/>
    <n v="2.4300000000000002"/>
    <n v="3.86"/>
  </r>
  <r>
    <x v="3"/>
    <s v="Convenience stores"/>
    <x v="7"/>
    <s v="Grekomila"/>
    <s v="|85/04/01|"/>
    <n v="960"/>
    <n v="2.63"/>
    <n v="3.44"/>
  </r>
  <r>
    <x v="3"/>
    <s v="Convenience stores"/>
    <x v="7"/>
    <s v="Grekomila"/>
    <s v="|85/04/02|"/>
    <n v="744"/>
    <n v="2.77"/>
    <n v="3.34"/>
  </r>
  <r>
    <x v="3"/>
    <s v="Convenience stores"/>
    <x v="7"/>
    <s v="Grekomila"/>
    <s v="|85/04/03|"/>
    <n v="948"/>
    <n v="2.58"/>
    <n v="3.9"/>
  </r>
  <r>
    <x v="3"/>
    <s v="Convenience stores"/>
    <x v="7"/>
    <s v="Grekomila"/>
    <s v="|85/04/04|"/>
    <n v="1200"/>
    <n v="2.5"/>
    <n v="3.45"/>
  </r>
  <r>
    <x v="3"/>
    <s v="Convenience stores"/>
    <x v="7"/>
    <s v="Grekomila"/>
    <s v="|85/04/05|"/>
    <n v="660"/>
    <n v="2.94"/>
    <n v="3.5"/>
  </r>
  <r>
    <x v="3"/>
    <s v="Convenience stores"/>
    <x v="7"/>
    <s v="Grekomila"/>
    <s v="|85/04/06|"/>
    <n v="924"/>
    <n v="2.69"/>
    <n v="3.63"/>
  </r>
  <r>
    <x v="3"/>
    <s v="Convenience stores"/>
    <x v="7"/>
    <s v="Grekomila"/>
    <s v="|85/04/07|"/>
    <n v="600"/>
    <n v="2.27"/>
    <n v="3.6"/>
  </r>
  <r>
    <x v="3"/>
    <s v="Convenience stores"/>
    <x v="7"/>
    <s v="Grekomila"/>
    <s v="|85/04/08|"/>
    <n v="612"/>
    <n v="2.92"/>
    <n v="3.34"/>
  </r>
  <r>
    <x v="3"/>
    <s v="Convenience stores"/>
    <x v="7"/>
    <s v="Grekomila"/>
    <s v="|85/04/09|"/>
    <n v="792"/>
    <n v="2.95"/>
    <n v="3.57"/>
  </r>
  <r>
    <x v="3"/>
    <s v="Convenience stores"/>
    <x v="7"/>
    <s v="Grekomila"/>
    <s v="|85/04/10|"/>
    <n v="888"/>
    <n v="2.9"/>
    <n v="3.61"/>
  </r>
  <r>
    <x v="3"/>
    <s v="Convenience stores"/>
    <x v="7"/>
    <s v="Grekomila"/>
    <s v="|85/04/11|"/>
    <n v="684"/>
    <n v="2.37"/>
    <n v="3.69"/>
  </r>
  <r>
    <x v="3"/>
    <s v="Convenience stores"/>
    <x v="7"/>
    <s v="Grekomila"/>
    <s v="|85/04/12|"/>
    <n v="1128"/>
    <n v="2.33"/>
    <n v="3.69"/>
  </r>
  <r>
    <x v="3"/>
    <s v="Convenience stores"/>
    <x v="7"/>
    <s v="Grekomila"/>
    <s v="|85/04/13|"/>
    <n v="1152"/>
    <n v="2.4300000000000002"/>
    <n v="3.94"/>
  </r>
  <r>
    <x v="3"/>
    <s v="Convenience stores"/>
    <x v="7"/>
    <s v="Grekomila"/>
    <s v="|85/04/14|"/>
    <n v="972"/>
    <n v="2.91"/>
    <n v="3.96"/>
  </r>
  <r>
    <x v="3"/>
    <s v="Convenience stores"/>
    <x v="7"/>
    <s v="Grekomila"/>
    <s v="|85/04/15|"/>
    <n v="624"/>
    <n v="2.92"/>
    <n v="3.26"/>
  </r>
  <r>
    <x v="3"/>
    <s v="Convenience stores"/>
    <x v="7"/>
    <s v="Grekomila"/>
    <s v="|85/04/16|"/>
    <n v="912"/>
    <n v="2.1800000000000002"/>
    <n v="3.4"/>
  </r>
  <r>
    <x v="3"/>
    <s v="Convenience stores"/>
    <x v="7"/>
    <s v="Grekomila"/>
    <s v="|85/04/17|"/>
    <n v="852"/>
    <n v="2.81"/>
    <n v="3.85"/>
  </r>
  <r>
    <x v="3"/>
    <s v="Convenience stores"/>
    <x v="7"/>
    <s v="Grekomila"/>
    <s v="|85/04/18|"/>
    <n v="912"/>
    <n v="2.5"/>
    <n v="3.28"/>
  </r>
  <r>
    <x v="3"/>
    <s v="Convenience stores"/>
    <x v="7"/>
    <s v="Grekomila"/>
    <s v="|85/05/01|"/>
    <n v="888"/>
    <n v="2.56"/>
    <n v="3.36"/>
  </r>
  <r>
    <x v="3"/>
    <s v="Convenience stores"/>
    <x v="7"/>
    <s v="Grekomila"/>
    <s v="|85/05/02|"/>
    <n v="792"/>
    <n v="2.64"/>
    <n v="3.43"/>
  </r>
  <r>
    <x v="3"/>
    <s v="Convenience stores"/>
    <x v="7"/>
    <s v="Grekomila"/>
    <s v="|85/05/03|"/>
    <n v="720"/>
    <n v="2.67"/>
    <n v="3.73"/>
  </r>
  <r>
    <x v="3"/>
    <s v="Convenience stores"/>
    <x v="7"/>
    <s v="Grekomila"/>
    <s v="|85/05/04|"/>
    <n v="768"/>
    <n v="2.84"/>
    <n v="3.47"/>
  </r>
  <r>
    <x v="3"/>
    <s v="Convenience stores"/>
    <x v="7"/>
    <s v="Grekomila"/>
    <s v="|85/06/01|"/>
    <n v="636"/>
    <n v="2.64"/>
    <n v="3.88"/>
  </r>
  <r>
    <x v="3"/>
    <s v="Convenience stores"/>
    <x v="7"/>
    <s v="Grekomila"/>
    <s v="|85/06/02|"/>
    <n v="852"/>
    <n v="3"/>
    <n v="3.71"/>
  </r>
  <r>
    <x v="3"/>
    <s v="Convenience stores"/>
    <x v="7"/>
    <s v="Grekomila"/>
    <s v="|85/06/03|"/>
    <n v="804"/>
    <n v="2.71"/>
    <n v="3.26"/>
  </r>
  <r>
    <x v="3"/>
    <s v="Convenience stores"/>
    <x v="7"/>
    <s v="Grekomila"/>
    <s v="|85/06/04|"/>
    <n v="636"/>
    <n v="2.8"/>
    <n v="3.35"/>
  </r>
  <r>
    <x v="3"/>
    <s v="Convenience stores"/>
    <x v="7"/>
    <s v="Grekomila"/>
    <s v="|85/06/05|"/>
    <n v="672"/>
    <n v="2"/>
    <n v="3.45"/>
  </r>
  <r>
    <x v="3"/>
    <s v="Convenience stores"/>
    <x v="7"/>
    <s v="Grekomila"/>
    <s v="|85/06/06|"/>
    <n v="1116"/>
    <n v="2.76"/>
    <n v="3.6"/>
  </r>
  <r>
    <x v="3"/>
    <s v="Convenience stores"/>
    <x v="7"/>
    <s v="Grekomila"/>
    <s v="|85/06/07|"/>
    <n v="996"/>
    <n v="2.5099999999999998"/>
    <n v="3.83"/>
  </r>
  <r>
    <x v="3"/>
    <s v="Convenience stores"/>
    <x v="7"/>
    <s v="Grekomila"/>
    <s v="|85/07/01|"/>
    <n v="708"/>
    <n v="2.31"/>
    <n v="3.32"/>
  </r>
  <r>
    <x v="3"/>
    <s v="Convenience stores"/>
    <x v="9"/>
    <s v="Cif"/>
    <s v="|111/00/00|"/>
    <n v="624"/>
    <n v="1.92"/>
    <n v="2.34"/>
  </r>
  <r>
    <x v="3"/>
    <s v="Convenience stores"/>
    <x v="9"/>
    <s v="Cif"/>
    <s v="|111/00/01|"/>
    <n v="504"/>
    <n v="2.23"/>
    <n v="2.2200000000000002"/>
  </r>
  <r>
    <x v="3"/>
    <s v="Convenience stores"/>
    <x v="9"/>
    <s v="Cif"/>
    <s v="|111/00/02|"/>
    <n v="588"/>
    <n v="2.16"/>
    <n v="2.5299999999999998"/>
  </r>
  <r>
    <x v="3"/>
    <s v="Convenience stores"/>
    <x v="9"/>
    <s v="Cif"/>
    <s v="|111/00/03|"/>
    <n v="540"/>
    <n v="1.32"/>
    <n v="3.16"/>
  </r>
  <r>
    <x v="3"/>
    <s v="Convenience stores"/>
    <x v="6"/>
    <s v="Mars"/>
    <s v="|66/01/01|"/>
    <n v="2448"/>
    <n v="2.69"/>
    <n v="3.86"/>
  </r>
  <r>
    <x v="3"/>
    <s v="Convenience stores"/>
    <x v="6"/>
    <s v="Mars"/>
    <s v="|66/01/02|"/>
    <n v="2712"/>
    <n v="2.5"/>
    <n v="3.73"/>
  </r>
  <r>
    <x v="3"/>
    <s v="Convenience stores"/>
    <x v="6"/>
    <s v="Mars"/>
    <s v="|66/01/03|"/>
    <n v="1452"/>
    <n v="2.33"/>
    <n v="3.69"/>
  </r>
  <r>
    <x v="3"/>
    <s v="Convenience stores"/>
    <x v="6"/>
    <s v="Mars"/>
    <s v="|66/01/04|"/>
    <n v="1992"/>
    <n v="2.96"/>
    <n v="3.97"/>
  </r>
  <r>
    <x v="3"/>
    <s v="Convenience stores"/>
    <x v="6"/>
    <s v="Mars"/>
    <s v="|66/01/05|"/>
    <n v="1272"/>
    <n v="2.48"/>
    <n v="3.63"/>
  </r>
  <r>
    <x v="3"/>
    <s v="Convenience stores"/>
    <x v="6"/>
    <s v="Mars"/>
    <s v="|66/01/06|"/>
    <n v="2196"/>
    <n v="2.8"/>
    <n v="3.63"/>
  </r>
  <r>
    <x v="3"/>
    <s v="Convenience stores"/>
    <x v="6"/>
    <s v="Mars"/>
    <s v="|66/02/01|"/>
    <n v="2568"/>
    <n v="2.39"/>
    <n v="3.71"/>
  </r>
  <r>
    <x v="3"/>
    <s v="Convenience stores"/>
    <x v="6"/>
    <s v="Mars"/>
    <s v="|66/02/02|"/>
    <n v="2304"/>
    <n v="2.77"/>
    <n v="3.72"/>
  </r>
  <r>
    <x v="3"/>
    <s v="Convenience stores"/>
    <x v="5"/>
    <s v="Ulker"/>
    <s v="|96/00/01|"/>
    <n v="1128"/>
    <n v="1.47"/>
    <n v="1.75"/>
  </r>
  <r>
    <x v="3"/>
    <s v="Convenience stores"/>
    <x v="5"/>
    <s v="Ulker"/>
    <s v="|96/00/02|"/>
    <n v="1248"/>
    <n v="1.38"/>
    <n v="1.9"/>
  </r>
  <r>
    <x v="3"/>
    <s v="Convenience stores"/>
    <x v="5"/>
    <s v="Ulker"/>
    <s v="|96/00/03|"/>
    <n v="744"/>
    <n v="1.26"/>
    <n v="1.85"/>
  </r>
  <r>
    <x v="3"/>
    <s v="Convenience stores"/>
    <x v="5"/>
    <s v="Ulker"/>
    <s v="|96/00/04|"/>
    <n v="720"/>
    <n v="1.47"/>
    <n v="1.9"/>
  </r>
  <r>
    <x v="3"/>
    <s v="Convenience stores"/>
    <x v="5"/>
    <s v="Ulker"/>
    <s v="|96/00/05|"/>
    <n v="1308"/>
    <n v="1.37"/>
    <n v="1.66"/>
  </r>
  <r>
    <x v="3"/>
    <s v="Convenience stores"/>
    <x v="5"/>
    <s v="Ulker"/>
    <s v="|96/00/06|"/>
    <n v="1200"/>
    <n v="1.48"/>
    <n v="1.68"/>
  </r>
  <r>
    <x v="3"/>
    <s v="Convenience stores"/>
    <x v="5"/>
    <s v="Ulker"/>
    <s v="|96/00/07|"/>
    <n v="1200"/>
    <n v="1.39"/>
    <n v="1.64"/>
  </r>
  <r>
    <x v="3"/>
    <s v="Convenience stores"/>
    <x v="5"/>
    <s v="Ulker"/>
    <s v="|96/00/08|"/>
    <n v="1032"/>
    <n v="1.34"/>
    <n v="1.85"/>
  </r>
  <r>
    <x v="3"/>
    <s v="Convenience stores"/>
    <x v="5"/>
    <s v="Ulker"/>
    <s v="|96/00/09|"/>
    <n v="996"/>
    <n v="1.1000000000000001"/>
    <n v="1.68"/>
  </r>
  <r>
    <x v="3"/>
    <s v="Convenience stores"/>
    <x v="9"/>
    <s v="WC Net"/>
    <s v="|52/01/01|"/>
    <n v="924"/>
    <n v="1.6"/>
    <n v="2.63"/>
  </r>
  <r>
    <x v="3"/>
    <s v="Convenience stores"/>
    <x v="9"/>
    <s v="WC Net"/>
    <s v="|52/01/02|"/>
    <n v="684"/>
    <n v="2.1"/>
    <n v="3.22"/>
  </r>
  <r>
    <x v="3"/>
    <s v="Convenience stores"/>
    <x v="9"/>
    <s v="WC Net"/>
    <s v="|52/01/03|"/>
    <n v="912"/>
    <n v="1.84"/>
    <n v="2.31"/>
  </r>
  <r>
    <x v="3"/>
    <s v="Convenience stores"/>
    <x v="9"/>
    <s v="WC Net"/>
    <s v="|52/01/03a|"/>
    <n v="624"/>
    <n v="1.45"/>
    <n v="2.7"/>
  </r>
  <r>
    <x v="3"/>
    <s v="Convenience stores"/>
    <x v="9"/>
    <s v="WC Net"/>
    <s v="|52/01/03b|"/>
    <n v="1128"/>
    <n v="1.54"/>
    <n v="3.42"/>
  </r>
  <r>
    <x v="3"/>
    <s v="Convenience stores"/>
    <x v="9"/>
    <s v="WC Net"/>
    <s v="|52/01/03c|"/>
    <n v="588"/>
    <n v="1.87"/>
    <n v="2.4"/>
  </r>
  <r>
    <x v="3"/>
    <s v="Convenience stores"/>
    <x v="9"/>
    <s v="WC Net"/>
    <s v="|52/01/03e|"/>
    <n v="468"/>
    <n v="2.04"/>
    <n v="3.06"/>
  </r>
  <r>
    <x v="3"/>
    <s v="Convenience stores"/>
    <x v="9"/>
    <s v="WC Net"/>
    <s v="|52/01/03f|"/>
    <n v="372"/>
    <n v="1.38"/>
    <n v="2.71"/>
  </r>
  <r>
    <x v="3"/>
    <s v="Convenience stores"/>
    <x v="9"/>
    <s v="WC Net"/>
    <s v="|52/01/03g|"/>
    <n v="744"/>
    <n v="1.63"/>
    <n v="2.57"/>
  </r>
  <r>
    <x v="3"/>
    <s v="Convenience stores"/>
    <x v="9"/>
    <s v="WC Net"/>
    <s v="|52/01/03h|"/>
    <n v="408"/>
    <n v="1.9"/>
    <n v="3.48"/>
  </r>
  <r>
    <x v="3"/>
    <s v="Convenience stores"/>
    <x v="9"/>
    <s v="WC Net"/>
    <s v="|52/01/03i|"/>
    <n v="864"/>
    <n v="2.12"/>
    <n v="2.46"/>
  </r>
  <r>
    <x v="3"/>
    <s v="Convenience stores"/>
    <x v="9"/>
    <s v="WC Net"/>
    <s v="|52/01/03j|"/>
    <n v="1056"/>
    <n v="2.2400000000000002"/>
    <n v="3.05"/>
  </r>
  <r>
    <x v="3"/>
    <s v="Convenience stores"/>
    <x v="9"/>
    <s v="WC Net"/>
    <s v="|52/01/03m|"/>
    <n v="480"/>
    <n v="2.48"/>
    <n v="2.16"/>
  </r>
  <r>
    <x v="3"/>
    <s v="Convenience stores"/>
    <x v="9"/>
    <s v="WC Net"/>
    <s v="|52/01/03n|"/>
    <n v="504"/>
    <n v="2.33"/>
    <n v="3.07"/>
  </r>
  <r>
    <x v="3"/>
    <s v="Convenience stores"/>
    <x v="9"/>
    <s v="WC Net"/>
    <s v="|52/01/03v|"/>
    <n v="1116"/>
    <n v="1.83"/>
    <n v="2.2000000000000002"/>
  </r>
  <r>
    <x v="3"/>
    <s v="Convenience stores"/>
    <x v="9"/>
    <s v="WC Net"/>
    <s v="|52/01/10|"/>
    <n v="852"/>
    <n v="2.08"/>
    <n v="2.5"/>
  </r>
  <r>
    <x v="3"/>
    <s v="Convenience stores"/>
    <x v="9"/>
    <s v="WC Net"/>
    <s v="|52/01/11|"/>
    <n v="1164"/>
    <n v="2.2999999999999998"/>
    <n v="2.02"/>
  </r>
  <r>
    <x v="3"/>
    <s v="Convenience stores"/>
    <x v="5"/>
    <s v="Mondelez"/>
    <s v="|123/01/01|"/>
    <n v="1056"/>
    <n v="1.32"/>
    <n v="1.82"/>
  </r>
  <r>
    <x v="3"/>
    <s v="Convenience stores"/>
    <x v="5"/>
    <s v="Mondelez"/>
    <s v="|123/01/02|"/>
    <n v="1116"/>
    <n v="1.41"/>
    <n v="1.75"/>
  </r>
  <r>
    <x v="3"/>
    <s v="Convenience stores"/>
    <x v="5"/>
    <s v="Mondelez"/>
    <s v="|123/01/03|"/>
    <n v="792"/>
    <n v="1.31"/>
    <n v="1.69"/>
  </r>
  <r>
    <x v="3"/>
    <s v="Convenience stores"/>
    <x v="5"/>
    <s v="Mondelez"/>
    <s v="|123/01/05|"/>
    <n v="1008"/>
    <n v="1.19"/>
    <n v="1.87"/>
  </r>
  <r>
    <x v="3"/>
    <s v="Convenience stores"/>
    <x v="5"/>
    <s v="Mondelez"/>
    <s v="|123/01/06|"/>
    <n v="1104"/>
    <n v="1.36"/>
    <n v="1.71"/>
  </r>
  <r>
    <x v="3"/>
    <s v="Convenience stores"/>
    <x v="4"/>
    <s v="Sephora"/>
    <s v="|01/01/01|"/>
    <n v="432"/>
    <n v="4.2300000000000004"/>
    <n v="5.13"/>
  </r>
  <r>
    <x v="3"/>
    <s v="Convenience stores"/>
    <x v="4"/>
    <s v="Sephora"/>
    <s v="|01/01/02|"/>
    <n v="672"/>
    <n v="4.28"/>
    <n v="5.16"/>
  </r>
  <r>
    <x v="3"/>
    <s v="Convenience stores"/>
    <x v="4"/>
    <s v="Sephora"/>
    <s v="|01/01/04|"/>
    <n v="312"/>
    <n v="4.74"/>
    <n v="5.33"/>
  </r>
  <r>
    <x v="3"/>
    <s v="Convenience stores"/>
    <x v="4"/>
    <s v="Sephora"/>
    <s v="|01/01/05|"/>
    <n v="636"/>
    <n v="4.47"/>
    <n v="5.21"/>
  </r>
  <r>
    <x v="3"/>
    <s v="Convenience stores"/>
    <x v="4"/>
    <s v="Sephora"/>
    <s v="|01/01/06|"/>
    <n v="444"/>
    <n v="4.3600000000000003"/>
    <n v="5.35"/>
  </r>
  <r>
    <x v="3"/>
    <s v="Convenience stores"/>
    <x v="4"/>
    <s v="Sephora"/>
    <s v="|01/01/08|"/>
    <n v="648"/>
    <n v="4.83"/>
    <n v="5.22"/>
  </r>
  <r>
    <x v="3"/>
    <s v="Convenience stores"/>
    <x v="4"/>
    <s v="Sephora"/>
    <s v="|01/01/10|"/>
    <n v="504"/>
    <n v="4.88"/>
    <n v="5.16"/>
  </r>
  <r>
    <x v="3"/>
    <s v="Convenience stores"/>
    <x v="4"/>
    <s v="Sephora"/>
    <s v="|01/01/11|"/>
    <n v="588"/>
    <n v="4.0599999999999996"/>
    <n v="5.37"/>
  </r>
  <r>
    <x v="3"/>
    <s v="Convenience stores"/>
    <x v="4"/>
    <s v="Sephora"/>
    <s v="|01/01/12|"/>
    <n v="480"/>
    <n v="4.05"/>
    <n v="5.35"/>
  </r>
  <r>
    <x v="3"/>
    <s v="Convenience stores"/>
    <x v="4"/>
    <s v="Sephora"/>
    <s v="|01/01/13|"/>
    <n v="276"/>
    <n v="4.5199999999999996"/>
    <n v="5.39"/>
  </r>
  <r>
    <x v="3"/>
    <s v="Convenience stores"/>
    <x v="4"/>
    <s v="Sephora"/>
    <s v="|01/01/15|"/>
    <n v="396"/>
    <n v="4.37"/>
    <n v="5.12"/>
  </r>
  <r>
    <x v="3"/>
    <s v="Convenience stores"/>
    <x v="4"/>
    <s v="Sephora"/>
    <s v="|01/01/17|"/>
    <n v="708"/>
    <n v="4.76"/>
    <n v="5.14"/>
  </r>
  <r>
    <x v="3"/>
    <s v="Convenience stores"/>
    <x v="4"/>
    <s v="Sephora"/>
    <s v="|01/01/18|"/>
    <n v="300"/>
    <n v="4.83"/>
    <n v="5.35"/>
  </r>
  <r>
    <x v="3"/>
    <s v="Convenience stores"/>
    <x v="4"/>
    <s v="Sephora"/>
    <s v="|01/01/19|"/>
    <n v="432"/>
    <n v="4.12"/>
    <n v="5.14"/>
  </r>
  <r>
    <x v="3"/>
    <s v="Convenience stores"/>
    <x v="4"/>
    <s v="Sephora"/>
    <s v="|01/01/20|"/>
    <n v="516"/>
    <n v="4.1100000000000003"/>
    <n v="5.1100000000000003"/>
  </r>
  <r>
    <x v="3"/>
    <s v="Convenience stores"/>
    <x v="4"/>
    <s v="Sephora"/>
    <s v="|01/01/21|"/>
    <n v="264"/>
    <n v="4.6399999999999997"/>
    <n v="5.0199999999999996"/>
  </r>
  <r>
    <x v="3"/>
    <s v="Convenience stores"/>
    <x v="4"/>
    <s v="Sephora"/>
    <s v="|01/01/23|"/>
    <n v="360"/>
    <n v="4.63"/>
    <n v="5.0999999999999996"/>
  </r>
  <r>
    <x v="3"/>
    <s v="Convenience stores"/>
    <x v="4"/>
    <s v="Sephora"/>
    <s v="|01/01/24|"/>
    <n v="324"/>
    <n v="4.6900000000000004"/>
    <n v="5.37"/>
  </r>
  <r>
    <x v="3"/>
    <s v="Convenience stores"/>
    <x v="4"/>
    <s v="Sephora"/>
    <s v="|01/01/25|"/>
    <n v="708"/>
    <n v="4.13"/>
    <n v="5.14"/>
  </r>
  <r>
    <x v="3"/>
    <s v="Convenience stores"/>
    <x v="4"/>
    <s v="Sephora"/>
    <s v="|01/01/26|"/>
    <n v="720"/>
    <n v="4.6500000000000004"/>
    <n v="5.17"/>
  </r>
  <r>
    <x v="3"/>
    <s v="Convenience stores"/>
    <x v="4"/>
    <s v="Sephora"/>
    <s v="|01/01/30|"/>
    <n v="240"/>
    <n v="4.8099999999999996"/>
    <n v="5.1100000000000003"/>
  </r>
  <r>
    <x v="3"/>
    <s v="Convenience stores"/>
    <x v="4"/>
    <s v="Sephora"/>
    <s v="|01/01/31|"/>
    <n v="324"/>
    <n v="4.66"/>
    <n v="5.4"/>
  </r>
  <r>
    <x v="3"/>
    <s v="Convenience stores"/>
    <x v="4"/>
    <s v="Sephora"/>
    <s v="|01/01/32|"/>
    <n v="276"/>
    <n v="4.07"/>
    <n v="5.25"/>
  </r>
  <r>
    <x v="3"/>
    <s v="Convenience stores"/>
    <x v="4"/>
    <s v="Sephora"/>
    <s v="|01/01/33|"/>
    <n v="504"/>
    <n v="4.87"/>
    <n v="5.24"/>
  </r>
  <r>
    <x v="3"/>
    <s v="Convenience stores"/>
    <x v="4"/>
    <s v="Sephora"/>
    <s v="|01/01/34|"/>
    <n v="720"/>
    <n v="4.25"/>
    <n v="5.35"/>
  </r>
  <r>
    <x v="3"/>
    <s v="Convenience stores"/>
    <x v="4"/>
    <s v="Sephora"/>
    <s v="|01/01/35|"/>
    <n v="336"/>
    <n v="4.12"/>
    <n v="5.0999999999999996"/>
  </r>
  <r>
    <x v="3"/>
    <s v="Convenience stores"/>
    <x v="4"/>
    <s v="Sephora"/>
    <s v="|01/01/36|"/>
    <n v="684"/>
    <n v="4.95"/>
    <n v="5.36"/>
  </r>
  <r>
    <x v="3"/>
    <s v="Convenience stores"/>
    <x v="4"/>
    <s v="Sephora"/>
    <s v="|01/01/37|"/>
    <n v="480"/>
    <n v="4.45"/>
    <n v="5.25"/>
  </r>
  <r>
    <x v="3"/>
    <s v="Convenience stores"/>
    <x v="4"/>
    <s v="Sephora"/>
    <s v="|01/01/38|"/>
    <n v="252"/>
    <n v="4.8099999999999996"/>
    <n v="5.04"/>
  </r>
  <r>
    <x v="3"/>
    <s v="Convenience stores"/>
    <x v="4"/>
    <s v="Sephora"/>
    <s v="|01/01/39|"/>
    <n v="696"/>
    <n v="4.78"/>
    <n v="5.1100000000000003"/>
  </r>
  <r>
    <x v="3"/>
    <s v="Convenience stores"/>
    <x v="4"/>
    <s v="Sephora"/>
    <s v="|01/01/40|"/>
    <n v="432"/>
    <n v="4.3600000000000003"/>
    <n v="5.15"/>
  </r>
  <r>
    <x v="3"/>
    <s v="Convenience stores"/>
    <x v="4"/>
    <s v="Sephora"/>
    <s v="|01/01/41|"/>
    <n v="360"/>
    <n v="4.49"/>
    <n v="5.13"/>
  </r>
  <r>
    <x v="3"/>
    <s v="Convenience stores"/>
    <x v="4"/>
    <s v="Sephora"/>
    <s v="|01/01/42|"/>
    <n v="372"/>
    <n v="4.6900000000000004"/>
    <n v="5.05"/>
  </r>
  <r>
    <x v="3"/>
    <s v="Convenience stores"/>
    <x v="2"/>
    <s v="Jacobs"/>
    <s v="|11/01/01|"/>
    <n v="5772"/>
    <n v="0.66"/>
    <n v="1.0900000000000001"/>
  </r>
  <r>
    <x v="3"/>
    <s v="Convenience stores"/>
    <x v="2"/>
    <s v="Jacobs"/>
    <s v="|11/02/01|"/>
    <n v="9576"/>
    <n v="0.72"/>
    <n v="1.03"/>
  </r>
  <r>
    <x v="3"/>
    <s v="Convenience stores"/>
    <x v="5"/>
    <s v="Sapori di Siena"/>
    <s v="|76/01/01|"/>
    <n v="1212"/>
    <n v="1.47"/>
    <n v="1.62"/>
  </r>
  <r>
    <x v="3"/>
    <s v="Convenience stores"/>
    <x v="5"/>
    <s v="Sapori di Siena"/>
    <s v="|76/01/02|"/>
    <n v="684"/>
    <n v="1.37"/>
    <n v="1.9"/>
  </r>
  <r>
    <x v="3"/>
    <s v="Convenience stores"/>
    <x v="5"/>
    <s v="Sapori di Siena"/>
    <s v="|76/01/03|"/>
    <n v="996"/>
    <n v="1.18"/>
    <n v="1.81"/>
  </r>
  <r>
    <x v="3"/>
    <s v="Convenience stores"/>
    <x v="5"/>
    <s v="Sapori di Siena"/>
    <s v="|76/01/04|"/>
    <n v="852"/>
    <n v="1.1599999999999999"/>
    <n v="1.8"/>
  </r>
  <r>
    <x v="3"/>
    <s v="Convenience stores"/>
    <x v="5"/>
    <s v="Sapori di Siena"/>
    <s v="|76/01/05a|"/>
    <n v="756"/>
    <n v="1.48"/>
    <n v="1.75"/>
  </r>
  <r>
    <x v="3"/>
    <s v="Convenience stores"/>
    <x v="5"/>
    <s v="Sapori di Siena"/>
    <s v="|76/01/06a|"/>
    <n v="636"/>
    <n v="1.29"/>
    <n v="1.72"/>
  </r>
  <r>
    <x v="3"/>
    <s v="Convenience stores"/>
    <x v="3"/>
    <s v="TIP"/>
    <s v="|26/01/04|"/>
    <n v="60"/>
    <n v="1.03"/>
    <n v="1.33"/>
  </r>
  <r>
    <x v="3"/>
    <s v="Supermarkets"/>
    <x v="15"/>
    <s v="Monzuro"/>
    <s v="|102/01/01|"/>
    <n v="1524"/>
    <n v="0.76"/>
    <n v="1.19"/>
  </r>
  <r>
    <x v="3"/>
    <s v="Supermarkets"/>
    <x v="15"/>
    <s v="Monzuro"/>
    <s v="|102/01/02|"/>
    <n v="1452"/>
    <n v="0.64"/>
    <n v="0.93"/>
  </r>
  <r>
    <x v="3"/>
    <s v="Supermarkets"/>
    <x v="15"/>
    <s v="Monzuro"/>
    <s v="|102/01/03|"/>
    <n v="1572"/>
    <n v="0.9"/>
    <n v="1.1100000000000001"/>
  </r>
  <r>
    <x v="3"/>
    <s v="Supermarkets"/>
    <x v="15"/>
    <s v="Monzuro"/>
    <s v="|102/01/04|"/>
    <n v="1512"/>
    <n v="0.82"/>
    <n v="1.07"/>
  </r>
  <r>
    <x v="3"/>
    <s v="Supermarkets"/>
    <x v="15"/>
    <s v="Monzuro"/>
    <s v="|102/01/05|"/>
    <n v="1320"/>
    <n v="0.83"/>
    <n v="1.02"/>
  </r>
  <r>
    <x v="3"/>
    <s v="Supermarkets"/>
    <x v="15"/>
    <s v="Monzuro"/>
    <s v="|102/01/06|"/>
    <n v="1572"/>
    <n v="0.64"/>
    <n v="0.93"/>
  </r>
  <r>
    <x v="3"/>
    <s v="Supermarkets"/>
    <x v="15"/>
    <s v="Monzuro"/>
    <s v="|102/01/07|"/>
    <n v="1296"/>
    <n v="0.89"/>
    <n v="1.02"/>
  </r>
  <r>
    <x v="3"/>
    <s v="Supermarkets"/>
    <x v="15"/>
    <s v="Monzuro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3076952"/>
  </dataFields>
  <formats count="4">
    <format dxfId="3">
      <pivotArea collapsedLevelsAreSubtotals="1" fieldPosition="0">
        <references count="1">
          <reference field="2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4261</v>
      </c>
      <c r="C1" s="2"/>
    </row>
    <row r="2" spans="2:4" x14ac:dyDescent="0.3">
      <c r="B2" s="33" t="s">
        <v>4256</v>
      </c>
      <c r="C2" s="2"/>
    </row>
    <row r="3" spans="2:4" x14ac:dyDescent="0.3">
      <c r="B3" s="33"/>
      <c r="C3" s="2"/>
    </row>
    <row r="4" spans="2:4" ht="15" thickBot="1" x14ac:dyDescent="0.35">
      <c r="B4" s="34" t="s">
        <v>4257</v>
      </c>
      <c r="C4" s="34" t="s">
        <v>4258</v>
      </c>
    </row>
    <row r="5" spans="2:4" x14ac:dyDescent="0.3">
      <c r="B5" s="36">
        <v>1</v>
      </c>
      <c r="C5" s="37" t="s">
        <v>4255</v>
      </c>
    </row>
    <row r="6" spans="2:4" x14ac:dyDescent="0.3">
      <c r="B6" s="36">
        <v>2</v>
      </c>
      <c r="C6" s="37" t="s">
        <v>10</v>
      </c>
      <c r="D6" s="35"/>
    </row>
    <row r="7" spans="2:4" x14ac:dyDescent="0.3">
      <c r="B7" s="36">
        <f>+B6+1</f>
        <v>3</v>
      </c>
      <c r="C7" s="37" t="s">
        <v>31</v>
      </c>
    </row>
    <row r="8" spans="2:4" x14ac:dyDescent="0.3">
      <c r="B8" s="36">
        <f t="shared" ref="B8:B27" si="0">+B7+1</f>
        <v>4</v>
      </c>
      <c r="C8" s="37" t="s">
        <v>32</v>
      </c>
    </row>
    <row r="9" spans="2:4" x14ac:dyDescent="0.3">
      <c r="B9" s="36">
        <f t="shared" si="0"/>
        <v>5</v>
      </c>
      <c r="C9" s="37" t="s">
        <v>11</v>
      </c>
    </row>
    <row r="10" spans="2:4" x14ac:dyDescent="0.3">
      <c r="B10" s="36">
        <f t="shared" si="0"/>
        <v>6</v>
      </c>
      <c r="C10" s="37" t="s">
        <v>33</v>
      </c>
    </row>
    <row r="11" spans="2:4" x14ac:dyDescent="0.3">
      <c r="B11" s="36">
        <f t="shared" si="0"/>
        <v>7</v>
      </c>
      <c r="C11" s="37" t="s">
        <v>34</v>
      </c>
    </row>
    <row r="12" spans="2:4" x14ac:dyDescent="0.3">
      <c r="B12" s="36">
        <f t="shared" si="0"/>
        <v>8</v>
      </c>
      <c r="C12" s="37" t="s">
        <v>1</v>
      </c>
    </row>
    <row r="13" spans="2:4" x14ac:dyDescent="0.3">
      <c r="B13" s="36">
        <f t="shared" si="0"/>
        <v>9</v>
      </c>
      <c r="C13" s="37" t="s">
        <v>2</v>
      </c>
    </row>
    <row r="14" spans="2:4" x14ac:dyDescent="0.3">
      <c r="B14" s="36">
        <f t="shared" si="0"/>
        <v>10</v>
      </c>
      <c r="C14" s="37" t="s">
        <v>35</v>
      </c>
    </row>
    <row r="15" spans="2:4" x14ac:dyDescent="0.3">
      <c r="B15" s="36">
        <f t="shared" si="0"/>
        <v>11</v>
      </c>
      <c r="C15" s="37" t="s">
        <v>36</v>
      </c>
    </row>
    <row r="16" spans="2:4" x14ac:dyDescent="0.3">
      <c r="B16" s="36">
        <f t="shared" si="0"/>
        <v>12</v>
      </c>
      <c r="C16" s="37" t="s">
        <v>37</v>
      </c>
    </row>
    <row r="17" spans="2:4" x14ac:dyDescent="0.3">
      <c r="B17" s="36">
        <f t="shared" si="0"/>
        <v>13</v>
      </c>
      <c r="C17" s="37" t="s">
        <v>3</v>
      </c>
    </row>
    <row r="18" spans="2:4" x14ac:dyDescent="0.3">
      <c r="B18" s="36">
        <f t="shared" si="0"/>
        <v>14</v>
      </c>
      <c r="C18" s="37" t="s">
        <v>5</v>
      </c>
    </row>
    <row r="19" spans="2:4" x14ac:dyDescent="0.3">
      <c r="B19" s="36">
        <f t="shared" si="0"/>
        <v>15</v>
      </c>
      <c r="C19" s="37" t="s">
        <v>4259</v>
      </c>
    </row>
    <row r="20" spans="2:4" x14ac:dyDescent="0.3">
      <c r="B20" s="36">
        <f t="shared" si="0"/>
        <v>16</v>
      </c>
      <c r="C20" s="37" t="s">
        <v>4</v>
      </c>
    </row>
    <row r="21" spans="2:4" x14ac:dyDescent="0.3">
      <c r="B21" s="36">
        <f t="shared" si="0"/>
        <v>17</v>
      </c>
      <c r="C21" s="37" t="s">
        <v>6</v>
      </c>
    </row>
    <row r="22" spans="2:4" x14ac:dyDescent="0.3">
      <c r="B22" s="36">
        <f t="shared" si="0"/>
        <v>18</v>
      </c>
      <c r="C22" s="37" t="s">
        <v>0</v>
      </c>
    </row>
    <row r="23" spans="2:4" x14ac:dyDescent="0.3">
      <c r="B23" s="36">
        <f t="shared" si="0"/>
        <v>19</v>
      </c>
      <c r="C23" s="37" t="s">
        <v>8</v>
      </c>
    </row>
    <row r="24" spans="2:4" x14ac:dyDescent="0.3">
      <c r="B24" s="36">
        <f t="shared" si="0"/>
        <v>20</v>
      </c>
      <c r="C24" s="37" t="s">
        <v>4247</v>
      </c>
    </row>
    <row r="25" spans="2:4" x14ac:dyDescent="0.3">
      <c r="B25" s="36">
        <f t="shared" si="0"/>
        <v>21</v>
      </c>
      <c r="C25" s="37" t="s">
        <v>4260</v>
      </c>
      <c r="D25" s="2"/>
    </row>
    <row r="26" spans="2:4" x14ac:dyDescent="0.3">
      <c r="B26" s="36">
        <f t="shared" si="0"/>
        <v>22</v>
      </c>
      <c r="C26" s="37" t="s">
        <v>7</v>
      </c>
      <c r="D26" s="2"/>
    </row>
    <row r="27" spans="2:4" x14ac:dyDescent="0.3">
      <c r="B27" s="36">
        <f t="shared" si="0"/>
        <v>23</v>
      </c>
      <c r="C27" s="37" t="s">
        <v>43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4255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6" thickBot="1" x14ac:dyDescent="0.3">
      <c r="B13" s="7" t="s">
        <v>39</v>
      </c>
      <c r="C13" s="20"/>
      <c r="D13" s="20"/>
      <c r="E13" s="21"/>
      <c r="F1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2.4414062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10</v>
      </c>
      <c r="C1" s="3"/>
      <c r="D1" s="3"/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38">
        <f>+SUM(E4:E12)</f>
        <v>330</v>
      </c>
      <c r="F13" s="2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8" spans="3:5" x14ac:dyDescent="0.2">
      <c r="C18" s="27" t="s">
        <v>27</v>
      </c>
      <c r="E18" s="39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10.6640625" style="2" customWidth="1"/>
    <col min="4" max="4" width="17.6640625" style="2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6" spans="2:6" ht="12" x14ac:dyDescent="0.25">
      <c r="C16" s="27" t="s">
        <v>28</v>
      </c>
      <c r="D16" s="27" t="s">
        <v>29</v>
      </c>
      <c r="F16" s="40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G16"/>
  <sheetViews>
    <sheetView workbookViewId="0">
      <selection activeCell="B14" sqref="B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7" ht="15.6" x14ac:dyDescent="0.3">
      <c r="B1" s="3" t="s">
        <v>11</v>
      </c>
    </row>
    <row r="3" spans="2:7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7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7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7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7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7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7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7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7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7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7" x14ac:dyDescent="0.2">
      <c r="B13" s="22"/>
      <c r="C13" s="22"/>
      <c r="D13" s="22"/>
      <c r="E13" s="22"/>
      <c r="F13" s="22"/>
      <c r="G13" s="22"/>
    </row>
    <row r="14" spans="2:7" x14ac:dyDescent="0.2">
      <c r="B14" s="49">
        <f>+COUNTA(B4:B12)</f>
        <v>9</v>
      </c>
      <c r="C14" s="22"/>
      <c r="D14" s="22"/>
      <c r="E14" s="49"/>
      <c r="F14" s="22"/>
      <c r="G14" s="22"/>
    </row>
    <row r="16" spans="2:7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H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33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8" x14ac:dyDescent="0.2">
      <c r="B13" s="22"/>
      <c r="C13" s="22"/>
      <c r="D13" s="22"/>
      <c r="E13" s="22"/>
      <c r="F13" s="22"/>
      <c r="G13" s="22"/>
      <c r="H13" s="22"/>
    </row>
    <row r="14" spans="2:8" x14ac:dyDescent="0.2">
      <c r="F14" s="41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6" x14ac:dyDescent="0.2">
      <c r="B13" s="22"/>
      <c r="C13" s="22"/>
      <c r="D13" s="22"/>
      <c r="E13" s="22"/>
      <c r="F13" s="22"/>
    </row>
    <row r="14" spans="2:6" x14ac:dyDescent="0.2">
      <c r="F14" s="41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1" style="2" customWidth="1"/>
    <col min="9" max="9" width="8.109375" style="2" bestFit="1" customWidth="1"/>
    <col min="10" max="10" width="10.5546875" style="2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1</v>
      </c>
    </row>
    <row r="3" spans="2:12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4262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5.109375" style="2" bestFit="1" customWidth="1"/>
    <col min="5" max="5" width="15.88671875" style="2" bestFit="1" customWidth="1"/>
    <col min="6" max="6" width="10" style="2" bestFit="1" customWidth="1"/>
    <col min="7" max="7" width="9.109375" style="2"/>
    <col min="8" max="8" width="10" style="2" bestFit="1" customWidth="1"/>
    <col min="9" max="9" width="9.109375" style="2"/>
    <col min="10" max="10" width="10.109375" style="2" bestFit="1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2</v>
      </c>
    </row>
    <row r="3" spans="2:12" ht="24.6" thickBot="1" x14ac:dyDescent="0.3">
      <c r="B3" s="42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4262</v>
      </c>
      <c r="K3" s="6" t="s">
        <v>15</v>
      </c>
      <c r="L3" s="6" t="s">
        <v>13</v>
      </c>
    </row>
    <row r="4" spans="2:12" ht="12" x14ac:dyDescent="0.25">
      <c r="B4" s="42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50" t="str">
        <f>+HLOOKUP(H4,$B$3:$F$7,2,FALSE)</f>
        <v>Italy</v>
      </c>
    </row>
    <row r="5" spans="2:12" ht="12" x14ac:dyDescent="0.25">
      <c r="B5" s="42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ht="12" x14ac:dyDescent="0.25">
      <c r="B6" s="42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ht="12" x14ac:dyDescent="0.25">
      <c r="B7" s="42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35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7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2.44140625" style="2" bestFit="1" customWidth="1"/>
    <col min="9" max="16384" width="9.109375" style="2"/>
  </cols>
  <sheetData>
    <row r="1" spans="2:9" ht="15.6" x14ac:dyDescent="0.3">
      <c r="B1" s="3" t="s">
        <v>36</v>
      </c>
    </row>
    <row r="3" spans="2:9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7" t="s">
        <v>21</v>
      </c>
      <c r="I4" s="27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8" width="9.109375" style="2"/>
    <col min="9" max="9" width="10" style="2" bestFit="1" customWidth="1"/>
    <col min="10" max="10" width="9.109375" style="2"/>
    <col min="11" max="11" width="16.109375" style="2" bestFit="1" customWidth="1"/>
    <col min="12" max="12" width="12.44140625" style="2" bestFit="1" customWidth="1"/>
    <col min="13" max="13" width="12.33203125" style="2" bestFit="1" customWidth="1"/>
    <col min="14" max="16384" width="9.109375" style="2"/>
  </cols>
  <sheetData>
    <row r="1" spans="2:13" ht="15.6" x14ac:dyDescent="0.3">
      <c r="B1" s="3" t="s">
        <v>37</v>
      </c>
    </row>
    <row r="3" spans="2:13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workbookViewId="0">
      <selection activeCell="H7" sqref="H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2" style="2" customWidth="1"/>
    <col min="8" max="8" width="13.109375" style="2" customWidth="1"/>
    <col min="9" max="16384" width="9.109375" style="2"/>
  </cols>
  <sheetData>
    <row r="1" spans="2:8" ht="15.6" x14ac:dyDescent="0.3">
      <c r="B1" s="3" t="s">
        <v>3</v>
      </c>
    </row>
    <row r="3" spans="2:8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3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44">
        <f>+IFERROR(F4/$F$13,"n.a.")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44">
        <f t="shared" ref="H5:H12" si="0">+IFERROR(F5/$F$13,"n.a.")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44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4263</v>
      </c>
      <c r="H7" s="45" t="str">
        <f t="shared" si="0"/>
        <v>n.a.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44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44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44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44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44">
        <f t="shared" si="0"/>
        <v>0.13957597173144876</v>
      </c>
    </row>
    <row r="13" spans="2:8" ht="12.6" thickBot="1" x14ac:dyDescent="0.3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09375" defaultRowHeight="11.4" x14ac:dyDescent="0.2"/>
  <cols>
    <col min="1" max="1" width="2" style="2" customWidth="1"/>
    <col min="2" max="2" width="13.33203125" style="2" bestFit="1" customWidth="1"/>
    <col min="3" max="16384" width="9.109375" style="2"/>
  </cols>
  <sheetData>
    <row r="1" spans="2:9" ht="15.6" x14ac:dyDescent="0.3">
      <c r="B1" s="3" t="s">
        <v>5</v>
      </c>
    </row>
    <row r="3" spans="2:9" ht="12.6" thickBot="1" x14ac:dyDescent="0.3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ht="12" x14ac:dyDescent="0.25">
      <c r="B4" s="27" t="s">
        <v>45</v>
      </c>
      <c r="C4" s="27">
        <f>CHOOSE($I$4,C7,C8,C9)</f>
        <v>124</v>
      </c>
      <c r="D4" s="27">
        <f t="shared" ref="D4:F4" si="0">CHOOSE($I$4,D7,D8,D9)</f>
        <v>135</v>
      </c>
      <c r="E4" s="27">
        <f t="shared" si="0"/>
        <v>145</v>
      </c>
      <c r="F4" s="27">
        <f t="shared" si="0"/>
        <v>150</v>
      </c>
      <c r="I4" s="24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4.554687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3"/>
      <c r="F15" s="41">
        <f>AVERAGEIF(D4:D12,"Yes",F4:F12)</f>
        <v>72.2</v>
      </c>
    </row>
    <row r="16" spans="2:6" x14ac:dyDescent="0.2">
      <c r="E16" s="23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4" width="9.109375" style="2"/>
    <col min="5" max="5" width="12.44140625" style="2" bestFit="1" customWidth="1"/>
    <col min="6" max="16384" width="9.109375" style="2"/>
  </cols>
  <sheetData>
    <row r="1" spans="2:6" ht="15.6" x14ac:dyDescent="0.3">
      <c r="B1" s="3" t="s">
        <v>42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09375" defaultRowHeight="11.4" x14ac:dyDescent="0.2"/>
  <cols>
    <col min="1" max="1" width="2" style="2" customWidth="1"/>
    <col min="2" max="2" width="12.109375" style="2" bestFit="1" customWidth="1"/>
    <col min="3" max="16384" width="9.109375" style="2"/>
  </cols>
  <sheetData>
    <row r="1" spans="2:3" ht="15.6" x14ac:dyDescent="0.3">
      <c r="B1" s="3" t="s">
        <v>6</v>
      </c>
    </row>
    <row r="3" spans="2:3" ht="12.6" thickBot="1" x14ac:dyDescent="0.3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ht="12" x14ac:dyDescent="0.25">
      <c r="B6" s="31" t="s">
        <v>55</v>
      </c>
      <c r="C6" s="31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G16"/>
  <sheetViews>
    <sheetView tabSelected="1" workbookViewId="0"/>
  </sheetViews>
  <sheetFormatPr defaultColWidth="9.109375" defaultRowHeight="11.4" x14ac:dyDescent="0.2"/>
  <cols>
    <col min="1" max="1" width="2" style="2" customWidth="1"/>
    <col min="2" max="2" width="13.5546875" style="2" bestFit="1" customWidth="1"/>
    <col min="3" max="16384" width="9.109375" style="2"/>
  </cols>
  <sheetData>
    <row r="1" spans="2:7" ht="15.6" x14ac:dyDescent="0.3">
      <c r="B1" s="3" t="s">
        <v>0</v>
      </c>
    </row>
    <row r="3" spans="2:7" ht="12.6" thickBot="1" x14ac:dyDescent="0.3">
      <c r="B3" s="25" t="s">
        <v>4248</v>
      </c>
      <c r="C3" s="26" t="s">
        <v>4249</v>
      </c>
    </row>
    <row r="4" spans="2:7" x14ac:dyDescent="0.2">
      <c r="B4" s="27" t="s">
        <v>56</v>
      </c>
      <c r="C4" s="28">
        <v>0.1</v>
      </c>
    </row>
    <row r="5" spans="2:7" x14ac:dyDescent="0.2">
      <c r="B5" s="27" t="s">
        <v>4245</v>
      </c>
      <c r="C5" s="27">
        <v>1000</v>
      </c>
    </row>
    <row r="6" spans="2:7" x14ac:dyDescent="0.2">
      <c r="B6" s="27" t="s">
        <v>57</v>
      </c>
      <c r="C6" s="27">
        <v>5</v>
      </c>
    </row>
    <row r="8" spans="2:7" ht="12" x14ac:dyDescent="0.25">
      <c r="B8" s="29" t="s">
        <v>4246</v>
      </c>
      <c r="C8" s="30">
        <f>C5*(1+C4)^C6</f>
        <v>1610.5100000000004</v>
      </c>
    </row>
    <row r="10" spans="2:7" x14ac:dyDescent="0.2">
      <c r="C10" s="19"/>
      <c r="D10" s="12"/>
      <c r="E10" s="12"/>
      <c r="F10" s="12"/>
      <c r="G10" s="12"/>
    </row>
    <row r="11" spans="2:7" x14ac:dyDescent="0.2">
      <c r="D11" s="19"/>
      <c r="E11" s="19"/>
      <c r="F11" s="19"/>
      <c r="G11" s="19"/>
    </row>
    <row r="12" spans="2:7" x14ac:dyDescent="0.2">
      <c r="C12" s="46"/>
      <c r="D12" s="44"/>
      <c r="E12" s="44"/>
      <c r="F12" s="44"/>
      <c r="G12" s="44"/>
    </row>
    <row r="13" spans="2:7" x14ac:dyDescent="0.2">
      <c r="C13" s="27"/>
      <c r="D13" s="46"/>
      <c r="E13" s="46"/>
      <c r="F13" s="46"/>
      <c r="G13" s="46"/>
    </row>
    <row r="14" spans="2:7" x14ac:dyDescent="0.2">
      <c r="C14" s="27"/>
      <c r="D14" s="46"/>
      <c r="E14" s="46"/>
      <c r="F14" s="46"/>
      <c r="G14" s="46"/>
    </row>
    <row r="15" spans="2:7" x14ac:dyDescent="0.2">
      <c r="C15" s="27"/>
      <c r="D15" s="46"/>
      <c r="E15" s="46"/>
      <c r="F15" s="46"/>
      <c r="G15" s="46"/>
    </row>
    <row r="16" spans="2:7" x14ac:dyDescent="0.2">
      <c r="C16" s="27"/>
      <c r="D16" s="46"/>
      <c r="E16" s="46"/>
      <c r="F16" s="46"/>
      <c r="G16" s="46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8</v>
      </c>
    </row>
    <row r="4" spans="2:5" x14ac:dyDescent="0.2">
      <c r="B4" s="2" t="s">
        <v>58</v>
      </c>
      <c r="E4" s="27" t="str">
        <f>LEFT(B4,3)</f>
        <v>Dop</v>
      </c>
    </row>
    <row r="5" spans="2:5" x14ac:dyDescent="0.2">
      <c r="B5" s="2" t="s">
        <v>58</v>
      </c>
      <c r="E5" s="27" t="str">
        <f>RIGHT(B5,3)</f>
        <v>bbe</v>
      </c>
    </row>
    <row r="6" spans="2:5" x14ac:dyDescent="0.2">
      <c r="B6" s="2" t="s">
        <v>58</v>
      </c>
      <c r="E6" s="27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09375" defaultRowHeight="11.4" x14ac:dyDescent="0.2"/>
  <cols>
    <col min="1" max="1" width="2" style="2" customWidth="1"/>
    <col min="2" max="6" width="9.109375" style="2"/>
    <col min="7" max="7" width="11.109375" style="2" customWidth="1"/>
    <col min="8" max="16384" width="9.109375" style="2"/>
  </cols>
  <sheetData>
    <row r="1" spans="2:7" ht="15.6" x14ac:dyDescent="0.3">
      <c r="B1" s="3" t="s">
        <v>4247</v>
      </c>
    </row>
    <row r="3" spans="2:7" x14ac:dyDescent="0.2">
      <c r="B3" s="2" t="s">
        <v>61</v>
      </c>
      <c r="E3" s="27" t="str">
        <f>UPPER(B3)</f>
        <v>DOPPELKUPPLUNGSGETRIEBBE</v>
      </c>
      <c r="F3" s="27"/>
      <c r="G3" s="27"/>
    </row>
    <row r="4" spans="2:7" x14ac:dyDescent="0.2">
      <c r="B4" s="2" t="s">
        <v>61</v>
      </c>
      <c r="E4" s="27" t="str">
        <f>LOWER(B4)</f>
        <v>doppelkupplungsgetriebbe</v>
      </c>
      <c r="F4" s="27"/>
      <c r="G4" s="27"/>
    </row>
    <row r="5" spans="2:7" x14ac:dyDescent="0.2">
      <c r="B5" s="2" t="s">
        <v>61</v>
      </c>
      <c r="E5" s="27" t="str">
        <f>PROPER(B5)</f>
        <v>Doppelkupplungsgetriebbe</v>
      </c>
      <c r="F5" s="27"/>
      <c r="G5" s="2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4" ht="15.6" x14ac:dyDescent="0.3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7" t="str">
        <f>B4&amp;" "&amp;C4&amp;D4</f>
        <v>ABC 123CDE</v>
      </c>
      <c r="D6" s="27"/>
    </row>
    <row r="7" spans="2:4" x14ac:dyDescent="0.2">
      <c r="C7" s="27" t="str">
        <f>CONCATENATE(B4,C4,D4)</f>
        <v>ABC123CDE</v>
      </c>
      <c r="D7" s="27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I15121"/>
  <sheetViews>
    <sheetView topLeftCell="A3" workbookViewId="0">
      <selection activeCell="B3" sqref="B3:I15121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16.6640625" style="2" bestFit="1" customWidth="1"/>
    <col min="4" max="5" width="18.88671875" style="2" bestFit="1" customWidth="1"/>
    <col min="6" max="16384" width="9.109375" style="2"/>
  </cols>
  <sheetData>
    <row r="1" spans="2:9" ht="15.6" x14ac:dyDescent="0.3">
      <c r="B1" s="3" t="s">
        <v>7</v>
      </c>
    </row>
    <row r="3" spans="2:9" ht="24.6" thickBot="1" x14ac:dyDescent="0.3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16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16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16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16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16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16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16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16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16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16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16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16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16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16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16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16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16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16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16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16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16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16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16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16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16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16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16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16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16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16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16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16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16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16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16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16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16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16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16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16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16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16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16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16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16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16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16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16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16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16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16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16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16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16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16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16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16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16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16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16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16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16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16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16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16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16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16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16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16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16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16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16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16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16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16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16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16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16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16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16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16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16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16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16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16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16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16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16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16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16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16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16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16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16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16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16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16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16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16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16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16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16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16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16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16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16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16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16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16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16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16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16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16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16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16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16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16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16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16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16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16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16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16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16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16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16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16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16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16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16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16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16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16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16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16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16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16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16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16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16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16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16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16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16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16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16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16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16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16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16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16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16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16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16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16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16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16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16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16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16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16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16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16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16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16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16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16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16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16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16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16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16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16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16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16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16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16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16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16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16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16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16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16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16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16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16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16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16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16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16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16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16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16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16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16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16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16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16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16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16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16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16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16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16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16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16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16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16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16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16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16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16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16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16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16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16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16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16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16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16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16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16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16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16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16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16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16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16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16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16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16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16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16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16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16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16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16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16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16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16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16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16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16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16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16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16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16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16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16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16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16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16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16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16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16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16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16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16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16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16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16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16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16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16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16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16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16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16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16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16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16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16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16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16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16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16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16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16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16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16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16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16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16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16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16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16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16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16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16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16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16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16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16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16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16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16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16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16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16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16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16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16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16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16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16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16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16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16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16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16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16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16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16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16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16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16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16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16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16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16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16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16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16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16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16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16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16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16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16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16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16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16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16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16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16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16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16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16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16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16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16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16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16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16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16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16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16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16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16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16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16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16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16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16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16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16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16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16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16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16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16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16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16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16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16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16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16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16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16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16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16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16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16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16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16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16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16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16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16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16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16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16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16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16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16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16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16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16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16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16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16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16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16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16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16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16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16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16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16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16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16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16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16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16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16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16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16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16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16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16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16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16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16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16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16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16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16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16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16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16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16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16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16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16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16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16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16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16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16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16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16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16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16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16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16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16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16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16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16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16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16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16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16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16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16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16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16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16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16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16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16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16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16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16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16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16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16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16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16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16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16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16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16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16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16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16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16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16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16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16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16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16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16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16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16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16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16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16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16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16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16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16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16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16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16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16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16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16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16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16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16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16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16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16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16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16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16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16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16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16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16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16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16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16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16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16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16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16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16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16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16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16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16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16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16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16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16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16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16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16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16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16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16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16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16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16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16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16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16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16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16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16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16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16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16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16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16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16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16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16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16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16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16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16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16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16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16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16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16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16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16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16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16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16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16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16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16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16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16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16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16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16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16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16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16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16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16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16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16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16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16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16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16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16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16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16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16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16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16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16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16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16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16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16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16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16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16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16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16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16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16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16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16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16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16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16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16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16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16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16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16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16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16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16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16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16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16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16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16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16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16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16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16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16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16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16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16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16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16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16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16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16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16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16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16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16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16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16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16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16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16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16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16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16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16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16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16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16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16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16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16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16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16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16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16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16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16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16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16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16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16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16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16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16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16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16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16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16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16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16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16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16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16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16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16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16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16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16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16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16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16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16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16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16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16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16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16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16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16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16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16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16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16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16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16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16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16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16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16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16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16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16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16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16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16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16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16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16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16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16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16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16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16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16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16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16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16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16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16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16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16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16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16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16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16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16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16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16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16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16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16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16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16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16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16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16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16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16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16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16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16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16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16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16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16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16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16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16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16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16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16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16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16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16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16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16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16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16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16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16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16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16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16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16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16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16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16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16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16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16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16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16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16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16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16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16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16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16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16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16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16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16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16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16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16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16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16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16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16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16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16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16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16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16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16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16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16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16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16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16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16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16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16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16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16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16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16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16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16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16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16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16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16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16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16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16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16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16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16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16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16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16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16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16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16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16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16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16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16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16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16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16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16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16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16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16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16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16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16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16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16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16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16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16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16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16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16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16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16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16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16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16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16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16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16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16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16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16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16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16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16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16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16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16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16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16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16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16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16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16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16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16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16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16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16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16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16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16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16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16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16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16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16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16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16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16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16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16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16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16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16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16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16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16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16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16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16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16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16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16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16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16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16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16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16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16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16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16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16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16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16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16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16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16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16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16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16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16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16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16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16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16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16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16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16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16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16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16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16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16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16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16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16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16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16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16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16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16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16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16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16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16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16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16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16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16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16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16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16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16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16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16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16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16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16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16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16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16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16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16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16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16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16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16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16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16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16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16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16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16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16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16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16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16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16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16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16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16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16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16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16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16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16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16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16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16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16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16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16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16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16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16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16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16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16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16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16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16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16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16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16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16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16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16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16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16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16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16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16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16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16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16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16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16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16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16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16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16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16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16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16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16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16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16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16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16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16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16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16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16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16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16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16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16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16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16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16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16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16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16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16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16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16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16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16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16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16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16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16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16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16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16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16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16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16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16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16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16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16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16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16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16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16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16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16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16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16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16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16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16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16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16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16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16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16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16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16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16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16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16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16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16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16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16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16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16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16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16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16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16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16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16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16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16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16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16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16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16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16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16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16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16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16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16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16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16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16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16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16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16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16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16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16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16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16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16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16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16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16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16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16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16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16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16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16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16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16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16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16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16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16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16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16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16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16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16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16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16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16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16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16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16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16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16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16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16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16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16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16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16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16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16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16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16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16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16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16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16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16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16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16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16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16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16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16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16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16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16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16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16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16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16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16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16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16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16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16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16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16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16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16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16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16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16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16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16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16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16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16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16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16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16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16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16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16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16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16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16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16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16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16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16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16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16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16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16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16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16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16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16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16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16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16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16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16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16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16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16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16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16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16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16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16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16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16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16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16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16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16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16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16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16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16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16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16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16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16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16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16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16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16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16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16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16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16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16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16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16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16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16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16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16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16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16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16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16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16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16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16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16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16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16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16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16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16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16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16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16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16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16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16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16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16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16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16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16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16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16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16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16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16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16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16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16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16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16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16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16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16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16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16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16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16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16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16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16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16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16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16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16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16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16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16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16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16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16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16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16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16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16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16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16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16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16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16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16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16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16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16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16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16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16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16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16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16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16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16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16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16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16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16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16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16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16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16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16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16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16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16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16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16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16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16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16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16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16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16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16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16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16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16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16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16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16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16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16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16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16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16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16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16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16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16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16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16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16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16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16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16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16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16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16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16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16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16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16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16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16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16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16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16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16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16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16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16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16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16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16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16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16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16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16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16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16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16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16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16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16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16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16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16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16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16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16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16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16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16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16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16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16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16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16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16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16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16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16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16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16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16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16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16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16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16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16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16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16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16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16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16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16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16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16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16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16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16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16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16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16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16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16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16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16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16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16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16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16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16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16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16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16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16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16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16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16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16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16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16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16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16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16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16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16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16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16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16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16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16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16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16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16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16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16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16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16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16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16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16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16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16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16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16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16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16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16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16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16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16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16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16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16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16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16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16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16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16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16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16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16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16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16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16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16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16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16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16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16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16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16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16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16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16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16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16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16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16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16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16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16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16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16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16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16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16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16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16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16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16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16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16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16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16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16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16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16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16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16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16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16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16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16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16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16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16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16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16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16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16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16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16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16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16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16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16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16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16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16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16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16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16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16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16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16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16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16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16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16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16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16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16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16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16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16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16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16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16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16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16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16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16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16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16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16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16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16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16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16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16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16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16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16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16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16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16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16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16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16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16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16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16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16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16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16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16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16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16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16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16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16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16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16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16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16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16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16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16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16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16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16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16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16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16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16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16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16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16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16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16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16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16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16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16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16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16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16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16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16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16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16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16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16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16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16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16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16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16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16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16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16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16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16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16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16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16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16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16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16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16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16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16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16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16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16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16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16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16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16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16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16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16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16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16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16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16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16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16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16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16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16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16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16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16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16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16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16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16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16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16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16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16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16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16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16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16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16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16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16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16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16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16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16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16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16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16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16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16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16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16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16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16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16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16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16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16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16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16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16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16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16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16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16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16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16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16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16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16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16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16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16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16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16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16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16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16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16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16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16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16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16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16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16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16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16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16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16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16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16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16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16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16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16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16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16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16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16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16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16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16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16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16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16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16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16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16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16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16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16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16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16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16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16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16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16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16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16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16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16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16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16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16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16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16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16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16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16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16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16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16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16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16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16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16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16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16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16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16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16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16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16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16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16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16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16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16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16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16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16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16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16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16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16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16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16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16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16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16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16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16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16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16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16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16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16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16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16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16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16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16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16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16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16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16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16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16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16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16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16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16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16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16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16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16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16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16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16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16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16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16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16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16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16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16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16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16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16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16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16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16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16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16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16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16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16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16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16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16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16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16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16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16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16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16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16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16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16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16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16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16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16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16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16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16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16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16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16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16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16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16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16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16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16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16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16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16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16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16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16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16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16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16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16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16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16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16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16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16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16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16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16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16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16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16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16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16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16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16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16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16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16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16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16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16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16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16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16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16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16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16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16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16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16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16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16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16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16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16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16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16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16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16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16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16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16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16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16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16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16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16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16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16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16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16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16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16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16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16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16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16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16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16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16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16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16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16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16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16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16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16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16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16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16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16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16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16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16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16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16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16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16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16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16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16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16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16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16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16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16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16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16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16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16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16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16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16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16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16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16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16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16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16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16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16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16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16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16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16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16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16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16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16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16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16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16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16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16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16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16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16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16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16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16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16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16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16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16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16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16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16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16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16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16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16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16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16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16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16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16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16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16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16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16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16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16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16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16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16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16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16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16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16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16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16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16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16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16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16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16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16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16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16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16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16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16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16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16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16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16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16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16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16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16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16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16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16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16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16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16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16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16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16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16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16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16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16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16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16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16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16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16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16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16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16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16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16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16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16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16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16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16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16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16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16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16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16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16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16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16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16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16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16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16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16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16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16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16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16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16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16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16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16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16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16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16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16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16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16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16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16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16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16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16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16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16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16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16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16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16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16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16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16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16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16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16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16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16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16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16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16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16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16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16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16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16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16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16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16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16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16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16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16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16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16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16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16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16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16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16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16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16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16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16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16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16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16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16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16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16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16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16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16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16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16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16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16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16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16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16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16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16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16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16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16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16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16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16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16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16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16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16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16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16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16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16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16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16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16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16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16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16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16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16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16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16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16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16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16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16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16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16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16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16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16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16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16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16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16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16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16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16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16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16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16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16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16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16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16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16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16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16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16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16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16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16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16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16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16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16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16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16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16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16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16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16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16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16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16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16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16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16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16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16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16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16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16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16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16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16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16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16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16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16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16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16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16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16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16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16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16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16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16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16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16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16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16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16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16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16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16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16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16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16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16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16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16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16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16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16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16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16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16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16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16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16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16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16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16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16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16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16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16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16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16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16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16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16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16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16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16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16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16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16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16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16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16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16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16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16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16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16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16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16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16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16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16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16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16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16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16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16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16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16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16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16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16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16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16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16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16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16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16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16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16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16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16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16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16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16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16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16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16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16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16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16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16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16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16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16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16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16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16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16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16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16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16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16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16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16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16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16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16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16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16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16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16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16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16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16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16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16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16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16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16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16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16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16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16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16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16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16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16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16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16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16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16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16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16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16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16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16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16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16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16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16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16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16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16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16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16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16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16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16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16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16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16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16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16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16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16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16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16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16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16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16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16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16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16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16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16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16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16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16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16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16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16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16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16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16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16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16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16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16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16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16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16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16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16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16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16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16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16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16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16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16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16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16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16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16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16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16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16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16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16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16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16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16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16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16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16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16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16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16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16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16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16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16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16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16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16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16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16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16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16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16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16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16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16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16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16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16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16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16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16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16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16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16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16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16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16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16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16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16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16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16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16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16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16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16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16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16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16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16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16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16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16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16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16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16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16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16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16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16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16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16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16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16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16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16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16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16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16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16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16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16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16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16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16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16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16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16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16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16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16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16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16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16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16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16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16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16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16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16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16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16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16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16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16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16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16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16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16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16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16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16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16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16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16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16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16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16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16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16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16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16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16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16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16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16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16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16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16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16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16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16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16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16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16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16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16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16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16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16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16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16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16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16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16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16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16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16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16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16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16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16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16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16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16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16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16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16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16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16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16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16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16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16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16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16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16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16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16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16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16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16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16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16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16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16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16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16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16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16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16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16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16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16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16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16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16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16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16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16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16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16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16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16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16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16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16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16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16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16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16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16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16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16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16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16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16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16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16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16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16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16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16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16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16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16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16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16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16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16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16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16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16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16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16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16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16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16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16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16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16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16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16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16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16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16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16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16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16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16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16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16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16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16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16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16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16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16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16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16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16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16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16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16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16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16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16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16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16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16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16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16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16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16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16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16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16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16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16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16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16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16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16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16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16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16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16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16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16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16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16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16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16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16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16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16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16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16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16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16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16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16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16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16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16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16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16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16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16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16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16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16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16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16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16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16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16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16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16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16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16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16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16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16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16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16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16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16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16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16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16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16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16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16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16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16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16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16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16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16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16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16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16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16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16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16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16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16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16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16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16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16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16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16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16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16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16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16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16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16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16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16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16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16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16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16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16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16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16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16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16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16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16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16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16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16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16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16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16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16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16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16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16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16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16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16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16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16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16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16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16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16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16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16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16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16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16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16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16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16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16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16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16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16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16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16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16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16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16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16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16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16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16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16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16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16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16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16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16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16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16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16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16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16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16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16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16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16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16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16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16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16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16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16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16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16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16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16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16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16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16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16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16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16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16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16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16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16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16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16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16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16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16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16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16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16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16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16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16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16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16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16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16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16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16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16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16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16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16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16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16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16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16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16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16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16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16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16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16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16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16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16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16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16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16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16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16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16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16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16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16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16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16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16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16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16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16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16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16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16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16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16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16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16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16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16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16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16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16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16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16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16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16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16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16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16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16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16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16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16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16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16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16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16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16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16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16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16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16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16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16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16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16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16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16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16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16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16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16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16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16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16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16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16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16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16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16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16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16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16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16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16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16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16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16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16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16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16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16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16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16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16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16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16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16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16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16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16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16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16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16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16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16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16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16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16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16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16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16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16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16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16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16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16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16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16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16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16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16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16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16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16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16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16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16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16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16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16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16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16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16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16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16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16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16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16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16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16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16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16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16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16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16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16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16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16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16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16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16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16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16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16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16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16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16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16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16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16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16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16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16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16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16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16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16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16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16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16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16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16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16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16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16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16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16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16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16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16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16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16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16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16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16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16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16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16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16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16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16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16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16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16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16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16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16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16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16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16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16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16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16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16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16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16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16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16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16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16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16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16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16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16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16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16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16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16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16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16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16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16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16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16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16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16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16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16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16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16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16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16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16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16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16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16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16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16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16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16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16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16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16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16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16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16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16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16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16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16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16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16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16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16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16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16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16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16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16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16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16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16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16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16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16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16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16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16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16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16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16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16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16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16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16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16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16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16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16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16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16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16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16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16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16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16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16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16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16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16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16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16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16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16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16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16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16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16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16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16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16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16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16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16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16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16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16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16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16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16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16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16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16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16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16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16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16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16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16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16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16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16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16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16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16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16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16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16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16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16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16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16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16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16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16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16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16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16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16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16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16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16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16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16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16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16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16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16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16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16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16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16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16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16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16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16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16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16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16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16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16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16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16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16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16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16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16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16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16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16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16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16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16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16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16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16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16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16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16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16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16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16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16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16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16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16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16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16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16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16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16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16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16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16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16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16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16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16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16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16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16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16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16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16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16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16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16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16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16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16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16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16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16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16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16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16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16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16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16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16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16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16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16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16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16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16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16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16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16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16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16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16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16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16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16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16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16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16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16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16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16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16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16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16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16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16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16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16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16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16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16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16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16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16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16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16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16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16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16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16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16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16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16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16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16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16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16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16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16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16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16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16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16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16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16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16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16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16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16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16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16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16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16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16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16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16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16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16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16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16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16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16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16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16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16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16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16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16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16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16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16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16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16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16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16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16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16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16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16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16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16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16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16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16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16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16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16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16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16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16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16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16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16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16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16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16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16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16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16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16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16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16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16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16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16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16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16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16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16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16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16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16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16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16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16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16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16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16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16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16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16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16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16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16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16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16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16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16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16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16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16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16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16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16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16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16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16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16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16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16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16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16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16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16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16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16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16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16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16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16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16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16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16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16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16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16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16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16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16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16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16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16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16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16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16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16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16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16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16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16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16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16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16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16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16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16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16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16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16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16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16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16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16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16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16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16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16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16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16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16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16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16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16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16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16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16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16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16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16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16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16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16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16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16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16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16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16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16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16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16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16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16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16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16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16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16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16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16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16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16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16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16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16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16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16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16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16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16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16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16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16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16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16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16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16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16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16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16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16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16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16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16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16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16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16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16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16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16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16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16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16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16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16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16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16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16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16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16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16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16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16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16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16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16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16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16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16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16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16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16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16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16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16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16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16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16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16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16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16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16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16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16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16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16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16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16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16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16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16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16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16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16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16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16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16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16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16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16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16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16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16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16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16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16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16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16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16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16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16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16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16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16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16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16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16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16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16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16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16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16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16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16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16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16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16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16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16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16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16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16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16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16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16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16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16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16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16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16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16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16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16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16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16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16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16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16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16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16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16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16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16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16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16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16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16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16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16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16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16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16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16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16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16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16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16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16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16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16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16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16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16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16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16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16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16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16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16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16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16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16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16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16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16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16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16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16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16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16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16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16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16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16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16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16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16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16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16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16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16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16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16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16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16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16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16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16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16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16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16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16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16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16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16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16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16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16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16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16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16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16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16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16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16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16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16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16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16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16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16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16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16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16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16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16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16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16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16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16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16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16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16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16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16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16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16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16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16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16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16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16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16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16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16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16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16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16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16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16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16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16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16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16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16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16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16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16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16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16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16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16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16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16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16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16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16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16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16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16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16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16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16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16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16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16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16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16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16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16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16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16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16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16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16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16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16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16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16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16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16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16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16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16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16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16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16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16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16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16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16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16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16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16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16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16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16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16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16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16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16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16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16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16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16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16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16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16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16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16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16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16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16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16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16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16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16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16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16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16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16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16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16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16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16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16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16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16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16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16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16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16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16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16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16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16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16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16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16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16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16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16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16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16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16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16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16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16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16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16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16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16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16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16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16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16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16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16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16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16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16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16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16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16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16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16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16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16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16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16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16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16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16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16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16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16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16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16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16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16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16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16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16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16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16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16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16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16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16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16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16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16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16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16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16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16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16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16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16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16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16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16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16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16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16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16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16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16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16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16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16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16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16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16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16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16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16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16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16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16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16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16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16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16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16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16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16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16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16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16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16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16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16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16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16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16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16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16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16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16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16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16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16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16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16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16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16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16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16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16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16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16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16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16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16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16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16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16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16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16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16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16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16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16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16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16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16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16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16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16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16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16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16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16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16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16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16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16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16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16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16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16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16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16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16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16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16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16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16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16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16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16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16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16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16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16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16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16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16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16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16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16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16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16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16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16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16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16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16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16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16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16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16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16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16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16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16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16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16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16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16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16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16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16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16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16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16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16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16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16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16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16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16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16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16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16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16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16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16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16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16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16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16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16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16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16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16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16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16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16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16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16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16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16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16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16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16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16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16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16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16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16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16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16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16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16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16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16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16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16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16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16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16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16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16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16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16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16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16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16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16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16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16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16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16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16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16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16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16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16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16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16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16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16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16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16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16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16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16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16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16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16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16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16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16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16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16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16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16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16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16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16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16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16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16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16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16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16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16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16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16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16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16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16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16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16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16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16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16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16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16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16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16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16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16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16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16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16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16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16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16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16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16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16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16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16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16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16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16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16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16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16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16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16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16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16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16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16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16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16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16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16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16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16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16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16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16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16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16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16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16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16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16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16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16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16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16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16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16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16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16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16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16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16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16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16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16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16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16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16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16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16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16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16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16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16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16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16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16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16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16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16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16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16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16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16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16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16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16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16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16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16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16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16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16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16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16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16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16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16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16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16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16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16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16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16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16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16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16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16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16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16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16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16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16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16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16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16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16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16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16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16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16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16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16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16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16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16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16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16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16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16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16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16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16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16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16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16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16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16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16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16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16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16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16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16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16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16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16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16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16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16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16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16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16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16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16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16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16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16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16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16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16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16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16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16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16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16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16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16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16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16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16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16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16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16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16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16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16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16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16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16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16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16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16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16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16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16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16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16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16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16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16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16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16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16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16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16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16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16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16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16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16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16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16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16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16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16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16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16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16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16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16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16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16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16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16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16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16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16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16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16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16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16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16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16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16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16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16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16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16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16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16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16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16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16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16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16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16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16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16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16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16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16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16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16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16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16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16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16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16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16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16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16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16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16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16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16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16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16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16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16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16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16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16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16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16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16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16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16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16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16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16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16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16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16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16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16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16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16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16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16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16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16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16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16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16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16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16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16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16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16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16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16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16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16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16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16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16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16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16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16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16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16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16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16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16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16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16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16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16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16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16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16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16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16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16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16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16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16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16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16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16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16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16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16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16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16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16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16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16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16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16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16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16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16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16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16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16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16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16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16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16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16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16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16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16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16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16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16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16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16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16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16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16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16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16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16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16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16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16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16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16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16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16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16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16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16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16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16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16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16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16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16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16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16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16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16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16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16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16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16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16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16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16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16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16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16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16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16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16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16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16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16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16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16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16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16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16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16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16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16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16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16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16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16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16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16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16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16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16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16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16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16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16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16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16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16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16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16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16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16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16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16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16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16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16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16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16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16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16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16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16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16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16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16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16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16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16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16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16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16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16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16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16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16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16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16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16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16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16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16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16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16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16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16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16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16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16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16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16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16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16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16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16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16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16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16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16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16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16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16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16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16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16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16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16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16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16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16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16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16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16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16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16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16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16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16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16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16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16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16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16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16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16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16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16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16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16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16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16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16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16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16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16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16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16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16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16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16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16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16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16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16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16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16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16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16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16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16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16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16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16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16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16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16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16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16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16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16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16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16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16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16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16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16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16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16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16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16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16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16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16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16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16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16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16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16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16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16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16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16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16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16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16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16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16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16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16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16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16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16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16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16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16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16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16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16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16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16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16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16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16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16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16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16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16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16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16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16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16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16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16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16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16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16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16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16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16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16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16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16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16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16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16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16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16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16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16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16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16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16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16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16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16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16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16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16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16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16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16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16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16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16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16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16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16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16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16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16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16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16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16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16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16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16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16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16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16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16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16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16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16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16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16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16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16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16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16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16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16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16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16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16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16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16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16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16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16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16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16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16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16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16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16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16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16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16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16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16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16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16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16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16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16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16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16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16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16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16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16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16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16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16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16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16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16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16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16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16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16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16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16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16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16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16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16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16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16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16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16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16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16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16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16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16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16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16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16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16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16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16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16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16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16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16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16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16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16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16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16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16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16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16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16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16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16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16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16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16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16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16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16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16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16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16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16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16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16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16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16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16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16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16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16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16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16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16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16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16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16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16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16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16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16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16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16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16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16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16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16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16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16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16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16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16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16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16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16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16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16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16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16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16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16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16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16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16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16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16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16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16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16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16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16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16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16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16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16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16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16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16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16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16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16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16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16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16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16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16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16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16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16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16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16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16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16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16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16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16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16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16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16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16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16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16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16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16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16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16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16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16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16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16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16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16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16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16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16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16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16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16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16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16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16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16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16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16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16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16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16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16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16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16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16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16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16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16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16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16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16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16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16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16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16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16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16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16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16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16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16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16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16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16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16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16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16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16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16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16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16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16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16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16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16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16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16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16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16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16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16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16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16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16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16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16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16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16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16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16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16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16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16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16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16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16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16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16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16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16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16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16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16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16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16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16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16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16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16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16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16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16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16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16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16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16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16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16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16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16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16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16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16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16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16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16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16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16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16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16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16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16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16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16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16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16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16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16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16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16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16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16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16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16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16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16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16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16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16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16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16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16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16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16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16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16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16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16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16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16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16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16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16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16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16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16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16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16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16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16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16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16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16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16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16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16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16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16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16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16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16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16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16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16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16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16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16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16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16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16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16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16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16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16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16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16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16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16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16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16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16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16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16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16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16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16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16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16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16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16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16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16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16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16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16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16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16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16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16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16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16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16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16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16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16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16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16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16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16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16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16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16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16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16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16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16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16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16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16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16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16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16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16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16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16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16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16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16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16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16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16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16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16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16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16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16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16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16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16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16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16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16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16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16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16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16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16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16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16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16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16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16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16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16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16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16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16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16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16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16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16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16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16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16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16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16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16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16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16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16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16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16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16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16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16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16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16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16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16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16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16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16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16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16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16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16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16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16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16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16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16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16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16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16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16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16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16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16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16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16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16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16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16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16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16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16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16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16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16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16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16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16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16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16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16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16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16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16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16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16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16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16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16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16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16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16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16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16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16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16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16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16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16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16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16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16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16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16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16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16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16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16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16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16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16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16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16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16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16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16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16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16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16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16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16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16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16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16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16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16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16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16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16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16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16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16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16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16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16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16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16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16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16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16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16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16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16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16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16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16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16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16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16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16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16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16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16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16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16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16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16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16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16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16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16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16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16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16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16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16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16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16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16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16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16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16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16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16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16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16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16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16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16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16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16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16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16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16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16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16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16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16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16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16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16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16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16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16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16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16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16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16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16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16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16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16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16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16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16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16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16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16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16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16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16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16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16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16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16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16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16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16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16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16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16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16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16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16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16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16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16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16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16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16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16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16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16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16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16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16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16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16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16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16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16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16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16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16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16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16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16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16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16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16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16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16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16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16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16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16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16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16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16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16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16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16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16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16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16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16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16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16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16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16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16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16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16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16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16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16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16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16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16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16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16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16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16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16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16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16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16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16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16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16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16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16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16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16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16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16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16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16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16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16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16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16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16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16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16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16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16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16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16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16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16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16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16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16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16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16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16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16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16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16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16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16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16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16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16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16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16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16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16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16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16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16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16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16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16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16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16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16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16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16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16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16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16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16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16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16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16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16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16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16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16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16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16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16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16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16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16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16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16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16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16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16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16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16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16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16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16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16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16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16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16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16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16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16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16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16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16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16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16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16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16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16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16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16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16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16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16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16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16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16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16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16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16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16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16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16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16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16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16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16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16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16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16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16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16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16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16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16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16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16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16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16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16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16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16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16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16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16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16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16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16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16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16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16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16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16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16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16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16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16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16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16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16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16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16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16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16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16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16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16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16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16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16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16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16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16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16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16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16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16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16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16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16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16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16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16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16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16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16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16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16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16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16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16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16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16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16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16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16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16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16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16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16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16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16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16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16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16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16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16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16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16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16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16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16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16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16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16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16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16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16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16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16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16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16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16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16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16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16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16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16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16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16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16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16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16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16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16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16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16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16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16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16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16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16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16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16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16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16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16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16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16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16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16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16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16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16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16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16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16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16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16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16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16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16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16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16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16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16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16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16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16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16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16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16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16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16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16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16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16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16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16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16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16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16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16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16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16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16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16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16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16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16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16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16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16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16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16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16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16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16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16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16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16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16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16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16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16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16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16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16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16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16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16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16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16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16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16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16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16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16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16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16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16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16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16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16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16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16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16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16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16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16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16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16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16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16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16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16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16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16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16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16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16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16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16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16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16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16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16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16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16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16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16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16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16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16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16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16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16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16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16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16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16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16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16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16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16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16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16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16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16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16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16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16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16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16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16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16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16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16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16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16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16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16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16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16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16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16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16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16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16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16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16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16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16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16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16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16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16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16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16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16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16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16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16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16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16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16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16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16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16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16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16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16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16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16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16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16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16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16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16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16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16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16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16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16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16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16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16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16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16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16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16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16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16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16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16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16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16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16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16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16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16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16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16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16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16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16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16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16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16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16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16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16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16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16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16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16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16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16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16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16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16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16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16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16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16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16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16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16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16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16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16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16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16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16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16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16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16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16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16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16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16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16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16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16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16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16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16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16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16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16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16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16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16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16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16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16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16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16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16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16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16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16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16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16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16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16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16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16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16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16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16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16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16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16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16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16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16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16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16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16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16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16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16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16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16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16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16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16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16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16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16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16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16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16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16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16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16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16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16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16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16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16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16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16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16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16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16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16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16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16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16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16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16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16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16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16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16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16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16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16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16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16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16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16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16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16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16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16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16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16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16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16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16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16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16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16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16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16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16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16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16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16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16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16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16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16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16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16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16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16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16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16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16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16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16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16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16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16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16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16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16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16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16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16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16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16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16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16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16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16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16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16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16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16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16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16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16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16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16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16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16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16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16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16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16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16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16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16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16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16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16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16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16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16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16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16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16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16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16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16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16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16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16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16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16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16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16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16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16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16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16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16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16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16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16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16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16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16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16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16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16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16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16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16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16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16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16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16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16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16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16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16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16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16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16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16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16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16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16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16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16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16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16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16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16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16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16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16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16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16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16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16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16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16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16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16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16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16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16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16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16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16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16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16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16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16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16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16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16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16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16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16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16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16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16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16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16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16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16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16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16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16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16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16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16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16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16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16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16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16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16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16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16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16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16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16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16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16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16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16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16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16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16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16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16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16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16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16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16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16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16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16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16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16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16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16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16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16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16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16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16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16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16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16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16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16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16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16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16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16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16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16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16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16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16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16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16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16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16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16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16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16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16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16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16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16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16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16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16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16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16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16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16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16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16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16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16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16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16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16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16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16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16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16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16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16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16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16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16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16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16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16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16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16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16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16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16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16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16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16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16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16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16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16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16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16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16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16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16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16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16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16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16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16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16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16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16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16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16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16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16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16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16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16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16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16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16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16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16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16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16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16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16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16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16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16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16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16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16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16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16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16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16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16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16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16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16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16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16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16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16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16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16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16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16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16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16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16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16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16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16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16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16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16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16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16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16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16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16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16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16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16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16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16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16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16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16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16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16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16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16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16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16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16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16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16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16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16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16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16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16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16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16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16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16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16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16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16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16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16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16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16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16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16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16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16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16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16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16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16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16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16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16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16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16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16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16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16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16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16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16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16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16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16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16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16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16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16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16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16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16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16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16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16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16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16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16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16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16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16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16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16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16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16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16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16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16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16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16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16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16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16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16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16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16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16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16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16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16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16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16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16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16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16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16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16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16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16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16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16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16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16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16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16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16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16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16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16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16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16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16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16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16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16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16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16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16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16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16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16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16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16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16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16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16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16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16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16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16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16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16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16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16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16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16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16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16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16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16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16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16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16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16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16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16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16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16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16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16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16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16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16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16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16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16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16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16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16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16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16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16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16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16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16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16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16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16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16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16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16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16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16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16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16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16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16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16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16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16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16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16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16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16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16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16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16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16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16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16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16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16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16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16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16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16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16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16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16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16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16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16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16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16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16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16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16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16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16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16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16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16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16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16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16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16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16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16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16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16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16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16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16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16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16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16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16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16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16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16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16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16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16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16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16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16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16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16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16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16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16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16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16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16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16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16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16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16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16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16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16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16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16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16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16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16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16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16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16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16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16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16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16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16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16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16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16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16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16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16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16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16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16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16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16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16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16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16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16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16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16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16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16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16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16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16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16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16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16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16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16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16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16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16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16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16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16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16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16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16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16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16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16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16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16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16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16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16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16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16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16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16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16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16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16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16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16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16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16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16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16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16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16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16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16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16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16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16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16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16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16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16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16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16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16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16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16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16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16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16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16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16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16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16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16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16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16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16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16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16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16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16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16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16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16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16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16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16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16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16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16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16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16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16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16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16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16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16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16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16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16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16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16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16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16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16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16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16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16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16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16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16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16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16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16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16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16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16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16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16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16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16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16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16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16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16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16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16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16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16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16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16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16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16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16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16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16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16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16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16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16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16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16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16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16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16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16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16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16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16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16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16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16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16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16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16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16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16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16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16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16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16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16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16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16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16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16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16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16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16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16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16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16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16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16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16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16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16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16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16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16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16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16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16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16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16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16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16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16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16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16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16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16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16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16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16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16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16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16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16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16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16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16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16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16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16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16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16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16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16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16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16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16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16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16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16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16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16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16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16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16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16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16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16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16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16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16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16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16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16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16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16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16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16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16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16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16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16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16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16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16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16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16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16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16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16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16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16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16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16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16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16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16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16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16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16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16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16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16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16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16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16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16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16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16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16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16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16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16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16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16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16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16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16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16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16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16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16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16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16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16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16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16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16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16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16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16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16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16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16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16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16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16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16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16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16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16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16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16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16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16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16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16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16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16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16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16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16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16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16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16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16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16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16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16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16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16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16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16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16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16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16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16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16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16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16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16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16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16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16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16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16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16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16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16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16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16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16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16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16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16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16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16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16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16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16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16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16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16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16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16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16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16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16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16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16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16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16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16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16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16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16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16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16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16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16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16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16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16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16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16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16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16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16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16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16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16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16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16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16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16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16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16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16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16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16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16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16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16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16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16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16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16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16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16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16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16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16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16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16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16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16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16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16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16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16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16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16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16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16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16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16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16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16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16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16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16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16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16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16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16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16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16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16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16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16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16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16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16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16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16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16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16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16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16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16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16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16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16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16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16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16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16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16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16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16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16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16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16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16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16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16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16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16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16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16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16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16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16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16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16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16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16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16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16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16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16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16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16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16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16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16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16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16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16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16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16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16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16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16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16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16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16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16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16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16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16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16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16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16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16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16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16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16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16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16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16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16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16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16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16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16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16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16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16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16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16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16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16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16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16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16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16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16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16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16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16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16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16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16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16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16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16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16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17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17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17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17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17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17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17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17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17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17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17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17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17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17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17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17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17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17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17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17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17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17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17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17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17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17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17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17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17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17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17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17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17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17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17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17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17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17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17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17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17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17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17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17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17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17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17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17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17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17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17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17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17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17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17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17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17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17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17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17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17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17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17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17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17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17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17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17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17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17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17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17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17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17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17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17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17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17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17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17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17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17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17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17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17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17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17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17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17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17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17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17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17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17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17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17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17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17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17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17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17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17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17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17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17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17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17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17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17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17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17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17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17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17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17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17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17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17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17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17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17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17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17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17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17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17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17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17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17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17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17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17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17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17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17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17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17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17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17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17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17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17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17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17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17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17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17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17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17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17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17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17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17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17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17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17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17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17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17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17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17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17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17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17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17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17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17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17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17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17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17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17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17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17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17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17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17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17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17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17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17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17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17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17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17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17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17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17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17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17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17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17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17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17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17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17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17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17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17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17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17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17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17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17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17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17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17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17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17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17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17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17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17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17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17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17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17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17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17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17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17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17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17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17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17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17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17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17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17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17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17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17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17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17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17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17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17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17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17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17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17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17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17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17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17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17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17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17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17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17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17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17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17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17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17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17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17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17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17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17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17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17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17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17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17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17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17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17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17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17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17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17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17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17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17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17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17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17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17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17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17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17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17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17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17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17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17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17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17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17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17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17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17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17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17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17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17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17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17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17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17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17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17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17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17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17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17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17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17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17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17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17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17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17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17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17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17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17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17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17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17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17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17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17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17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17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17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17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17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17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17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17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17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17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17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17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17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17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17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17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17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17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17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17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17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17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17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17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17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17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17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17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17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17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17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17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17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17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17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17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17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17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17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17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17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17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17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17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17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17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17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17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17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17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17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17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17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17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17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17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17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17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17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17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17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17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17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17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17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17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17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17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17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17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17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17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17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17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17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17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17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17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17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17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17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17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17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17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17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17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17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17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17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17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17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17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17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17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17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17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17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17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17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17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17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17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17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17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17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17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17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17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17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17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17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17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17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17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17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17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17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17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17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17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17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17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17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17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17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17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17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17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17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17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17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17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17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17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17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17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17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17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17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17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17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17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17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17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17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17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17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17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17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17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17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17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17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17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17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17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17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17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17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17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17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17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17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17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17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17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17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17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17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17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17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17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17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17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17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17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17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17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17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17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17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17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17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17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17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17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17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17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17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17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17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17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17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17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17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17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17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17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17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17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17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17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17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17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17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17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17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17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17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17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17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17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17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17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17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17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17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17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17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17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17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17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17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17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17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17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17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17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17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17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17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17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17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17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17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17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17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17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17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17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17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17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17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17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17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17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17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17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17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17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17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17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17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17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17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17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17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17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17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17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17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17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17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17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17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17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17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17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17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17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17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17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17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17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17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17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17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17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17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17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17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17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17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17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17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17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17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17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17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17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17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17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17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17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17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17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17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17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17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17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17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17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17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17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17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17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17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17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17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17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17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17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17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17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17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17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17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17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17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17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17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17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17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17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17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17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17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17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17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17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17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17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17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17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17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17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17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17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17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17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17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17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17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17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17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17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17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17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17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17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17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17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17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17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17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17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17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17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17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17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17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17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17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17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17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17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17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17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17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17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17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17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17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17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17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17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17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17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17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17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17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17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17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17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17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17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17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17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17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17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17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17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17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17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17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17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17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17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17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17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17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17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17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17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17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17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17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17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17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17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17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17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17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17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17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17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17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17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17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17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17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17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17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17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17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17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17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17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17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17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17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17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17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17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17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17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17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17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17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17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17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17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17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17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17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17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17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17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17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17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17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17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17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17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17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17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17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17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17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17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17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17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17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17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17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17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17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17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17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17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17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17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17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17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17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17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17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17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17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17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17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17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17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17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17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17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17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17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17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17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17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17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17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17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17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17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17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17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17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17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17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17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17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17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17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17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17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17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17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17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17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17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17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17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17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17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17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17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17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17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17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17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17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17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17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17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17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17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17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17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17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17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17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17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17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17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17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17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17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17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17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17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17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17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17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17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17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17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17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17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17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17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17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17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17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17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17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17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17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17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17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17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17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17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17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17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17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17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17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17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17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17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17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17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17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17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17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17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17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17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17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17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17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17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17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17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17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17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17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17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17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17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17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17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17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17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17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17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17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17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17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17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17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17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17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17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17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17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17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17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17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17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17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17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17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17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17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17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17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17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17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17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17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17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17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17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17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17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17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17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17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17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17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17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17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17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17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17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17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17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17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17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17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17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17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17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17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17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17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17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17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17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17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17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17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17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17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17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17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17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17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17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17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17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17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17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17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17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17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17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17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17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17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17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17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17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17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17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17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17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17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17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17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17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17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17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17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17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17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17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17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17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17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17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17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17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17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17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17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17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17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17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17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17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17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17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17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17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17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17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17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17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17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17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17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17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17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17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17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17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17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17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17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17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17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17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17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17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17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17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17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17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17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17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17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17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17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17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17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17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17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17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17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17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17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17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17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17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17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17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17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17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17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17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17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17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17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17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17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17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17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17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17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17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17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17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17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17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17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17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17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17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17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17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17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17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17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17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17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17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17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17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17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17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17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17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17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17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17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17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17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17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17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17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17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17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17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17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17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17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17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17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17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17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17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17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17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17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17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17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17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17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17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17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17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17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17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17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17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17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17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17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17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17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17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17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17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17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17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17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17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17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17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17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17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17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17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17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17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17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17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17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17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17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17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17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17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17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17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17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17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17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17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17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17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17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17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17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17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17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17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17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17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17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17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17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17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17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17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17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17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17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17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17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17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17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17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17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17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17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17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17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17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17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17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17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17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17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17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17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17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17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17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17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17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17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17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17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17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17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17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17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17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17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17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17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17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17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17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17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17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17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17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17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17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17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17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17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17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17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17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17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17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17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17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17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17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17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17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17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17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17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17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17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17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17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17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17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17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17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17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17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17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17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17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17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17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17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17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17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17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17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17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17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17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17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17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17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17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17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17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17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17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17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17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17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17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17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17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17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17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17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17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17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17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17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17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17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17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17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17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17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17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17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17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17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17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17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17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17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17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17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17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17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17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17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17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17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17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17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17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17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17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17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17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17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17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17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17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17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17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17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17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17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17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17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17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17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17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17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17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17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17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17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17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17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17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17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17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17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17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17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17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17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17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17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17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17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17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17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17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17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17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17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17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17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17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17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17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17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17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17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17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17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17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17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17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17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17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17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17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17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17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17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17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17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17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17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17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17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17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17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17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17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17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17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17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17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17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17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17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17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17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17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17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17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17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17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17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17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17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17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17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17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17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17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17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17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17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17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17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17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17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17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17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17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17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17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17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17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17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17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17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17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17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17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17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17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17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17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17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17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17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17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17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17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17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17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17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17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17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17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17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17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17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17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17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17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17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17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17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17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17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17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17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17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17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17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17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17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17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17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17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17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17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17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17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17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17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17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17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17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17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17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17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17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17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17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17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17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17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17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17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17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17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17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17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17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17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17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17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17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17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17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17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17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17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17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17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17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17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17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17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17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17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17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17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17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17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17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17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17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17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17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17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17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17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17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17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17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17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17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17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17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17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17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17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17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17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17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17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17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17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17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17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17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17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17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17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17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17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17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17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17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17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17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17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17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17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17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17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17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17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17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17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17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17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17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17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17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17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17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17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17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17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17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17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17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17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17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17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17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17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17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17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17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17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17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17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17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17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17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17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17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17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17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17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17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17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17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17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17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17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17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17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17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17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17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17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17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17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17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17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17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17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17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17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17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17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17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17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17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17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17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17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17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17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17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17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17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17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17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17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17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17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17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17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17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17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17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17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17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17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17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17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17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17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17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17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17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17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17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17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17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17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17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17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17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17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17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17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17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17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17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17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17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17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17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17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17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17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17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17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17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17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17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17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17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17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17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17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17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17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17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17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17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17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17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17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17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17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17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17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17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17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17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17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17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17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17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17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17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17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17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17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17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17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17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17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17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17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17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17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17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17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17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17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17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17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17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17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17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17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17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17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17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17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17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17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17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17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17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17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17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17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17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17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17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17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17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17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17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17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17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17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17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17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17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17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17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17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17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17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17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17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17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17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17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17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17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17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17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17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17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17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17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17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17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17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17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17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17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17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17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17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17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17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17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17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17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17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17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17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17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17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17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17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17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17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17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17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17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17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17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17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17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17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17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17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17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17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17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17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17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17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17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17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17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17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17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17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17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17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17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17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17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17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17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17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17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17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17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17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17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17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17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17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17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17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17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17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17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17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17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17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17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17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17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17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17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17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17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17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17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17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17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17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17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17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17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17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17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17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17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17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17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17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17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17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17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17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17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17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17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17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17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17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17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17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17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17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17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17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17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17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17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17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17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17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17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17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17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17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17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17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17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17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17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17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17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17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17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17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17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17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17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17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17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17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17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17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17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17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17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17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17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17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17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17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17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17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17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17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17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17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17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17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17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17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17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17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17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17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17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17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17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17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17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17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17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17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17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17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17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17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17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17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17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17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17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17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17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17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17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17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17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17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17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17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17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17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17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17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17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17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17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17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17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17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17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17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17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17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17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17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17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17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17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17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17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17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17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17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17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17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17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17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17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17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17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17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17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17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17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17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17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17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17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17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17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17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17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17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17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17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17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17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17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17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17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17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17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17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17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17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17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17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17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17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17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17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17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17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17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17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17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17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17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17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17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17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17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17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17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17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17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17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17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17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17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17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17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17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17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17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17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17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17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17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17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17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17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17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17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17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17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17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17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17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17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17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17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17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17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17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17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17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17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17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17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17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17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17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17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17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17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17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17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17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17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17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17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17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17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17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17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17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17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17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17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17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17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17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17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17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17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17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17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17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17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17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17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17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17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17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17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17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17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17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17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17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17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17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17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17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17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17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17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17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17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17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17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17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17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17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17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17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17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17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17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17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17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17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17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17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17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17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17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17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17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17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17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17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17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17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17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17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17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17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17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17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17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17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17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17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17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17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17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17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17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17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17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17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17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17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17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17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17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17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17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17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17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17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17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17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17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17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17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17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17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17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17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17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17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17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17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17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17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17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17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17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17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17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17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17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17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17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17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17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17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17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17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17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17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17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17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17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17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17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17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17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17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17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17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17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17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17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17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17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17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17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17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17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17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17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17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17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17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17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17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17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17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17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17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17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17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17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17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17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17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17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17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17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17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17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17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17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17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17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17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17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17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17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17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17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17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17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17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17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17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17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17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17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17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17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17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17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17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17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17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17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17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17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17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17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17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17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17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17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17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17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17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17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17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17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17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17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17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17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17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17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17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17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17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17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17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17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17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17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17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17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17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17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17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17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17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17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17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17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17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17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17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17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17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17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17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17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17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17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17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17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17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17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17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17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17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17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17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17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17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17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17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17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17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17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17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17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17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17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17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17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17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17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17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17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17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17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17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17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17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17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17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17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17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17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17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17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17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17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17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17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17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17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17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17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17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17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17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17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17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17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17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17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17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17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17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17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17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17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17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17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17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17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17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17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17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17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17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17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17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17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17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17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17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17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17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17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17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17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17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17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17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17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17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17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17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17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17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17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17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17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17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17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17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17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17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17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17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17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17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17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17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17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17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17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17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17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17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17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17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17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17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17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17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17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17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17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17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17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17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17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17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17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17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17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17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17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17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17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17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17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17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17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17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17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17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17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17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17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17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17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17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17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17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17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17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17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17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17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17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17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17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17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17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17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17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17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17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17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17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17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17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17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17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17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17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17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17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17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17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17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17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17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17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17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17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17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17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17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17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17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17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17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17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17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17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17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17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17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17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17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17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17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17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17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17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17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17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17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17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17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17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17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17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17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17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17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17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17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17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17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17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17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17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17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17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17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17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17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17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17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17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17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17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17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17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17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17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17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17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17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17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17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17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17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17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17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17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17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17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17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17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17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17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17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17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17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17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17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17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17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17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17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17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17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17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17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17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17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17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17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17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17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17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17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17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17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17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17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17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17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17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17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17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17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17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17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17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17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17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17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17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17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17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17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17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17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17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17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17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17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17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17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17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17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17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17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17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17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17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17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17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17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17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17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17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17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17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17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17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17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17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17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17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17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17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17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17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17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17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17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17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17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17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17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17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17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17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17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17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17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17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17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17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17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17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17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17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17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17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17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17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17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17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17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17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17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17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17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17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17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17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17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17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17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17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17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17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17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17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17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17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17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17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17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17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17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17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17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17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17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17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17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17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17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17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17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17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17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17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17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17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17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17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17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17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17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17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17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17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17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17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17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17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17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17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17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17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17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17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17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17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17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17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17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17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17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17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17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17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17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17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17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17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17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17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17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17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17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17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17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17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17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17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17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17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17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17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17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17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17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17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17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17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17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17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17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17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17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17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17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17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17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17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17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17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17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17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17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17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17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17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17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17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17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17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17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17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17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17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17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17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17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17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17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17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17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17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17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17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17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17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17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17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17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17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17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17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17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17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17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17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17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17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17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17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17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17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17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17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17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17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17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17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17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17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17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17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17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17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17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17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17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17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17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17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17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17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17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17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17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17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17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17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17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17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17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17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17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17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17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17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17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17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17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17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17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17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17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17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17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17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17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17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17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17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17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17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17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17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17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17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17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17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17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17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17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17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17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17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17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17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17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17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17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17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17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17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17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17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17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17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17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17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17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17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17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17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17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17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17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17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17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17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17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17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17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17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17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17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17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17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17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17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17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17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17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17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17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17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17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17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17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17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17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17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17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17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17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17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17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17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17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17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17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17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17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17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17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17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17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17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17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17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17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17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17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17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17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17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17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17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17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17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17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17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17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17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17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17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17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17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17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17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17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17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17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17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17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17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17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17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17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17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17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17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17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17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17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17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17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17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17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17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17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17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17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17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17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17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17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17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17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17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17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17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17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17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17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17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17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17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17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17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17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17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17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17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17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17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17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17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17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17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17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17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17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17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17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17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17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17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17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17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17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17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17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17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17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17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17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17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17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17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17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17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17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17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17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17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17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17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17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17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17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17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17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17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17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17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17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17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17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17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17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17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17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17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17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17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17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17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17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17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17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17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17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17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17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17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17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17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17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17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17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17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17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17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17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17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17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17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17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17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17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17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17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17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17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17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17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17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17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17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17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17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17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17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17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17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17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17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17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17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17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17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17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17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17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17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17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17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17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17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17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17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17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17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17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17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17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17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17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17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17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17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17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17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17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17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17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17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17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17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17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17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17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17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17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17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17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17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17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17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17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17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17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17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17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17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17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17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17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17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17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17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17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17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17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17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17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17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17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17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17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17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17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17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17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17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17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17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17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17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17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17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17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17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17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17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17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17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17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17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17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17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17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17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17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17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17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17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17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17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17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17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17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17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17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17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17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17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17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17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17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17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17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17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17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17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17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17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17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17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17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17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17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17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17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17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17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17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17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17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17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17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17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17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17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17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17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17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17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17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17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17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17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17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17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17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17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17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17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17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17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17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17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17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17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17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17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17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17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17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17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17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17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17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17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17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17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17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17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17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17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17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17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17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17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17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17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17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17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17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17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17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17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17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17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17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17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17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17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17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17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17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17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17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17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17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17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17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17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17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17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17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17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17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17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17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17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17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17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17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17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17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17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17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17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17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17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17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17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17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17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17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17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17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17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17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17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17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17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17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17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17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17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17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17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17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17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17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17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17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17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17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17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17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17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17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17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17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17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17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17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17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17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17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17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17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17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17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17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17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17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17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17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17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17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17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17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17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17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17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17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17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17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17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17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17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17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17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17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17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17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17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17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17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17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17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17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17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17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17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17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17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17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17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17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17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17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17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17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17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17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17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17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17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17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17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17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17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17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17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17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17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17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17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17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17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17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17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17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17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17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17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17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17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17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17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17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17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17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17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17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17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17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17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17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17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17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17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17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17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17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17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17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17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17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17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17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17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17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17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17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17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17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17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17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17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17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17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17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17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17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17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17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17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17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17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17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17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17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17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17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17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17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17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17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17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17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17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17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17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17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17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17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17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17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17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17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17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17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17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17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17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17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17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17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17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17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17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17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17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17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17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17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17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17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17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17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17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17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17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17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17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17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17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17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17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17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17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17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17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17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17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17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17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17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17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17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17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17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17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17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17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17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17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17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17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17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17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17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17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17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17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17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17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17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17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17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17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17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17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17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17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17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17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17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17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17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17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17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17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17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17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17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17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17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17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17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17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17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17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17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17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17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17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17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17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17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17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17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17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17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17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17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17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17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17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17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17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17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17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17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17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17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17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17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17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17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17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17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17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17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17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17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17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17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17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17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17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17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17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17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17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17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17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17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17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17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17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17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17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17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17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17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17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17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17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17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17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17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17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17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17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17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17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17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17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17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17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17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17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17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17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17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17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17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17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17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17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17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17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17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17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17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17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17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17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17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17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17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17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17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17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17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17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17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17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17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17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17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17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17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17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17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17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17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17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17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17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17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17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17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17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17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17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17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17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17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17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17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17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17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17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17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17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17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17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17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17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17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17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17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17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17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17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17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17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17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17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17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17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17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17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17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17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17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17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17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17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17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17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17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17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17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17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17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17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17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17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17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17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17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17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17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17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17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17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17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17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17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17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17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17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17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17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17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17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17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17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17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17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17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17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17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17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17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17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17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17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17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17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17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17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17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17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17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17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17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17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17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17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17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17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17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17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17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17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17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17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17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17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17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17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17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17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17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17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17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17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17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17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17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17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17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17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17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17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17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17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17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17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17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17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17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17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17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17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17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17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17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17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17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17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17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17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17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17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17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17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17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17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17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17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17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17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17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17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17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17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17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17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17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17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17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17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17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17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17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17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17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17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17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17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17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17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17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17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17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17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17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17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17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17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17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17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17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17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17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17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17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17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17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17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17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17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17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17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17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17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17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17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17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17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17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17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17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17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17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17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17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17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17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17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17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17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17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17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17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17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17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17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17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17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17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17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17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17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17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17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17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17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17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17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17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17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17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17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17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17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17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17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17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17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17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17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17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17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17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17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17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17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17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17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17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17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17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17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17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17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17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17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17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17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17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17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17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17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17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17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17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17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17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17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17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17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17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17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17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17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17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17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17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17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17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17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17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17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17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17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17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17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17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17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17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17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17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17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17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17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17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17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17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17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17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17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17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17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17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17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17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17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17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17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17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17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17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17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17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17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17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17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17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17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17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17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17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17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17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17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17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17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17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17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17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17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17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17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17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17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17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17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17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17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17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17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17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17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17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17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17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17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17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17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17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17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17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17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17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17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17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17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17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17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17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17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17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17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17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17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17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17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17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17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17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17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17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17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17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17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17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17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17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17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17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17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16">
        <v>2013</v>
      </c>
      <c r="C11212" s="18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16">
        <v>2013</v>
      </c>
      <c r="C11213" s="18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16">
        <v>2013</v>
      </c>
      <c r="C11214" s="18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16">
        <v>2013</v>
      </c>
      <c r="C11215" s="18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16">
        <v>2013</v>
      </c>
      <c r="C11216" s="18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16">
        <v>2013</v>
      </c>
      <c r="C11217" s="18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16">
        <v>2013</v>
      </c>
      <c r="C11218" s="18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16">
        <v>2013</v>
      </c>
      <c r="C11219" s="18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16">
        <v>2013</v>
      </c>
      <c r="C11220" s="18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16">
        <v>2013</v>
      </c>
      <c r="C11221" s="18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16">
        <v>2013</v>
      </c>
      <c r="C11222" s="18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16">
        <v>2013</v>
      </c>
      <c r="C11223" s="18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16">
        <v>2013</v>
      </c>
      <c r="C11224" s="18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16">
        <v>2013</v>
      </c>
      <c r="C11225" s="18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16">
        <v>2013</v>
      </c>
      <c r="C11226" s="18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16">
        <v>2013</v>
      </c>
      <c r="C11227" s="18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16">
        <v>2013</v>
      </c>
      <c r="C11228" s="18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16">
        <v>2013</v>
      </c>
      <c r="C11229" s="18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16">
        <v>2013</v>
      </c>
      <c r="C11230" s="18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16">
        <v>2013</v>
      </c>
      <c r="C11231" s="18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16">
        <v>2013</v>
      </c>
      <c r="C11232" s="18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16">
        <v>2013</v>
      </c>
      <c r="C11233" s="18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16">
        <v>2013</v>
      </c>
      <c r="C11234" s="18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16">
        <v>2013</v>
      </c>
      <c r="C11235" s="18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16">
        <v>2013</v>
      </c>
      <c r="C11236" s="18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16">
        <v>2013</v>
      </c>
      <c r="C11237" s="18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16">
        <v>2013</v>
      </c>
      <c r="C11238" s="18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16">
        <v>2013</v>
      </c>
      <c r="C11239" s="18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16">
        <v>2013</v>
      </c>
      <c r="C11240" s="18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16">
        <v>2013</v>
      </c>
      <c r="C11241" s="18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16">
        <v>2013</v>
      </c>
      <c r="C11242" s="18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16">
        <v>2013</v>
      </c>
      <c r="C11243" s="18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16">
        <v>2013</v>
      </c>
      <c r="C11244" s="18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16">
        <v>2013</v>
      </c>
      <c r="C11245" s="18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16">
        <v>2013</v>
      </c>
      <c r="C11246" s="18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16">
        <v>2013</v>
      </c>
      <c r="C11247" s="18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16">
        <v>2013</v>
      </c>
      <c r="C11248" s="18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16">
        <v>2013</v>
      </c>
      <c r="C11249" s="18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16">
        <v>2013</v>
      </c>
      <c r="C11250" s="18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16">
        <v>2013</v>
      </c>
      <c r="C11251" s="18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16">
        <v>2013</v>
      </c>
      <c r="C11252" s="18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16">
        <v>2013</v>
      </c>
      <c r="C11253" s="18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16">
        <v>2013</v>
      </c>
      <c r="C11254" s="18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16">
        <v>2013</v>
      </c>
      <c r="C11255" s="18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16">
        <v>2013</v>
      </c>
      <c r="C11256" s="18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16">
        <v>2013</v>
      </c>
      <c r="C11257" s="18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16">
        <v>2013</v>
      </c>
      <c r="C11258" s="18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16">
        <v>2013</v>
      </c>
      <c r="C11259" s="18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16">
        <v>2013</v>
      </c>
      <c r="C11260" s="18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16">
        <v>2013</v>
      </c>
      <c r="C11261" s="18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16">
        <v>2013</v>
      </c>
      <c r="C11262" s="18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16">
        <v>2013</v>
      </c>
      <c r="C11263" s="18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16">
        <v>2013</v>
      </c>
      <c r="C11264" s="18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16">
        <v>2013</v>
      </c>
      <c r="C11265" s="18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16">
        <v>2013</v>
      </c>
      <c r="C11266" s="18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16">
        <v>2013</v>
      </c>
      <c r="C11267" s="18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16">
        <v>2013</v>
      </c>
      <c r="C11268" s="18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16">
        <v>2013</v>
      </c>
      <c r="C11269" s="18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16">
        <v>2013</v>
      </c>
      <c r="C11270" s="18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16">
        <v>2013</v>
      </c>
      <c r="C11271" s="18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16">
        <v>2013</v>
      </c>
      <c r="C11272" s="18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16">
        <v>2013</v>
      </c>
      <c r="C11273" s="18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16">
        <v>2013</v>
      </c>
      <c r="C11274" s="18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16">
        <v>2013</v>
      </c>
      <c r="C11275" s="18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16">
        <v>2013</v>
      </c>
      <c r="C11276" s="18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16">
        <v>2013</v>
      </c>
      <c r="C11277" s="18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16">
        <v>2013</v>
      </c>
      <c r="C11278" s="18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16">
        <v>2013</v>
      </c>
      <c r="C11279" s="18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16">
        <v>2013</v>
      </c>
      <c r="C11280" s="18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16">
        <v>2013</v>
      </c>
      <c r="C11281" s="18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16">
        <v>2013</v>
      </c>
      <c r="C11282" s="18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16">
        <v>2013</v>
      </c>
      <c r="C11283" s="18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16">
        <v>2013</v>
      </c>
      <c r="C11284" s="18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16">
        <v>2013</v>
      </c>
      <c r="C11285" s="18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16">
        <v>2013</v>
      </c>
      <c r="C11286" s="18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16">
        <v>2013</v>
      </c>
      <c r="C11287" s="18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16">
        <v>2013</v>
      </c>
      <c r="C11288" s="18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16">
        <v>2013</v>
      </c>
      <c r="C11289" s="18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16">
        <v>2013</v>
      </c>
      <c r="C11290" s="18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16">
        <v>2013</v>
      </c>
      <c r="C11291" s="18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16">
        <v>2013</v>
      </c>
      <c r="C11292" s="18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16">
        <v>2013</v>
      </c>
      <c r="C11293" s="18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16">
        <v>2013</v>
      </c>
      <c r="C11294" s="18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16">
        <v>2013</v>
      </c>
      <c r="C11295" s="18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16">
        <v>2013</v>
      </c>
      <c r="C11296" s="18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16">
        <v>2013</v>
      </c>
      <c r="C11297" s="18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16">
        <v>2013</v>
      </c>
      <c r="C11298" s="18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16">
        <v>2013</v>
      </c>
      <c r="C11299" s="18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16">
        <v>2013</v>
      </c>
      <c r="C11300" s="18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16">
        <v>2013</v>
      </c>
      <c r="C11301" s="18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16">
        <v>2013</v>
      </c>
      <c r="C11302" s="18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16">
        <v>2013</v>
      </c>
      <c r="C11303" s="18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16">
        <v>2013</v>
      </c>
      <c r="C11304" s="18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16">
        <v>2013</v>
      </c>
      <c r="C11305" s="18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16">
        <v>2013</v>
      </c>
      <c r="C11306" s="18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16">
        <v>2013</v>
      </c>
      <c r="C11307" s="18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16">
        <v>2013</v>
      </c>
      <c r="C11308" s="18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16">
        <v>2013</v>
      </c>
      <c r="C11309" s="18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16">
        <v>2013</v>
      </c>
      <c r="C11310" s="18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16">
        <v>2013</v>
      </c>
      <c r="C11311" s="18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16">
        <v>2013</v>
      </c>
      <c r="C11312" s="18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16">
        <v>2013</v>
      </c>
      <c r="C11313" s="18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16">
        <v>2013</v>
      </c>
      <c r="C11314" s="18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16">
        <v>2013</v>
      </c>
      <c r="C11315" s="18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16">
        <v>2013</v>
      </c>
      <c r="C11316" s="18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16">
        <v>2013</v>
      </c>
      <c r="C11317" s="18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16">
        <v>2013</v>
      </c>
      <c r="C11318" s="18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16">
        <v>2013</v>
      </c>
      <c r="C11319" s="18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16">
        <v>2013</v>
      </c>
      <c r="C11320" s="18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16">
        <v>2013</v>
      </c>
      <c r="C11321" s="18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16">
        <v>2013</v>
      </c>
      <c r="C11322" s="18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16">
        <v>2013</v>
      </c>
      <c r="C11323" s="18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16">
        <v>2013</v>
      </c>
      <c r="C11324" s="18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16">
        <v>2013</v>
      </c>
      <c r="C11325" s="18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16">
        <v>2013</v>
      </c>
      <c r="C11326" s="18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16">
        <v>2013</v>
      </c>
      <c r="C11327" s="18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16">
        <v>2013</v>
      </c>
      <c r="C11328" s="18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16">
        <v>2013</v>
      </c>
      <c r="C11329" s="18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16">
        <v>2013</v>
      </c>
      <c r="C11330" s="18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16">
        <v>2013</v>
      </c>
      <c r="C11331" s="18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16">
        <v>2013</v>
      </c>
      <c r="C11332" s="18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16">
        <v>2013</v>
      </c>
      <c r="C11333" s="18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16">
        <v>2013</v>
      </c>
      <c r="C11334" s="18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16">
        <v>2013</v>
      </c>
      <c r="C11335" s="18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16">
        <v>2013</v>
      </c>
      <c r="C11336" s="18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16">
        <v>2013</v>
      </c>
      <c r="C11337" s="18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16">
        <v>2013</v>
      </c>
      <c r="C11338" s="18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16">
        <v>2013</v>
      </c>
      <c r="C11339" s="18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16">
        <v>2013</v>
      </c>
      <c r="C11340" s="18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16">
        <v>2013</v>
      </c>
      <c r="C11341" s="18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16">
        <v>2013</v>
      </c>
      <c r="C11342" s="18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16">
        <v>2013</v>
      </c>
      <c r="C11343" s="18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16">
        <v>2013</v>
      </c>
      <c r="C11344" s="18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16">
        <v>2013</v>
      </c>
      <c r="C11345" s="18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16">
        <v>2013</v>
      </c>
      <c r="C11346" s="18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16">
        <v>2013</v>
      </c>
      <c r="C11347" s="18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16">
        <v>2013</v>
      </c>
      <c r="C11348" s="18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16">
        <v>2013</v>
      </c>
      <c r="C11349" s="18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16">
        <v>2013</v>
      </c>
      <c r="C11350" s="18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16">
        <v>2013</v>
      </c>
      <c r="C11351" s="18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16">
        <v>2013</v>
      </c>
      <c r="C11352" s="18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16">
        <v>2013</v>
      </c>
      <c r="C11353" s="18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16">
        <v>2013</v>
      </c>
      <c r="C11354" s="18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16">
        <v>2013</v>
      </c>
      <c r="C11355" s="18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16">
        <v>2013</v>
      </c>
      <c r="C11356" s="18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16">
        <v>2013</v>
      </c>
      <c r="C11357" s="18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16">
        <v>2013</v>
      </c>
      <c r="C11358" s="18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16">
        <v>2013</v>
      </c>
      <c r="C11359" s="18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16">
        <v>2013</v>
      </c>
      <c r="C11360" s="18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16">
        <v>2013</v>
      </c>
      <c r="C11361" s="18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16">
        <v>2013</v>
      </c>
      <c r="C11362" s="18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16">
        <v>2013</v>
      </c>
      <c r="C11363" s="18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16">
        <v>2013</v>
      </c>
      <c r="C11364" s="18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16">
        <v>2013</v>
      </c>
      <c r="C11365" s="18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16">
        <v>2013</v>
      </c>
      <c r="C11366" s="18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16">
        <v>2013</v>
      </c>
      <c r="C11367" s="18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16">
        <v>2013</v>
      </c>
      <c r="C11368" s="18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16">
        <v>2013</v>
      </c>
      <c r="C11369" s="18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16">
        <v>2013</v>
      </c>
      <c r="C11370" s="18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16">
        <v>2013</v>
      </c>
      <c r="C11371" s="18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16">
        <v>2013</v>
      </c>
      <c r="C11372" s="18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16">
        <v>2013</v>
      </c>
      <c r="C11373" s="18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16">
        <v>2013</v>
      </c>
      <c r="C11374" s="18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16">
        <v>2013</v>
      </c>
      <c r="C11375" s="18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16">
        <v>2013</v>
      </c>
      <c r="C11376" s="18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16">
        <v>2013</v>
      </c>
      <c r="C11377" s="18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16">
        <v>2013</v>
      </c>
      <c r="C11378" s="18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16">
        <v>2013</v>
      </c>
      <c r="C11379" s="18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16">
        <v>2013</v>
      </c>
      <c r="C11380" s="18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16">
        <v>2013</v>
      </c>
      <c r="C11381" s="18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16">
        <v>2013</v>
      </c>
      <c r="C11382" s="18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16">
        <v>2013</v>
      </c>
      <c r="C11383" s="18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16">
        <v>2013</v>
      </c>
      <c r="C11384" s="18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16">
        <v>2013</v>
      </c>
      <c r="C11385" s="18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16">
        <v>2013</v>
      </c>
      <c r="C11386" s="18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16">
        <v>2013</v>
      </c>
      <c r="C11387" s="18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16">
        <v>2013</v>
      </c>
      <c r="C11388" s="18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16">
        <v>2013</v>
      </c>
      <c r="C11389" s="18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16">
        <v>2013</v>
      </c>
      <c r="C11390" s="18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16">
        <v>2013</v>
      </c>
      <c r="C11391" s="18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16">
        <v>2013</v>
      </c>
      <c r="C11392" s="18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16">
        <v>2013</v>
      </c>
      <c r="C11393" s="18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16">
        <v>2013</v>
      </c>
      <c r="C11394" s="18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16">
        <v>2013</v>
      </c>
      <c r="C11395" s="18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16">
        <v>2013</v>
      </c>
      <c r="C11396" s="18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16">
        <v>2013</v>
      </c>
      <c r="C11397" s="18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16">
        <v>2013</v>
      </c>
      <c r="C11398" s="18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16">
        <v>2013</v>
      </c>
      <c r="C11399" s="18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16">
        <v>2013</v>
      </c>
      <c r="C11400" s="18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16">
        <v>2013</v>
      </c>
      <c r="C11401" s="18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16">
        <v>2013</v>
      </c>
      <c r="C11402" s="18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16">
        <v>2013</v>
      </c>
      <c r="C11403" s="18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16">
        <v>2013</v>
      </c>
      <c r="C11404" s="18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16">
        <v>2013</v>
      </c>
      <c r="C11405" s="18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16">
        <v>2013</v>
      </c>
      <c r="C11406" s="18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16">
        <v>2013</v>
      </c>
      <c r="C11407" s="18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16">
        <v>2013</v>
      </c>
      <c r="C11408" s="18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16">
        <v>2013</v>
      </c>
      <c r="C11409" s="18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16">
        <v>2013</v>
      </c>
      <c r="C11410" s="18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16">
        <v>2013</v>
      </c>
      <c r="C11411" s="18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16">
        <v>2013</v>
      </c>
      <c r="C11412" s="18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16">
        <v>2013</v>
      </c>
      <c r="C11413" s="18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16">
        <v>2013</v>
      </c>
      <c r="C11414" s="18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16">
        <v>2013</v>
      </c>
      <c r="C11415" s="18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16">
        <v>2013</v>
      </c>
      <c r="C11416" s="18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16">
        <v>2013</v>
      </c>
      <c r="C11417" s="18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16">
        <v>2013</v>
      </c>
      <c r="C11418" s="18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16">
        <v>2013</v>
      </c>
      <c r="C11419" s="18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16">
        <v>2013</v>
      </c>
      <c r="C11420" s="18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16">
        <v>2013</v>
      </c>
      <c r="C11421" s="18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16">
        <v>2013</v>
      </c>
      <c r="C11422" s="18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16">
        <v>2013</v>
      </c>
      <c r="C11423" s="18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16">
        <v>2013</v>
      </c>
      <c r="C11424" s="18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16">
        <v>2013</v>
      </c>
      <c r="C11425" s="18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16">
        <v>2013</v>
      </c>
      <c r="C11426" s="18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16">
        <v>2013</v>
      </c>
      <c r="C11427" s="18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16">
        <v>2013</v>
      </c>
      <c r="C11428" s="18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16">
        <v>2013</v>
      </c>
      <c r="C11429" s="18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16">
        <v>2013</v>
      </c>
      <c r="C11430" s="18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16">
        <v>2013</v>
      </c>
      <c r="C11431" s="18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16">
        <v>2013</v>
      </c>
      <c r="C11432" s="18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16">
        <v>2013</v>
      </c>
      <c r="C11433" s="18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16">
        <v>2013</v>
      </c>
      <c r="C11434" s="18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16">
        <v>2013</v>
      </c>
      <c r="C11435" s="18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16">
        <v>2013</v>
      </c>
      <c r="C11436" s="18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16">
        <v>2013</v>
      </c>
      <c r="C11437" s="18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16">
        <v>2013</v>
      </c>
      <c r="C11438" s="18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16">
        <v>2013</v>
      </c>
      <c r="C11439" s="18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16">
        <v>2013</v>
      </c>
      <c r="C11440" s="18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16">
        <v>2013</v>
      </c>
      <c r="C11441" s="18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16">
        <v>2013</v>
      </c>
      <c r="C11442" s="18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16">
        <v>2013</v>
      </c>
      <c r="C11443" s="18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16">
        <v>2013</v>
      </c>
      <c r="C11444" s="18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16">
        <v>2013</v>
      </c>
      <c r="C11445" s="18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16">
        <v>2013</v>
      </c>
      <c r="C11446" s="18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16">
        <v>2013</v>
      </c>
      <c r="C11447" s="18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16">
        <v>2013</v>
      </c>
      <c r="C11448" s="18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16">
        <v>2013</v>
      </c>
      <c r="C11449" s="18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16">
        <v>2013</v>
      </c>
      <c r="C11450" s="18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16">
        <v>2013</v>
      </c>
      <c r="C11451" s="18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16">
        <v>2013</v>
      </c>
      <c r="C11452" s="18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16">
        <v>2013</v>
      </c>
      <c r="C11453" s="18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16">
        <v>2013</v>
      </c>
      <c r="C11454" s="18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16">
        <v>2013</v>
      </c>
      <c r="C11455" s="18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16">
        <v>2013</v>
      </c>
      <c r="C11456" s="18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16">
        <v>2013</v>
      </c>
      <c r="C11457" s="18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16">
        <v>2013</v>
      </c>
      <c r="C11458" s="18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16">
        <v>2013</v>
      </c>
      <c r="C11459" s="18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16">
        <v>2013</v>
      </c>
      <c r="C11460" s="18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16">
        <v>2013</v>
      </c>
      <c r="C11461" s="18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16">
        <v>2013</v>
      </c>
      <c r="C11462" s="18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16">
        <v>2013</v>
      </c>
      <c r="C11463" s="18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16">
        <v>2013</v>
      </c>
      <c r="C11464" s="18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16">
        <v>2013</v>
      </c>
      <c r="C11465" s="18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16">
        <v>2013</v>
      </c>
      <c r="C11466" s="18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16">
        <v>2013</v>
      </c>
      <c r="C11467" s="18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16">
        <v>2013</v>
      </c>
      <c r="C11468" s="18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16">
        <v>2013</v>
      </c>
      <c r="C11469" s="18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16">
        <v>2013</v>
      </c>
      <c r="C11470" s="18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16">
        <v>2013</v>
      </c>
      <c r="C11471" s="18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16">
        <v>2013</v>
      </c>
      <c r="C11472" s="18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16">
        <v>2013</v>
      </c>
      <c r="C11473" s="18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16">
        <v>2013</v>
      </c>
      <c r="C11474" s="18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16">
        <v>2013</v>
      </c>
      <c r="C11475" s="18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16">
        <v>2013</v>
      </c>
      <c r="C11476" s="18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16">
        <v>2013</v>
      </c>
      <c r="C11477" s="18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16">
        <v>2013</v>
      </c>
      <c r="C11478" s="18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16">
        <v>2013</v>
      </c>
      <c r="C11479" s="18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16">
        <v>2013</v>
      </c>
      <c r="C11480" s="18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16">
        <v>2013</v>
      </c>
      <c r="C11481" s="18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16">
        <v>2013</v>
      </c>
      <c r="C11482" s="18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16">
        <v>2013</v>
      </c>
      <c r="C11483" s="18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16">
        <v>2013</v>
      </c>
      <c r="C11484" s="18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16">
        <v>2013</v>
      </c>
      <c r="C11485" s="18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16">
        <v>2013</v>
      </c>
      <c r="C11486" s="18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16">
        <v>2013</v>
      </c>
      <c r="C11487" s="18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16">
        <v>2013</v>
      </c>
      <c r="C11488" s="18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16">
        <v>2013</v>
      </c>
      <c r="C11489" s="18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16">
        <v>2013</v>
      </c>
      <c r="C11490" s="18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16">
        <v>2013</v>
      </c>
      <c r="C11491" s="18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16">
        <v>2013</v>
      </c>
      <c r="C11492" s="18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16">
        <v>2013</v>
      </c>
      <c r="C11493" s="18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16">
        <v>2013</v>
      </c>
      <c r="C11494" s="18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16">
        <v>2013</v>
      </c>
      <c r="C11495" s="18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16">
        <v>2013</v>
      </c>
      <c r="C11496" s="18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16">
        <v>2013</v>
      </c>
      <c r="C11497" s="18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16">
        <v>2013</v>
      </c>
      <c r="C11498" s="18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16">
        <v>2013</v>
      </c>
      <c r="C11499" s="18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16">
        <v>2013</v>
      </c>
      <c r="C11500" s="18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16">
        <v>2013</v>
      </c>
      <c r="C11501" s="18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16">
        <v>2013</v>
      </c>
      <c r="C11502" s="18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16">
        <v>2013</v>
      </c>
      <c r="C11503" s="18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16">
        <v>2013</v>
      </c>
      <c r="C11504" s="18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16">
        <v>2013</v>
      </c>
      <c r="C11505" s="18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16">
        <v>2013</v>
      </c>
      <c r="C11506" s="18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16">
        <v>2013</v>
      </c>
      <c r="C11507" s="18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16">
        <v>2013</v>
      </c>
      <c r="C11508" s="18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16">
        <v>2013</v>
      </c>
      <c r="C11509" s="18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16">
        <v>2013</v>
      </c>
      <c r="C11510" s="18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16">
        <v>2013</v>
      </c>
      <c r="C11511" s="18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16">
        <v>2013</v>
      </c>
      <c r="C11512" s="18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16">
        <v>2013</v>
      </c>
      <c r="C11513" s="18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16">
        <v>2013</v>
      </c>
      <c r="C11514" s="18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16">
        <v>2013</v>
      </c>
      <c r="C11515" s="18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16">
        <v>2013</v>
      </c>
      <c r="C11516" s="18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16">
        <v>2013</v>
      </c>
      <c r="C11517" s="18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16">
        <v>2013</v>
      </c>
      <c r="C11518" s="18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16">
        <v>2013</v>
      </c>
      <c r="C11519" s="18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16">
        <v>2013</v>
      </c>
      <c r="C11520" s="18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16">
        <v>2013</v>
      </c>
      <c r="C11521" s="18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16">
        <v>2013</v>
      </c>
      <c r="C11522" s="18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16">
        <v>2013</v>
      </c>
      <c r="C11523" s="18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16">
        <v>2013</v>
      </c>
      <c r="C11524" s="18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16">
        <v>2013</v>
      </c>
      <c r="C11525" s="18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16">
        <v>2013</v>
      </c>
      <c r="C11526" s="18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16">
        <v>2013</v>
      </c>
      <c r="C11527" s="18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16">
        <v>2013</v>
      </c>
      <c r="C11528" s="18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16">
        <v>2013</v>
      </c>
      <c r="C11529" s="18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16">
        <v>2013</v>
      </c>
      <c r="C11530" s="18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16">
        <v>2013</v>
      </c>
      <c r="C11531" s="18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16">
        <v>2013</v>
      </c>
      <c r="C11532" s="18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16">
        <v>2013</v>
      </c>
      <c r="C11533" s="18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16">
        <v>2013</v>
      </c>
      <c r="C11534" s="18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16">
        <v>2013</v>
      </c>
      <c r="C11535" s="18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16">
        <v>2013</v>
      </c>
      <c r="C11536" s="18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16">
        <v>2013</v>
      </c>
      <c r="C11537" s="18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16">
        <v>2013</v>
      </c>
      <c r="C11538" s="18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16">
        <v>2013</v>
      </c>
      <c r="C11539" s="18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16">
        <v>2013</v>
      </c>
      <c r="C11540" s="18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16">
        <v>2013</v>
      </c>
      <c r="C11541" s="18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16">
        <v>2013</v>
      </c>
      <c r="C11542" s="18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16">
        <v>2013</v>
      </c>
      <c r="C11543" s="18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16">
        <v>2013</v>
      </c>
      <c r="C11544" s="18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16">
        <v>2013</v>
      </c>
      <c r="C11545" s="18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16">
        <v>2013</v>
      </c>
      <c r="C11546" s="18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16">
        <v>2013</v>
      </c>
      <c r="C11547" s="18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16">
        <v>2013</v>
      </c>
      <c r="C11548" s="18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16">
        <v>2013</v>
      </c>
      <c r="C11549" s="18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16">
        <v>2013</v>
      </c>
      <c r="C11550" s="18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16">
        <v>2013</v>
      </c>
      <c r="C11551" s="18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16">
        <v>2013</v>
      </c>
      <c r="C11552" s="18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16">
        <v>2013</v>
      </c>
      <c r="C11553" s="18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16">
        <v>2013</v>
      </c>
      <c r="C11554" s="18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16">
        <v>2013</v>
      </c>
      <c r="C11555" s="18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16">
        <v>2013</v>
      </c>
      <c r="C11556" s="18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16">
        <v>2013</v>
      </c>
      <c r="C11557" s="18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16">
        <v>2013</v>
      </c>
      <c r="C11558" s="18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16">
        <v>2013</v>
      </c>
      <c r="C11559" s="18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16">
        <v>2013</v>
      </c>
      <c r="C11560" s="18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16">
        <v>2013</v>
      </c>
      <c r="C11561" s="18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16">
        <v>2013</v>
      </c>
      <c r="C11562" s="18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16">
        <v>2013</v>
      </c>
      <c r="C11563" s="18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16">
        <v>2013</v>
      </c>
      <c r="C11564" s="18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16">
        <v>2013</v>
      </c>
      <c r="C11565" s="18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16">
        <v>2013</v>
      </c>
      <c r="C11566" s="18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16">
        <v>2013</v>
      </c>
      <c r="C11567" s="18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16">
        <v>2013</v>
      </c>
      <c r="C11568" s="18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16">
        <v>2013</v>
      </c>
      <c r="C11569" s="18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16">
        <v>2013</v>
      </c>
      <c r="C11570" s="18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16">
        <v>2013</v>
      </c>
      <c r="C11571" s="18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16">
        <v>2013</v>
      </c>
      <c r="C11572" s="18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16">
        <v>2013</v>
      </c>
      <c r="C11573" s="18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16">
        <v>2013</v>
      </c>
      <c r="C11574" s="18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16">
        <v>2013</v>
      </c>
      <c r="C11575" s="18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16">
        <v>2013</v>
      </c>
      <c r="C11576" s="18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16">
        <v>2013</v>
      </c>
      <c r="C11577" s="18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16">
        <v>2013</v>
      </c>
      <c r="C11578" s="18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16">
        <v>2013</v>
      </c>
      <c r="C11579" s="18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16">
        <v>2013</v>
      </c>
      <c r="C11580" s="18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16">
        <v>2013</v>
      </c>
      <c r="C11581" s="18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16">
        <v>2013</v>
      </c>
      <c r="C11582" s="18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16">
        <v>2013</v>
      </c>
      <c r="C11583" s="18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16">
        <v>2013</v>
      </c>
      <c r="C11584" s="18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16">
        <v>2013</v>
      </c>
      <c r="C11585" s="18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16">
        <v>2013</v>
      </c>
      <c r="C11586" s="18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16">
        <v>2013</v>
      </c>
      <c r="C11587" s="18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16">
        <v>2013</v>
      </c>
      <c r="C11588" s="18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16">
        <v>2013</v>
      </c>
      <c r="C11589" s="18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16">
        <v>2013</v>
      </c>
      <c r="C11590" s="18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16">
        <v>2013</v>
      </c>
      <c r="C11591" s="18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16">
        <v>2013</v>
      </c>
      <c r="C11592" s="18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16">
        <v>2013</v>
      </c>
      <c r="C11593" s="18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16">
        <v>2013</v>
      </c>
      <c r="C11594" s="18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16">
        <v>2013</v>
      </c>
      <c r="C11595" s="18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16">
        <v>2013</v>
      </c>
      <c r="C11596" s="18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16">
        <v>2013</v>
      </c>
      <c r="C11597" s="18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16">
        <v>2013</v>
      </c>
      <c r="C11598" s="18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16">
        <v>2013</v>
      </c>
      <c r="C11599" s="18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16">
        <v>2013</v>
      </c>
      <c r="C11600" s="18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16">
        <v>2013</v>
      </c>
      <c r="C11601" s="18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16">
        <v>2013</v>
      </c>
      <c r="C11602" s="18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16">
        <v>2013</v>
      </c>
      <c r="C11603" s="18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16">
        <v>2013</v>
      </c>
      <c r="C11604" s="18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16">
        <v>2013</v>
      </c>
      <c r="C11605" s="18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16">
        <v>2013</v>
      </c>
      <c r="C11606" s="18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16">
        <v>2013</v>
      </c>
      <c r="C11607" s="18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16">
        <v>2013</v>
      </c>
      <c r="C11608" s="18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16">
        <v>2013</v>
      </c>
      <c r="C11609" s="18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16">
        <v>2013</v>
      </c>
      <c r="C11610" s="18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16">
        <v>2013</v>
      </c>
      <c r="C11611" s="18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16">
        <v>2013</v>
      </c>
      <c r="C11612" s="18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16">
        <v>2013</v>
      </c>
      <c r="C11613" s="18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16">
        <v>2013</v>
      </c>
      <c r="C11614" s="18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16">
        <v>2013</v>
      </c>
      <c r="C11615" s="18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16">
        <v>2013</v>
      </c>
      <c r="C11616" s="18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16">
        <v>2013</v>
      </c>
      <c r="C11617" s="18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16">
        <v>2013</v>
      </c>
      <c r="C11618" s="18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16">
        <v>2013</v>
      </c>
      <c r="C11619" s="18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16">
        <v>2013</v>
      </c>
      <c r="C11620" s="18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16">
        <v>2013</v>
      </c>
      <c r="C11621" s="18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16">
        <v>2013</v>
      </c>
      <c r="C11622" s="18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16">
        <v>2013</v>
      </c>
      <c r="C11623" s="18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16">
        <v>2013</v>
      </c>
      <c r="C11624" s="18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16">
        <v>2013</v>
      </c>
      <c r="C11625" s="18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16">
        <v>2013</v>
      </c>
      <c r="C11626" s="18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16">
        <v>2013</v>
      </c>
      <c r="C11627" s="18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16">
        <v>2013</v>
      </c>
      <c r="C11628" s="18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16">
        <v>2013</v>
      </c>
      <c r="C11629" s="18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16">
        <v>2013</v>
      </c>
      <c r="C11630" s="18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16">
        <v>2013</v>
      </c>
      <c r="C11631" s="18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16">
        <v>2013</v>
      </c>
      <c r="C11632" s="18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16">
        <v>2013</v>
      </c>
      <c r="C11633" s="18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16">
        <v>2013</v>
      </c>
      <c r="C11634" s="18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16">
        <v>2013</v>
      </c>
      <c r="C11635" s="18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16">
        <v>2013</v>
      </c>
      <c r="C11636" s="18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16">
        <v>2013</v>
      </c>
      <c r="C11637" s="18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16">
        <v>2013</v>
      </c>
      <c r="C11638" s="18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16">
        <v>2013</v>
      </c>
      <c r="C11639" s="18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16">
        <v>2013</v>
      </c>
      <c r="C11640" s="18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16">
        <v>2013</v>
      </c>
      <c r="C11641" s="18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16">
        <v>2013</v>
      </c>
      <c r="C11642" s="18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16">
        <v>2013</v>
      </c>
      <c r="C11643" s="18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16">
        <v>2013</v>
      </c>
      <c r="C11644" s="18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16">
        <v>2013</v>
      </c>
      <c r="C11645" s="18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16">
        <v>2013</v>
      </c>
      <c r="C11646" s="18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16">
        <v>2013</v>
      </c>
      <c r="C11647" s="18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16">
        <v>2013</v>
      </c>
      <c r="C11648" s="18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16">
        <v>2013</v>
      </c>
      <c r="C11649" s="18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16">
        <v>2013</v>
      </c>
      <c r="C11650" s="18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16">
        <v>2013</v>
      </c>
      <c r="C11651" s="18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16">
        <v>2013</v>
      </c>
      <c r="C11652" s="18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16">
        <v>2013</v>
      </c>
      <c r="C11653" s="18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16">
        <v>2013</v>
      </c>
      <c r="C11654" s="18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16">
        <v>2013</v>
      </c>
      <c r="C11655" s="18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16">
        <v>2013</v>
      </c>
      <c r="C11656" s="18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16">
        <v>2013</v>
      </c>
      <c r="C11657" s="18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16">
        <v>2013</v>
      </c>
      <c r="C11658" s="18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16">
        <v>2013</v>
      </c>
      <c r="C11659" s="18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16">
        <v>2013</v>
      </c>
      <c r="C11660" s="18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16">
        <v>2013</v>
      </c>
      <c r="C11661" s="18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16">
        <v>2013</v>
      </c>
      <c r="C11662" s="18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16">
        <v>2013</v>
      </c>
      <c r="C11663" s="18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16">
        <v>2013</v>
      </c>
      <c r="C11664" s="18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16">
        <v>2013</v>
      </c>
      <c r="C11665" s="18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16">
        <v>2013</v>
      </c>
      <c r="C11666" s="18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16">
        <v>2013</v>
      </c>
      <c r="C11667" s="18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16">
        <v>2013</v>
      </c>
      <c r="C11668" s="18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16">
        <v>2013</v>
      </c>
      <c r="C11669" s="18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16">
        <v>2013</v>
      </c>
      <c r="C11670" s="18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16">
        <v>2013</v>
      </c>
      <c r="C11671" s="18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16">
        <v>2013</v>
      </c>
      <c r="C11672" s="18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16">
        <v>2013</v>
      </c>
      <c r="C11673" s="18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16">
        <v>2013</v>
      </c>
      <c r="C11674" s="18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16">
        <v>2013</v>
      </c>
      <c r="C11675" s="18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16">
        <v>2013</v>
      </c>
      <c r="C11676" s="18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16">
        <v>2013</v>
      </c>
      <c r="C11677" s="18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16">
        <v>2013</v>
      </c>
      <c r="C11678" s="18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16">
        <v>2013</v>
      </c>
      <c r="C11679" s="18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16">
        <v>2013</v>
      </c>
      <c r="C11680" s="18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16">
        <v>2013</v>
      </c>
      <c r="C11681" s="18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16">
        <v>2013</v>
      </c>
      <c r="C11682" s="18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16">
        <v>2013</v>
      </c>
      <c r="C11683" s="18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16">
        <v>2013</v>
      </c>
      <c r="C11684" s="18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16">
        <v>2013</v>
      </c>
      <c r="C11685" s="18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16">
        <v>2013</v>
      </c>
      <c r="C11686" s="18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16">
        <v>2013</v>
      </c>
      <c r="C11687" s="18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16">
        <v>2013</v>
      </c>
      <c r="C11688" s="18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16">
        <v>2013</v>
      </c>
      <c r="C11689" s="18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16">
        <v>2013</v>
      </c>
      <c r="C11690" s="18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16">
        <v>2013</v>
      </c>
      <c r="C11691" s="18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16">
        <v>2013</v>
      </c>
      <c r="C11692" s="18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16">
        <v>2013</v>
      </c>
      <c r="C11693" s="18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16">
        <v>2013</v>
      </c>
      <c r="C11694" s="18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16">
        <v>2013</v>
      </c>
      <c r="C11695" s="18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16">
        <v>2013</v>
      </c>
      <c r="C11696" s="18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16">
        <v>2013</v>
      </c>
      <c r="C11697" s="18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16">
        <v>2013</v>
      </c>
      <c r="C11698" s="18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16">
        <v>2013</v>
      </c>
      <c r="C11699" s="18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16">
        <v>2013</v>
      </c>
      <c r="C11700" s="18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16">
        <v>2013</v>
      </c>
      <c r="C11701" s="18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16">
        <v>2013</v>
      </c>
      <c r="C11702" s="18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16">
        <v>2013</v>
      </c>
      <c r="C11703" s="18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16">
        <v>2013</v>
      </c>
      <c r="C11704" s="18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16">
        <v>2013</v>
      </c>
      <c r="C11705" s="18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16">
        <v>2013</v>
      </c>
      <c r="C11706" s="18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16">
        <v>2013</v>
      </c>
      <c r="C11707" s="18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16">
        <v>2013</v>
      </c>
      <c r="C11708" s="18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16">
        <v>2013</v>
      </c>
      <c r="C11709" s="18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16">
        <v>2013</v>
      </c>
      <c r="C11710" s="18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16">
        <v>2013</v>
      </c>
      <c r="C11711" s="18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16">
        <v>2013</v>
      </c>
      <c r="C11712" s="18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16">
        <v>2013</v>
      </c>
      <c r="C11713" s="18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16">
        <v>2013</v>
      </c>
      <c r="C11714" s="18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16">
        <v>2013</v>
      </c>
      <c r="C11715" s="18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16">
        <v>2013</v>
      </c>
      <c r="C11716" s="18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16">
        <v>2013</v>
      </c>
      <c r="C11717" s="18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16">
        <v>2013</v>
      </c>
      <c r="C11718" s="18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16">
        <v>2013</v>
      </c>
      <c r="C11719" s="18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16">
        <v>2013</v>
      </c>
      <c r="C11720" s="18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16">
        <v>2013</v>
      </c>
      <c r="C11721" s="18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16">
        <v>2013</v>
      </c>
      <c r="C11722" s="18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16">
        <v>2013</v>
      </c>
      <c r="C11723" s="18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16">
        <v>2013</v>
      </c>
      <c r="C11724" s="18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16">
        <v>2013</v>
      </c>
      <c r="C11725" s="18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16">
        <v>2013</v>
      </c>
      <c r="C11726" s="18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16">
        <v>2013</v>
      </c>
      <c r="C11727" s="18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16">
        <v>2013</v>
      </c>
      <c r="C11728" s="18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16">
        <v>2013</v>
      </c>
      <c r="C11729" s="18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16">
        <v>2013</v>
      </c>
      <c r="C11730" s="18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16">
        <v>2013</v>
      </c>
      <c r="C11731" s="18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16">
        <v>2013</v>
      </c>
      <c r="C11732" s="18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16">
        <v>2013</v>
      </c>
      <c r="C11733" s="18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16">
        <v>2013</v>
      </c>
      <c r="C11734" s="18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16">
        <v>2013</v>
      </c>
      <c r="C11735" s="18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16">
        <v>2013</v>
      </c>
      <c r="C11736" s="18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16">
        <v>2013</v>
      </c>
      <c r="C11737" s="18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16">
        <v>2013</v>
      </c>
      <c r="C11738" s="18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16">
        <v>2013</v>
      </c>
      <c r="C11739" s="18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16">
        <v>2013</v>
      </c>
      <c r="C11740" s="18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16">
        <v>2013</v>
      </c>
      <c r="C11741" s="18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16">
        <v>2013</v>
      </c>
      <c r="C11742" s="18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16">
        <v>2013</v>
      </c>
      <c r="C11743" s="18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16">
        <v>2013</v>
      </c>
      <c r="C11744" s="18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16">
        <v>2013</v>
      </c>
      <c r="C11745" s="18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16">
        <v>2013</v>
      </c>
      <c r="C11746" s="18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16">
        <v>2013</v>
      </c>
      <c r="C11747" s="18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16">
        <v>2013</v>
      </c>
      <c r="C11748" s="18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16">
        <v>2013</v>
      </c>
      <c r="C11749" s="18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16">
        <v>2013</v>
      </c>
      <c r="C11750" s="18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16">
        <v>2013</v>
      </c>
      <c r="C11751" s="18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16">
        <v>2013</v>
      </c>
      <c r="C11752" s="18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16">
        <v>2013</v>
      </c>
      <c r="C11753" s="18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16">
        <v>2013</v>
      </c>
      <c r="C11754" s="18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16">
        <v>2013</v>
      </c>
      <c r="C11755" s="18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16">
        <v>2013</v>
      </c>
      <c r="C11756" s="18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16">
        <v>2013</v>
      </c>
      <c r="C11757" s="18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16">
        <v>2013</v>
      </c>
      <c r="C11758" s="18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16">
        <v>2013</v>
      </c>
      <c r="C11759" s="18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16">
        <v>2013</v>
      </c>
      <c r="C11760" s="18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16">
        <v>2013</v>
      </c>
      <c r="C11761" s="18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16">
        <v>2013</v>
      </c>
      <c r="C11762" s="18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16">
        <v>2013</v>
      </c>
      <c r="C11763" s="18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16">
        <v>2013</v>
      </c>
      <c r="C11764" s="18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16">
        <v>2013</v>
      </c>
      <c r="C11765" s="18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16">
        <v>2013</v>
      </c>
      <c r="C11766" s="18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16">
        <v>2013</v>
      </c>
      <c r="C11767" s="18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16">
        <v>2013</v>
      </c>
      <c r="C11768" s="18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16">
        <v>2013</v>
      </c>
      <c r="C11769" s="18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16">
        <v>2013</v>
      </c>
      <c r="C11770" s="18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16">
        <v>2013</v>
      </c>
      <c r="C11771" s="18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16">
        <v>2013</v>
      </c>
      <c r="C11772" s="18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16">
        <v>2013</v>
      </c>
      <c r="C11773" s="18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16">
        <v>2013</v>
      </c>
      <c r="C11774" s="18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16">
        <v>2013</v>
      </c>
      <c r="C11775" s="18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16">
        <v>2013</v>
      </c>
      <c r="C11776" s="18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16">
        <v>2013</v>
      </c>
      <c r="C11777" s="18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16">
        <v>2013</v>
      </c>
      <c r="C11778" s="18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16">
        <v>2013</v>
      </c>
      <c r="C11779" s="18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16">
        <v>2013</v>
      </c>
      <c r="C11780" s="18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16">
        <v>2013</v>
      </c>
      <c r="C11781" s="18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16">
        <v>2013</v>
      </c>
      <c r="C11782" s="18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16">
        <v>2013</v>
      </c>
      <c r="C11783" s="18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16">
        <v>2013</v>
      </c>
      <c r="C11784" s="18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16">
        <v>2013</v>
      </c>
      <c r="C11785" s="18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16">
        <v>2013</v>
      </c>
      <c r="C11786" s="18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16">
        <v>2013</v>
      </c>
      <c r="C11787" s="18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16">
        <v>2013</v>
      </c>
      <c r="C11788" s="18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16">
        <v>2013</v>
      </c>
      <c r="C11789" s="18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16">
        <v>2013</v>
      </c>
      <c r="C11790" s="18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16">
        <v>2013</v>
      </c>
      <c r="C11791" s="18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16">
        <v>2013</v>
      </c>
      <c r="C11792" s="18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16">
        <v>2013</v>
      </c>
      <c r="C11793" s="18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16">
        <v>2013</v>
      </c>
      <c r="C11794" s="18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16">
        <v>2013</v>
      </c>
      <c r="C11795" s="18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16">
        <v>2013</v>
      </c>
      <c r="C11796" s="18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16">
        <v>2013</v>
      </c>
      <c r="C11797" s="18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16">
        <v>2013</v>
      </c>
      <c r="C11798" s="18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16">
        <v>2013</v>
      </c>
      <c r="C11799" s="18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16">
        <v>2013</v>
      </c>
      <c r="C11800" s="18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16">
        <v>2013</v>
      </c>
      <c r="C11801" s="18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16">
        <v>2013</v>
      </c>
      <c r="C11802" s="18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16">
        <v>2013</v>
      </c>
      <c r="C11803" s="18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16">
        <v>2013</v>
      </c>
      <c r="C11804" s="18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16">
        <v>2013</v>
      </c>
      <c r="C11805" s="18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16">
        <v>2013</v>
      </c>
      <c r="C11806" s="18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16">
        <v>2013</v>
      </c>
      <c r="C11807" s="18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16">
        <v>2013</v>
      </c>
      <c r="C11808" s="18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16">
        <v>2013</v>
      </c>
      <c r="C11809" s="18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16">
        <v>2013</v>
      </c>
      <c r="C11810" s="18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16">
        <v>2013</v>
      </c>
      <c r="C11811" s="18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16">
        <v>2013</v>
      </c>
      <c r="C11812" s="18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16">
        <v>2013</v>
      </c>
      <c r="C11813" s="18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16">
        <v>2013</v>
      </c>
      <c r="C11814" s="18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16">
        <v>2013</v>
      </c>
      <c r="C11815" s="18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16">
        <v>2013</v>
      </c>
      <c r="C11816" s="18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16">
        <v>2013</v>
      </c>
      <c r="C11817" s="18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16">
        <v>2013</v>
      </c>
      <c r="C11818" s="18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16">
        <v>2013</v>
      </c>
      <c r="C11819" s="18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16">
        <v>2013</v>
      </c>
      <c r="C11820" s="18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16">
        <v>2013</v>
      </c>
      <c r="C11821" s="18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16">
        <v>2013</v>
      </c>
      <c r="C11822" s="18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16">
        <v>2013</v>
      </c>
      <c r="C11823" s="18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16">
        <v>2013</v>
      </c>
      <c r="C11824" s="18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16">
        <v>2013</v>
      </c>
      <c r="C11825" s="18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16">
        <v>2013</v>
      </c>
      <c r="C11826" s="18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16">
        <v>2013</v>
      </c>
      <c r="C11827" s="18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16">
        <v>2013</v>
      </c>
      <c r="C11828" s="18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16">
        <v>2013</v>
      </c>
      <c r="C11829" s="18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16">
        <v>2013</v>
      </c>
      <c r="C11830" s="18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16">
        <v>2013</v>
      </c>
      <c r="C11831" s="18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16">
        <v>2013</v>
      </c>
      <c r="C11832" s="18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16">
        <v>2013</v>
      </c>
      <c r="C11833" s="18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16">
        <v>2013</v>
      </c>
      <c r="C11834" s="18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16">
        <v>2013</v>
      </c>
      <c r="C11835" s="18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16">
        <v>2013</v>
      </c>
      <c r="C11836" s="18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16">
        <v>2013</v>
      </c>
      <c r="C11837" s="18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16">
        <v>2013</v>
      </c>
      <c r="C11838" s="18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16">
        <v>2013</v>
      </c>
      <c r="C11839" s="18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16">
        <v>2013</v>
      </c>
      <c r="C11840" s="18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16">
        <v>2013</v>
      </c>
      <c r="C11841" s="18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16">
        <v>2013</v>
      </c>
      <c r="C11842" s="18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16">
        <v>2013</v>
      </c>
      <c r="C11843" s="18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16">
        <v>2013</v>
      </c>
      <c r="C11844" s="18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16">
        <v>2013</v>
      </c>
      <c r="C11845" s="18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16">
        <v>2013</v>
      </c>
      <c r="C11846" s="18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16">
        <v>2013</v>
      </c>
      <c r="C11847" s="18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16">
        <v>2013</v>
      </c>
      <c r="C11848" s="18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16">
        <v>2013</v>
      </c>
      <c r="C11849" s="18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16">
        <v>2013</v>
      </c>
      <c r="C11850" s="18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16">
        <v>2013</v>
      </c>
      <c r="C11851" s="18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16">
        <v>2013</v>
      </c>
      <c r="C11852" s="18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16">
        <v>2013</v>
      </c>
      <c r="C11853" s="18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16">
        <v>2013</v>
      </c>
      <c r="C11854" s="18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16">
        <v>2013</v>
      </c>
      <c r="C11855" s="18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16">
        <v>2013</v>
      </c>
      <c r="C11856" s="18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16">
        <v>2013</v>
      </c>
      <c r="C11857" s="18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16">
        <v>2013</v>
      </c>
      <c r="C11858" s="18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16">
        <v>2013</v>
      </c>
      <c r="C11859" s="18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16">
        <v>2013</v>
      </c>
      <c r="C11860" s="18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16">
        <v>2013</v>
      </c>
      <c r="C11861" s="18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16">
        <v>2013</v>
      </c>
      <c r="C11862" s="18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16">
        <v>2013</v>
      </c>
      <c r="C11863" s="18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16">
        <v>2013</v>
      </c>
      <c r="C11864" s="18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16">
        <v>2013</v>
      </c>
      <c r="C11865" s="18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16">
        <v>2013</v>
      </c>
      <c r="C11866" s="18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16">
        <v>2013</v>
      </c>
      <c r="C11867" s="18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16">
        <v>2013</v>
      </c>
      <c r="C11868" s="18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16">
        <v>2013</v>
      </c>
      <c r="C11869" s="18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16">
        <v>2013</v>
      </c>
      <c r="C11870" s="18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16">
        <v>2013</v>
      </c>
      <c r="C11871" s="18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16">
        <v>2013</v>
      </c>
      <c r="C11872" s="18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16">
        <v>2013</v>
      </c>
      <c r="C11873" s="18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16">
        <v>2013</v>
      </c>
      <c r="C11874" s="18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16">
        <v>2013</v>
      </c>
      <c r="C11875" s="18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16">
        <v>2013</v>
      </c>
      <c r="C11876" s="18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16">
        <v>2013</v>
      </c>
      <c r="C11877" s="18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16">
        <v>2013</v>
      </c>
      <c r="C11878" s="18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16">
        <v>2013</v>
      </c>
      <c r="C11879" s="18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16">
        <v>2013</v>
      </c>
      <c r="C11880" s="18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16">
        <v>2013</v>
      </c>
      <c r="C11881" s="18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16">
        <v>2013</v>
      </c>
      <c r="C11882" s="18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16">
        <v>2013</v>
      </c>
      <c r="C11883" s="18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16">
        <v>2013</v>
      </c>
      <c r="C11884" s="18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16">
        <v>2013</v>
      </c>
      <c r="C11885" s="18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16">
        <v>2013</v>
      </c>
      <c r="C11886" s="18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16">
        <v>2013</v>
      </c>
      <c r="C11887" s="18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16">
        <v>2013</v>
      </c>
      <c r="C11888" s="18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16">
        <v>2013</v>
      </c>
      <c r="C11889" s="18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16">
        <v>2013</v>
      </c>
      <c r="C11890" s="18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16">
        <v>2013</v>
      </c>
      <c r="C11891" s="18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16">
        <v>2013</v>
      </c>
      <c r="C11892" s="18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16">
        <v>2013</v>
      </c>
      <c r="C11893" s="18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16">
        <v>2013</v>
      </c>
      <c r="C11894" s="18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16">
        <v>2013</v>
      </c>
      <c r="C11895" s="18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16">
        <v>2013</v>
      </c>
      <c r="C11896" s="18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16">
        <v>2013</v>
      </c>
      <c r="C11897" s="18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16">
        <v>2013</v>
      </c>
      <c r="C11898" s="18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16">
        <v>2013</v>
      </c>
      <c r="C11899" s="18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16">
        <v>2013</v>
      </c>
      <c r="C11900" s="18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16">
        <v>2013</v>
      </c>
      <c r="C11901" s="18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16">
        <v>2013</v>
      </c>
      <c r="C11902" s="18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16">
        <v>2013</v>
      </c>
      <c r="C11903" s="18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16">
        <v>2013</v>
      </c>
      <c r="C11904" s="18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16">
        <v>2013</v>
      </c>
      <c r="C11905" s="18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16">
        <v>2013</v>
      </c>
      <c r="C11906" s="18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16">
        <v>2013</v>
      </c>
      <c r="C11907" s="18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16">
        <v>2013</v>
      </c>
      <c r="C11908" s="18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16">
        <v>2013</v>
      </c>
      <c r="C11909" s="18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16">
        <v>2013</v>
      </c>
      <c r="C11910" s="18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16">
        <v>2013</v>
      </c>
      <c r="C11911" s="18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16">
        <v>2013</v>
      </c>
      <c r="C11912" s="18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16">
        <v>2013</v>
      </c>
      <c r="C11913" s="18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16">
        <v>2013</v>
      </c>
      <c r="C11914" s="18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16">
        <v>2013</v>
      </c>
      <c r="C11915" s="18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16">
        <v>2013</v>
      </c>
      <c r="C11916" s="18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16">
        <v>2013</v>
      </c>
      <c r="C11917" s="18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16">
        <v>2013</v>
      </c>
      <c r="C11918" s="18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16">
        <v>2013</v>
      </c>
      <c r="C11919" s="18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16">
        <v>2013</v>
      </c>
      <c r="C11920" s="18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16">
        <v>2013</v>
      </c>
      <c r="C11921" s="18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16">
        <v>2013</v>
      </c>
      <c r="C11922" s="18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16">
        <v>2013</v>
      </c>
      <c r="C11923" s="18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16">
        <v>2013</v>
      </c>
      <c r="C11924" s="18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16">
        <v>2013</v>
      </c>
      <c r="C11925" s="18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16">
        <v>2013</v>
      </c>
      <c r="C11926" s="18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16">
        <v>2013</v>
      </c>
      <c r="C11927" s="18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16">
        <v>2013</v>
      </c>
      <c r="C11928" s="18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16">
        <v>2013</v>
      </c>
      <c r="C11929" s="18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16">
        <v>2013</v>
      </c>
      <c r="C11930" s="18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16">
        <v>2013</v>
      </c>
      <c r="C11931" s="18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16">
        <v>2013</v>
      </c>
      <c r="C11932" s="18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16">
        <v>2013</v>
      </c>
      <c r="C11933" s="18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16">
        <v>2013</v>
      </c>
      <c r="C11934" s="18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16">
        <v>2013</v>
      </c>
      <c r="C11935" s="18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16">
        <v>2013</v>
      </c>
      <c r="C11936" s="18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16">
        <v>2013</v>
      </c>
      <c r="C11937" s="18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16">
        <v>2013</v>
      </c>
      <c r="C11938" s="18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16">
        <v>2013</v>
      </c>
      <c r="C11939" s="18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16">
        <v>2013</v>
      </c>
      <c r="C11940" s="18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16">
        <v>2013</v>
      </c>
      <c r="C11941" s="18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16">
        <v>2013</v>
      </c>
      <c r="C11942" s="18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16">
        <v>2013</v>
      </c>
      <c r="C11943" s="18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16">
        <v>2013</v>
      </c>
      <c r="C11944" s="18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16">
        <v>2013</v>
      </c>
      <c r="C11945" s="18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16">
        <v>2013</v>
      </c>
      <c r="C11946" s="18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16">
        <v>2013</v>
      </c>
      <c r="C11947" s="18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16">
        <v>2013</v>
      </c>
      <c r="C11948" s="18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16">
        <v>2013</v>
      </c>
      <c r="C11949" s="18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16">
        <v>2013</v>
      </c>
      <c r="C11950" s="18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16">
        <v>2013</v>
      </c>
      <c r="C11951" s="18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16">
        <v>2013</v>
      </c>
      <c r="C11952" s="18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16">
        <v>2013</v>
      </c>
      <c r="C11953" s="18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16">
        <v>2013</v>
      </c>
      <c r="C11954" s="18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16">
        <v>2013</v>
      </c>
      <c r="C11955" s="18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16">
        <v>2013</v>
      </c>
      <c r="C11956" s="18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16">
        <v>2013</v>
      </c>
      <c r="C11957" s="18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16">
        <v>2013</v>
      </c>
      <c r="C11958" s="18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16">
        <v>2013</v>
      </c>
      <c r="C11959" s="18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16">
        <v>2013</v>
      </c>
      <c r="C11960" s="18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16">
        <v>2013</v>
      </c>
      <c r="C11961" s="18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16">
        <v>2013</v>
      </c>
      <c r="C11962" s="18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16">
        <v>2013</v>
      </c>
      <c r="C11963" s="18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16">
        <v>2013</v>
      </c>
      <c r="C11964" s="18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16">
        <v>2013</v>
      </c>
      <c r="C11965" s="18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16">
        <v>2013</v>
      </c>
      <c r="C11966" s="18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16">
        <v>2013</v>
      </c>
      <c r="C11967" s="18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16">
        <v>2013</v>
      </c>
      <c r="C11968" s="18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16">
        <v>2013</v>
      </c>
      <c r="C11969" s="18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16">
        <v>2013</v>
      </c>
      <c r="C11970" s="18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16">
        <v>2013</v>
      </c>
      <c r="C11971" s="18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16">
        <v>2013</v>
      </c>
      <c r="C11972" s="18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16">
        <v>2013</v>
      </c>
      <c r="C11973" s="18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16">
        <v>2013</v>
      </c>
      <c r="C11974" s="18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16">
        <v>2013</v>
      </c>
      <c r="C11975" s="18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16">
        <v>2013</v>
      </c>
      <c r="C11976" s="18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16">
        <v>2013</v>
      </c>
      <c r="C11977" s="18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16">
        <v>2013</v>
      </c>
      <c r="C11978" s="18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16">
        <v>2013</v>
      </c>
      <c r="C11979" s="18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16">
        <v>2013</v>
      </c>
      <c r="C11980" s="18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16">
        <v>2013</v>
      </c>
      <c r="C11981" s="18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16">
        <v>2013</v>
      </c>
      <c r="C11982" s="18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16">
        <v>2013</v>
      </c>
      <c r="C11983" s="18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16">
        <v>2013</v>
      </c>
      <c r="C11984" s="18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16">
        <v>2013</v>
      </c>
      <c r="C11985" s="18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16">
        <v>2013</v>
      </c>
      <c r="C11986" s="18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16">
        <v>2013</v>
      </c>
      <c r="C11987" s="18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16">
        <v>2013</v>
      </c>
      <c r="C11988" s="18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16">
        <v>2013</v>
      </c>
      <c r="C11989" s="18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16">
        <v>2013</v>
      </c>
      <c r="C11990" s="18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16">
        <v>2013</v>
      </c>
      <c r="C11991" s="18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16">
        <v>2013</v>
      </c>
      <c r="C11992" s="18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16">
        <v>2013</v>
      </c>
      <c r="C11993" s="18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16">
        <v>2013</v>
      </c>
      <c r="C11994" s="18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16">
        <v>2013</v>
      </c>
      <c r="C11995" s="18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16">
        <v>2013</v>
      </c>
      <c r="C11996" s="18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16">
        <v>2013</v>
      </c>
      <c r="C11997" s="18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16">
        <v>2013</v>
      </c>
      <c r="C11998" s="18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16">
        <v>2013</v>
      </c>
      <c r="C11999" s="18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16">
        <v>2013</v>
      </c>
      <c r="C12000" s="18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16">
        <v>2013</v>
      </c>
      <c r="C12001" s="18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16">
        <v>2013</v>
      </c>
      <c r="C12002" s="18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16">
        <v>2013</v>
      </c>
      <c r="C12003" s="18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16">
        <v>2013</v>
      </c>
      <c r="C12004" s="18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16">
        <v>2013</v>
      </c>
      <c r="C12005" s="18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16">
        <v>2013</v>
      </c>
      <c r="C12006" s="18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16">
        <v>2013</v>
      </c>
      <c r="C12007" s="18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16">
        <v>2013</v>
      </c>
      <c r="C12008" s="18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16">
        <v>2013</v>
      </c>
      <c r="C12009" s="18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16">
        <v>2013</v>
      </c>
      <c r="C12010" s="18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16">
        <v>2013</v>
      </c>
      <c r="C12011" s="18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16">
        <v>2013</v>
      </c>
      <c r="C12012" s="18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16">
        <v>2013</v>
      </c>
      <c r="C12013" s="18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16">
        <v>2013</v>
      </c>
      <c r="C12014" s="18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16">
        <v>2013</v>
      </c>
      <c r="C12015" s="18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16">
        <v>2013</v>
      </c>
      <c r="C12016" s="18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16">
        <v>2013</v>
      </c>
      <c r="C12017" s="18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16">
        <v>2013</v>
      </c>
      <c r="C12018" s="18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16">
        <v>2013</v>
      </c>
      <c r="C12019" s="18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16">
        <v>2013</v>
      </c>
      <c r="C12020" s="18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16">
        <v>2013</v>
      </c>
      <c r="C12021" s="18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16">
        <v>2013</v>
      </c>
      <c r="C12022" s="18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16">
        <v>2013</v>
      </c>
      <c r="C12023" s="18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16">
        <v>2013</v>
      </c>
      <c r="C12024" s="18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16">
        <v>2013</v>
      </c>
      <c r="C12025" s="18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16">
        <v>2013</v>
      </c>
      <c r="C12026" s="18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16">
        <v>2013</v>
      </c>
      <c r="C12027" s="18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16">
        <v>2013</v>
      </c>
      <c r="C12028" s="18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16">
        <v>2013</v>
      </c>
      <c r="C12029" s="18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16">
        <v>2013</v>
      </c>
      <c r="C12030" s="18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16">
        <v>2013</v>
      </c>
      <c r="C12031" s="18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16">
        <v>2013</v>
      </c>
      <c r="C12032" s="18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16">
        <v>2013</v>
      </c>
      <c r="C12033" s="18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16">
        <v>2013</v>
      </c>
      <c r="C12034" s="18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16">
        <v>2013</v>
      </c>
      <c r="C12035" s="18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16">
        <v>2013</v>
      </c>
      <c r="C12036" s="18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16">
        <v>2013</v>
      </c>
      <c r="C12037" s="18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16">
        <v>2013</v>
      </c>
      <c r="C12038" s="18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16">
        <v>2013</v>
      </c>
      <c r="C12039" s="18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16">
        <v>2013</v>
      </c>
      <c r="C12040" s="18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16">
        <v>2013</v>
      </c>
      <c r="C12041" s="18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16">
        <v>2013</v>
      </c>
      <c r="C12042" s="18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16">
        <v>2013</v>
      </c>
      <c r="C12043" s="18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16">
        <v>2013</v>
      </c>
      <c r="C12044" s="18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16">
        <v>2013</v>
      </c>
      <c r="C12045" s="18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16">
        <v>2013</v>
      </c>
      <c r="C12046" s="18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16">
        <v>2013</v>
      </c>
      <c r="C12047" s="18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16">
        <v>2013</v>
      </c>
      <c r="C12048" s="18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16">
        <v>2013</v>
      </c>
      <c r="C12049" s="18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16">
        <v>2013</v>
      </c>
      <c r="C12050" s="18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16">
        <v>2013</v>
      </c>
      <c r="C12051" s="18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16">
        <v>2013</v>
      </c>
      <c r="C12052" s="18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16">
        <v>2013</v>
      </c>
      <c r="C12053" s="18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16">
        <v>2013</v>
      </c>
      <c r="C12054" s="18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16">
        <v>2013</v>
      </c>
      <c r="C12055" s="18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16">
        <v>2013</v>
      </c>
      <c r="C12056" s="18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16">
        <v>2013</v>
      </c>
      <c r="C12057" s="18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16">
        <v>2013</v>
      </c>
      <c r="C12058" s="18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16">
        <v>2013</v>
      </c>
      <c r="C12059" s="18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16">
        <v>2013</v>
      </c>
      <c r="C12060" s="18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16">
        <v>2013</v>
      </c>
      <c r="C12061" s="18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16">
        <v>2013</v>
      </c>
      <c r="C12062" s="18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16">
        <v>2013</v>
      </c>
      <c r="C12063" s="18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16">
        <v>2013</v>
      </c>
      <c r="C12064" s="18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16">
        <v>2013</v>
      </c>
      <c r="C12065" s="18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16">
        <v>2013</v>
      </c>
      <c r="C12066" s="18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16">
        <v>2013</v>
      </c>
      <c r="C12067" s="18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16">
        <v>2013</v>
      </c>
      <c r="C12068" s="18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16">
        <v>2013</v>
      </c>
      <c r="C12069" s="18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16">
        <v>2013</v>
      </c>
      <c r="C12070" s="18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16">
        <v>2013</v>
      </c>
      <c r="C12071" s="18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16">
        <v>2013</v>
      </c>
      <c r="C12072" s="18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16">
        <v>2013</v>
      </c>
      <c r="C12073" s="18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16">
        <v>2013</v>
      </c>
      <c r="C12074" s="18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16">
        <v>2013</v>
      </c>
      <c r="C12075" s="18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16">
        <v>2013</v>
      </c>
      <c r="C12076" s="18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16">
        <v>2013</v>
      </c>
      <c r="C12077" s="18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16">
        <v>2013</v>
      </c>
      <c r="C12078" s="18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16">
        <v>2013</v>
      </c>
      <c r="C12079" s="18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16">
        <v>2013</v>
      </c>
      <c r="C12080" s="18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16">
        <v>2013</v>
      </c>
      <c r="C12081" s="18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16">
        <v>2013</v>
      </c>
      <c r="C12082" s="18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16">
        <v>2013</v>
      </c>
      <c r="C12083" s="18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16">
        <v>2013</v>
      </c>
      <c r="C12084" s="18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16">
        <v>2013</v>
      </c>
      <c r="C12085" s="18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16">
        <v>2013</v>
      </c>
      <c r="C12086" s="18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16">
        <v>2013</v>
      </c>
      <c r="C12087" s="18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16">
        <v>2013</v>
      </c>
      <c r="C12088" s="18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16">
        <v>2013</v>
      </c>
      <c r="C12089" s="18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16">
        <v>2013</v>
      </c>
      <c r="C12090" s="18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16">
        <v>2013</v>
      </c>
      <c r="C12091" s="18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16">
        <v>2013</v>
      </c>
      <c r="C12092" s="18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16">
        <v>2013</v>
      </c>
      <c r="C12093" s="18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16">
        <v>2013</v>
      </c>
      <c r="C12094" s="18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16">
        <v>2013</v>
      </c>
      <c r="C12095" s="18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16">
        <v>2013</v>
      </c>
      <c r="C12096" s="18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16">
        <v>2013</v>
      </c>
      <c r="C12097" s="18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16">
        <v>2013</v>
      </c>
      <c r="C12098" s="18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16">
        <v>2013</v>
      </c>
      <c r="C12099" s="18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16">
        <v>2013</v>
      </c>
      <c r="C12100" s="18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16">
        <v>2013</v>
      </c>
      <c r="C12101" s="18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16">
        <v>2013</v>
      </c>
      <c r="C12102" s="18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16">
        <v>2013</v>
      </c>
      <c r="C12103" s="18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16">
        <v>2013</v>
      </c>
      <c r="C12104" s="18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16">
        <v>2013</v>
      </c>
      <c r="C12105" s="18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16">
        <v>2013</v>
      </c>
      <c r="C12106" s="18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16">
        <v>2013</v>
      </c>
      <c r="C12107" s="18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16">
        <v>2013</v>
      </c>
      <c r="C12108" s="18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16">
        <v>2013</v>
      </c>
      <c r="C12109" s="18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16">
        <v>2013</v>
      </c>
      <c r="C12110" s="18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16">
        <v>2013</v>
      </c>
      <c r="C12111" s="18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16">
        <v>2013</v>
      </c>
      <c r="C12112" s="18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16">
        <v>2013</v>
      </c>
      <c r="C12113" s="18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16">
        <v>2013</v>
      </c>
      <c r="C12114" s="18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16">
        <v>2013</v>
      </c>
      <c r="C12115" s="18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16">
        <v>2013</v>
      </c>
      <c r="C12116" s="18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16">
        <v>2013</v>
      </c>
      <c r="C12117" s="18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16">
        <v>2013</v>
      </c>
      <c r="C12118" s="18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16">
        <v>2013</v>
      </c>
      <c r="C12119" s="18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16">
        <v>2013</v>
      </c>
      <c r="C12120" s="18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16">
        <v>2013</v>
      </c>
      <c r="C12121" s="18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16">
        <v>2013</v>
      </c>
      <c r="C12122" s="18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16">
        <v>2013</v>
      </c>
      <c r="C12123" s="18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16">
        <v>2013</v>
      </c>
      <c r="C12124" s="18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16">
        <v>2013</v>
      </c>
      <c r="C12125" s="18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16">
        <v>2013</v>
      </c>
      <c r="C12126" s="18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16">
        <v>2013</v>
      </c>
      <c r="C12127" s="18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16">
        <v>2013</v>
      </c>
      <c r="C12128" s="18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16">
        <v>2013</v>
      </c>
      <c r="C12129" s="18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16">
        <v>2013</v>
      </c>
      <c r="C12130" s="18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16">
        <v>2013</v>
      </c>
      <c r="C12131" s="18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16">
        <v>2013</v>
      </c>
      <c r="C12132" s="18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16">
        <v>2013</v>
      </c>
      <c r="C12133" s="18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16">
        <v>2013</v>
      </c>
      <c r="C12134" s="18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16">
        <v>2013</v>
      </c>
      <c r="C12135" s="18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16">
        <v>2013</v>
      </c>
      <c r="C12136" s="18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16">
        <v>2013</v>
      </c>
      <c r="C12137" s="18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16">
        <v>2013</v>
      </c>
      <c r="C12138" s="18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16">
        <v>2013</v>
      </c>
      <c r="C12139" s="18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16">
        <v>2013</v>
      </c>
      <c r="C12140" s="18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16">
        <v>2013</v>
      </c>
      <c r="C12141" s="18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16">
        <v>2013</v>
      </c>
      <c r="C12142" s="18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16">
        <v>2013</v>
      </c>
      <c r="C12143" s="18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16">
        <v>2013</v>
      </c>
      <c r="C12144" s="18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16">
        <v>2013</v>
      </c>
      <c r="C12145" s="18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16">
        <v>2013</v>
      </c>
      <c r="C12146" s="18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16">
        <v>2013</v>
      </c>
      <c r="C12147" s="18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16">
        <v>2013</v>
      </c>
      <c r="C12148" s="18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16">
        <v>2013</v>
      </c>
      <c r="C12149" s="18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16">
        <v>2013</v>
      </c>
      <c r="C12150" s="18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16">
        <v>2013</v>
      </c>
      <c r="C12151" s="18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16">
        <v>2013</v>
      </c>
      <c r="C12152" s="18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16">
        <v>2013</v>
      </c>
      <c r="C12153" s="18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16">
        <v>2013</v>
      </c>
      <c r="C12154" s="18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16">
        <v>2013</v>
      </c>
      <c r="C12155" s="18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16">
        <v>2013</v>
      </c>
      <c r="C12156" s="18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16">
        <v>2013</v>
      </c>
      <c r="C12157" s="18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16">
        <v>2013</v>
      </c>
      <c r="C12158" s="18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16">
        <v>2013</v>
      </c>
      <c r="C12159" s="18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16">
        <v>2013</v>
      </c>
      <c r="C12160" s="18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16">
        <v>2013</v>
      </c>
      <c r="C12161" s="18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16">
        <v>2013</v>
      </c>
      <c r="C12162" s="18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16">
        <v>2013</v>
      </c>
      <c r="C12163" s="18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16">
        <v>2013</v>
      </c>
      <c r="C12164" s="18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16">
        <v>2013</v>
      </c>
      <c r="C12165" s="18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16">
        <v>2013</v>
      </c>
      <c r="C12166" s="18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16">
        <v>2013</v>
      </c>
      <c r="C12167" s="18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16">
        <v>2013</v>
      </c>
      <c r="C12168" s="18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16">
        <v>2013</v>
      </c>
      <c r="C12169" s="18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16">
        <v>2013</v>
      </c>
      <c r="C12170" s="18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16">
        <v>2013</v>
      </c>
      <c r="C12171" s="18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16">
        <v>2013</v>
      </c>
      <c r="C12172" s="18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16">
        <v>2013</v>
      </c>
      <c r="C12173" s="18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16">
        <v>2013</v>
      </c>
      <c r="C12174" s="18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16">
        <v>2013</v>
      </c>
      <c r="C12175" s="18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16">
        <v>2013</v>
      </c>
      <c r="C12176" s="18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16">
        <v>2013</v>
      </c>
      <c r="C12177" s="18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16">
        <v>2013</v>
      </c>
      <c r="C12178" s="18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16">
        <v>2013</v>
      </c>
      <c r="C12179" s="18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16">
        <v>2013</v>
      </c>
      <c r="C12180" s="18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16">
        <v>2013</v>
      </c>
      <c r="C12181" s="18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16">
        <v>2013</v>
      </c>
      <c r="C12182" s="18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16">
        <v>2013</v>
      </c>
      <c r="C12183" s="18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16">
        <v>2013</v>
      </c>
      <c r="C12184" s="18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16">
        <v>2013</v>
      </c>
      <c r="C12185" s="18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16">
        <v>2013</v>
      </c>
      <c r="C12186" s="18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16">
        <v>2013</v>
      </c>
      <c r="C12187" s="18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16">
        <v>2013</v>
      </c>
      <c r="C12188" s="18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16">
        <v>2013</v>
      </c>
      <c r="C12189" s="18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16">
        <v>2013</v>
      </c>
      <c r="C12190" s="18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16">
        <v>2013</v>
      </c>
      <c r="C12191" s="18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16">
        <v>2013</v>
      </c>
      <c r="C12192" s="18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16">
        <v>2013</v>
      </c>
      <c r="C12193" s="18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16">
        <v>2013</v>
      </c>
      <c r="C12194" s="18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16">
        <v>2013</v>
      </c>
      <c r="C12195" s="18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16">
        <v>2013</v>
      </c>
      <c r="C12196" s="18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16">
        <v>2013</v>
      </c>
      <c r="C12197" s="18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16">
        <v>2013</v>
      </c>
      <c r="C12198" s="18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16">
        <v>2013</v>
      </c>
      <c r="C12199" s="18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16">
        <v>2013</v>
      </c>
      <c r="C12200" s="18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16">
        <v>2013</v>
      </c>
      <c r="C12201" s="18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16">
        <v>2013</v>
      </c>
      <c r="C12202" s="18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16">
        <v>2013</v>
      </c>
      <c r="C12203" s="18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16">
        <v>2013</v>
      </c>
      <c r="C12204" s="18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16">
        <v>2013</v>
      </c>
      <c r="C12205" s="18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16">
        <v>2013</v>
      </c>
      <c r="C12206" s="18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16">
        <v>2013</v>
      </c>
      <c r="C12207" s="18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16">
        <v>2013</v>
      </c>
      <c r="C12208" s="18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16">
        <v>2013</v>
      </c>
      <c r="C12209" s="18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16">
        <v>2013</v>
      </c>
      <c r="C12210" s="18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16">
        <v>2013</v>
      </c>
      <c r="C12211" s="18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16">
        <v>2013</v>
      </c>
      <c r="C12212" s="18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16">
        <v>2013</v>
      </c>
      <c r="C12213" s="18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16">
        <v>2013</v>
      </c>
      <c r="C12214" s="18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16">
        <v>2013</v>
      </c>
      <c r="C12215" s="18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16">
        <v>2013</v>
      </c>
      <c r="C12216" s="18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16">
        <v>2013</v>
      </c>
      <c r="C12217" s="18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16">
        <v>2013</v>
      </c>
      <c r="C12218" s="18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16">
        <v>2013</v>
      </c>
      <c r="C12219" s="18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16">
        <v>2013</v>
      </c>
      <c r="C12220" s="18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16">
        <v>2013</v>
      </c>
      <c r="C12221" s="18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16">
        <v>2013</v>
      </c>
      <c r="C12222" s="18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16">
        <v>2013</v>
      </c>
      <c r="C12223" s="18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16">
        <v>2013</v>
      </c>
      <c r="C12224" s="18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16">
        <v>2013</v>
      </c>
      <c r="C12225" s="18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16">
        <v>2013</v>
      </c>
      <c r="C12226" s="18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16">
        <v>2013</v>
      </c>
      <c r="C12227" s="18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16">
        <v>2013</v>
      </c>
      <c r="C12228" s="18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16">
        <v>2013</v>
      </c>
      <c r="C12229" s="18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16">
        <v>2013</v>
      </c>
      <c r="C12230" s="18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16">
        <v>2013</v>
      </c>
      <c r="C12231" s="18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16">
        <v>2013</v>
      </c>
      <c r="C12232" s="18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16">
        <v>2013</v>
      </c>
      <c r="C12233" s="18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16">
        <v>2013</v>
      </c>
      <c r="C12234" s="18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16">
        <v>2013</v>
      </c>
      <c r="C12235" s="18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16">
        <v>2013</v>
      </c>
      <c r="C12236" s="18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16">
        <v>2013</v>
      </c>
      <c r="C12237" s="18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16">
        <v>2013</v>
      </c>
      <c r="C12238" s="18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16">
        <v>2013</v>
      </c>
      <c r="C12239" s="18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16">
        <v>2013</v>
      </c>
      <c r="C12240" s="18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16">
        <v>2013</v>
      </c>
      <c r="C12241" s="18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16">
        <v>2013</v>
      </c>
      <c r="C12242" s="18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16">
        <v>2013</v>
      </c>
      <c r="C12243" s="18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16">
        <v>2013</v>
      </c>
      <c r="C12244" s="18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16">
        <v>2013</v>
      </c>
      <c r="C12245" s="18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16">
        <v>2013</v>
      </c>
      <c r="C12246" s="18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16">
        <v>2013</v>
      </c>
      <c r="C12247" s="18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16">
        <v>2013</v>
      </c>
      <c r="C12248" s="18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16">
        <v>2013</v>
      </c>
      <c r="C12249" s="18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16">
        <v>2013</v>
      </c>
      <c r="C12250" s="18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16">
        <v>2013</v>
      </c>
      <c r="C12251" s="18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16">
        <v>2013</v>
      </c>
      <c r="C12252" s="18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16">
        <v>2013</v>
      </c>
      <c r="C12253" s="18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16">
        <v>2013</v>
      </c>
      <c r="C12254" s="18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16">
        <v>2013</v>
      </c>
      <c r="C12255" s="18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16">
        <v>2013</v>
      </c>
      <c r="C12256" s="18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16">
        <v>2013</v>
      </c>
      <c r="C12257" s="18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16">
        <v>2013</v>
      </c>
      <c r="C12258" s="18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16">
        <v>2013</v>
      </c>
      <c r="C12259" s="18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16">
        <v>2013</v>
      </c>
      <c r="C12260" s="18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16">
        <v>2013</v>
      </c>
      <c r="C12261" s="18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16">
        <v>2013</v>
      </c>
      <c r="C12262" s="18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16">
        <v>2013</v>
      </c>
      <c r="C12263" s="18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16">
        <v>2013</v>
      </c>
      <c r="C12264" s="18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16">
        <v>2013</v>
      </c>
      <c r="C12265" s="18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16">
        <v>2013</v>
      </c>
      <c r="C12266" s="18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16">
        <v>2013</v>
      </c>
      <c r="C12267" s="18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16">
        <v>2013</v>
      </c>
      <c r="C12268" s="18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16">
        <v>2013</v>
      </c>
      <c r="C12269" s="18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16">
        <v>2013</v>
      </c>
      <c r="C12270" s="18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16">
        <v>2013</v>
      </c>
      <c r="C12271" s="18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16">
        <v>2013</v>
      </c>
      <c r="C12272" s="18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16">
        <v>2013</v>
      </c>
      <c r="C12273" s="18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16">
        <v>2013</v>
      </c>
      <c r="C12274" s="18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16">
        <v>2013</v>
      </c>
      <c r="C12275" s="18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16">
        <v>2013</v>
      </c>
      <c r="C12276" s="18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16">
        <v>2013</v>
      </c>
      <c r="C12277" s="18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16">
        <v>2013</v>
      </c>
      <c r="C12278" s="18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16">
        <v>2013</v>
      </c>
      <c r="C12279" s="18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16">
        <v>2013</v>
      </c>
      <c r="C12280" s="18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16">
        <v>2013</v>
      </c>
      <c r="C12281" s="18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16">
        <v>2013</v>
      </c>
      <c r="C12282" s="18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16">
        <v>2013</v>
      </c>
      <c r="C12283" s="18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16">
        <v>2013</v>
      </c>
      <c r="C12284" s="18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16">
        <v>2013</v>
      </c>
      <c r="C12285" s="18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16">
        <v>2013</v>
      </c>
      <c r="C12286" s="18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16">
        <v>2013</v>
      </c>
      <c r="C12287" s="18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16">
        <v>2013</v>
      </c>
      <c r="C12288" s="18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16">
        <v>2013</v>
      </c>
      <c r="C12289" s="18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16">
        <v>2013</v>
      </c>
      <c r="C12290" s="18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16">
        <v>2013</v>
      </c>
      <c r="C12291" s="18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16">
        <v>2013</v>
      </c>
      <c r="C12292" s="18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16">
        <v>2013</v>
      </c>
      <c r="C12293" s="18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16">
        <v>2013</v>
      </c>
      <c r="C12294" s="18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16">
        <v>2013</v>
      </c>
      <c r="C12295" s="18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16">
        <v>2013</v>
      </c>
      <c r="C12296" s="18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16">
        <v>2013</v>
      </c>
      <c r="C12297" s="18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16">
        <v>2013</v>
      </c>
      <c r="C12298" s="18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16">
        <v>2013</v>
      </c>
      <c r="C12299" s="18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16">
        <v>2013</v>
      </c>
      <c r="C12300" s="18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16">
        <v>2013</v>
      </c>
      <c r="C12301" s="18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16">
        <v>2013</v>
      </c>
      <c r="C12302" s="18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16">
        <v>2013</v>
      </c>
      <c r="C12303" s="18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16">
        <v>2013</v>
      </c>
      <c r="C12304" s="18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16">
        <v>2013</v>
      </c>
      <c r="C12305" s="18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16">
        <v>2013</v>
      </c>
      <c r="C12306" s="18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16">
        <v>2013</v>
      </c>
      <c r="C12307" s="18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16">
        <v>2013</v>
      </c>
      <c r="C12308" s="18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16">
        <v>2013</v>
      </c>
      <c r="C12309" s="18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16">
        <v>2013</v>
      </c>
      <c r="C12310" s="18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16">
        <v>2013</v>
      </c>
      <c r="C12311" s="18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16">
        <v>2013</v>
      </c>
      <c r="C12312" s="18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16">
        <v>2013</v>
      </c>
      <c r="C12313" s="18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16">
        <v>2013</v>
      </c>
      <c r="C12314" s="18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16">
        <v>2013</v>
      </c>
      <c r="C12315" s="18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16">
        <v>2013</v>
      </c>
      <c r="C12316" s="18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16">
        <v>2013</v>
      </c>
      <c r="C12317" s="18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16">
        <v>2013</v>
      </c>
      <c r="C12318" s="18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16">
        <v>2013</v>
      </c>
      <c r="C12319" s="18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16">
        <v>2013</v>
      </c>
      <c r="C12320" s="18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16">
        <v>2013</v>
      </c>
      <c r="C12321" s="18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16">
        <v>2013</v>
      </c>
      <c r="C12322" s="18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16">
        <v>2013</v>
      </c>
      <c r="C12323" s="18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16">
        <v>2013</v>
      </c>
      <c r="C12324" s="18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16">
        <v>2013</v>
      </c>
      <c r="C12325" s="18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16">
        <v>2013</v>
      </c>
      <c r="C12326" s="18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16">
        <v>2013</v>
      </c>
      <c r="C12327" s="18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16">
        <v>2013</v>
      </c>
      <c r="C12328" s="18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16">
        <v>2013</v>
      </c>
      <c r="C12329" s="18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16">
        <v>2013</v>
      </c>
      <c r="C12330" s="18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16">
        <v>2013</v>
      </c>
      <c r="C12331" s="18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16">
        <v>2013</v>
      </c>
      <c r="C12332" s="18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16">
        <v>2013</v>
      </c>
      <c r="C12333" s="18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16">
        <v>2013</v>
      </c>
      <c r="C12334" s="18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16">
        <v>2013</v>
      </c>
      <c r="C12335" s="18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16">
        <v>2013</v>
      </c>
      <c r="C12336" s="18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16">
        <v>2013</v>
      </c>
      <c r="C12337" s="18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16">
        <v>2013</v>
      </c>
      <c r="C12338" s="18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16">
        <v>2013</v>
      </c>
      <c r="C12339" s="18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16">
        <v>2013</v>
      </c>
      <c r="C12340" s="18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16">
        <v>2013</v>
      </c>
      <c r="C12341" s="18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16">
        <v>2013</v>
      </c>
      <c r="C12342" s="18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16">
        <v>2013</v>
      </c>
      <c r="C12343" s="18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16">
        <v>2013</v>
      </c>
      <c r="C12344" s="18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16">
        <v>2013</v>
      </c>
      <c r="C12345" s="18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16">
        <v>2013</v>
      </c>
      <c r="C12346" s="18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16">
        <v>2013</v>
      </c>
      <c r="C12347" s="18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16">
        <v>2013</v>
      </c>
      <c r="C12348" s="18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16">
        <v>2013</v>
      </c>
      <c r="C12349" s="18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16">
        <v>2013</v>
      </c>
      <c r="C12350" s="18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16">
        <v>2013</v>
      </c>
      <c r="C12351" s="18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16">
        <v>2013</v>
      </c>
      <c r="C12352" s="18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16">
        <v>2013</v>
      </c>
      <c r="C12353" s="18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16">
        <v>2013</v>
      </c>
      <c r="C12354" s="18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16">
        <v>2013</v>
      </c>
      <c r="C12355" s="18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16">
        <v>2013</v>
      </c>
      <c r="C12356" s="18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16">
        <v>2013</v>
      </c>
      <c r="C12357" s="18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16">
        <v>2013</v>
      </c>
      <c r="C12358" s="18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16">
        <v>2013</v>
      </c>
      <c r="C12359" s="18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16">
        <v>2013</v>
      </c>
      <c r="C12360" s="18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16">
        <v>2013</v>
      </c>
      <c r="C12361" s="18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16">
        <v>2013</v>
      </c>
      <c r="C12362" s="18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16">
        <v>2013</v>
      </c>
      <c r="C12363" s="18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16">
        <v>2013</v>
      </c>
      <c r="C12364" s="18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16">
        <v>2013</v>
      </c>
      <c r="C12365" s="18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16">
        <v>2013</v>
      </c>
      <c r="C12366" s="18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16">
        <v>2013</v>
      </c>
      <c r="C12367" s="18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16">
        <v>2013</v>
      </c>
      <c r="C12368" s="18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16">
        <v>2013</v>
      </c>
      <c r="C12369" s="18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16">
        <v>2013</v>
      </c>
      <c r="C12370" s="18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16">
        <v>2013</v>
      </c>
      <c r="C12371" s="18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16">
        <v>2013</v>
      </c>
      <c r="C12372" s="18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16">
        <v>2013</v>
      </c>
      <c r="C12373" s="18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16">
        <v>2013</v>
      </c>
      <c r="C12374" s="18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16">
        <v>2013</v>
      </c>
      <c r="C12375" s="18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16">
        <v>2013</v>
      </c>
      <c r="C12376" s="18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16">
        <v>2013</v>
      </c>
      <c r="C12377" s="18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16">
        <v>2013</v>
      </c>
      <c r="C12378" s="18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16">
        <v>2013</v>
      </c>
      <c r="C12379" s="18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16">
        <v>2013</v>
      </c>
      <c r="C12380" s="18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16">
        <v>2013</v>
      </c>
      <c r="C12381" s="18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16">
        <v>2013</v>
      </c>
      <c r="C12382" s="18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16">
        <v>2013</v>
      </c>
      <c r="C12383" s="18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16">
        <v>2013</v>
      </c>
      <c r="C12384" s="18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16">
        <v>2013</v>
      </c>
      <c r="C12385" s="18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16">
        <v>2013</v>
      </c>
      <c r="C12386" s="18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16">
        <v>2013</v>
      </c>
      <c r="C12387" s="18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16">
        <v>2013</v>
      </c>
      <c r="C12388" s="18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16">
        <v>2013</v>
      </c>
      <c r="C12389" s="18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16">
        <v>2013</v>
      </c>
      <c r="C12390" s="18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16">
        <v>2013</v>
      </c>
      <c r="C12391" s="18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16">
        <v>2013</v>
      </c>
      <c r="C12392" s="18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16">
        <v>2013</v>
      </c>
      <c r="C12393" s="18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16">
        <v>2013</v>
      </c>
      <c r="C12394" s="18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16">
        <v>2013</v>
      </c>
      <c r="C12395" s="18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16">
        <v>2013</v>
      </c>
      <c r="C12396" s="18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16">
        <v>2013</v>
      </c>
      <c r="C12397" s="18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16">
        <v>2013</v>
      </c>
      <c r="C12398" s="18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16">
        <v>2013</v>
      </c>
      <c r="C12399" s="18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16">
        <v>2013</v>
      </c>
      <c r="C12400" s="18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16">
        <v>2013</v>
      </c>
      <c r="C12401" s="18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16">
        <v>2013</v>
      </c>
      <c r="C12402" s="18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16">
        <v>2013</v>
      </c>
      <c r="C12403" s="18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16">
        <v>2013</v>
      </c>
      <c r="C12404" s="18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16">
        <v>2013</v>
      </c>
      <c r="C12405" s="18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16">
        <v>2013</v>
      </c>
      <c r="C12406" s="18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16">
        <v>2013</v>
      </c>
      <c r="C12407" s="18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16">
        <v>2013</v>
      </c>
      <c r="C12408" s="18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16">
        <v>2013</v>
      </c>
      <c r="C12409" s="18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16">
        <v>2013</v>
      </c>
      <c r="C12410" s="18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16">
        <v>2013</v>
      </c>
      <c r="C12411" s="18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16">
        <v>2013</v>
      </c>
      <c r="C12412" s="18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16">
        <v>2013</v>
      </c>
      <c r="C12413" s="18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16">
        <v>2013</v>
      </c>
      <c r="C12414" s="18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16">
        <v>2013</v>
      </c>
      <c r="C12415" s="18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16">
        <v>2013</v>
      </c>
      <c r="C12416" s="18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16">
        <v>2013</v>
      </c>
      <c r="C12417" s="18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16">
        <v>2013</v>
      </c>
      <c r="C12418" s="18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16">
        <v>2013</v>
      </c>
      <c r="C12419" s="18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16">
        <v>2013</v>
      </c>
      <c r="C12420" s="18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16">
        <v>2013</v>
      </c>
      <c r="C12421" s="18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16">
        <v>2013</v>
      </c>
      <c r="C12422" s="18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16">
        <v>2013</v>
      </c>
      <c r="C12423" s="18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16">
        <v>2013</v>
      </c>
      <c r="C12424" s="18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16">
        <v>2013</v>
      </c>
      <c r="C12425" s="18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16">
        <v>2013</v>
      </c>
      <c r="C12426" s="18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16">
        <v>2013</v>
      </c>
      <c r="C12427" s="18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16">
        <v>2013</v>
      </c>
      <c r="C12428" s="18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16">
        <v>2013</v>
      </c>
      <c r="C12429" s="18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16">
        <v>2013</v>
      </c>
      <c r="C12430" s="18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16">
        <v>2013</v>
      </c>
      <c r="C12431" s="18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16">
        <v>2013</v>
      </c>
      <c r="C12432" s="18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16">
        <v>2013</v>
      </c>
      <c r="C12433" s="18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16">
        <v>2013</v>
      </c>
      <c r="C12434" s="18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16">
        <v>2013</v>
      </c>
      <c r="C12435" s="18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16">
        <v>2013</v>
      </c>
      <c r="C12436" s="18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16">
        <v>2013</v>
      </c>
      <c r="C12437" s="18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16">
        <v>2013</v>
      </c>
      <c r="C12438" s="18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16">
        <v>2013</v>
      </c>
      <c r="C12439" s="18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16">
        <v>2013</v>
      </c>
      <c r="C12440" s="18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16">
        <v>2013</v>
      </c>
      <c r="C12441" s="18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16">
        <v>2013</v>
      </c>
      <c r="C12442" s="18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16">
        <v>2013</v>
      </c>
      <c r="C12443" s="18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16">
        <v>2013</v>
      </c>
      <c r="C12444" s="18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16">
        <v>2013</v>
      </c>
      <c r="C12445" s="18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16">
        <v>2013</v>
      </c>
      <c r="C12446" s="18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16">
        <v>2013</v>
      </c>
      <c r="C12447" s="18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16">
        <v>2013</v>
      </c>
      <c r="C12448" s="18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16">
        <v>2013</v>
      </c>
      <c r="C12449" s="18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16">
        <v>2013</v>
      </c>
      <c r="C12450" s="18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16">
        <v>2013</v>
      </c>
      <c r="C12451" s="18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16">
        <v>2013</v>
      </c>
      <c r="C12452" s="18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16">
        <v>2013</v>
      </c>
      <c r="C12453" s="18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16">
        <v>2013</v>
      </c>
      <c r="C12454" s="18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16">
        <v>2013</v>
      </c>
      <c r="C12455" s="18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16">
        <v>2013</v>
      </c>
      <c r="C12456" s="18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16">
        <v>2013</v>
      </c>
      <c r="C12457" s="18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16">
        <v>2013</v>
      </c>
      <c r="C12458" s="18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16">
        <v>2013</v>
      </c>
      <c r="C12459" s="18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16">
        <v>2013</v>
      </c>
      <c r="C12460" s="18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16">
        <v>2013</v>
      </c>
      <c r="C12461" s="18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16">
        <v>2013</v>
      </c>
      <c r="C12462" s="18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16">
        <v>2013</v>
      </c>
      <c r="C12463" s="18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16">
        <v>2013</v>
      </c>
      <c r="C12464" s="18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16">
        <v>2013</v>
      </c>
      <c r="C12465" s="18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16">
        <v>2013</v>
      </c>
      <c r="C12466" s="18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16">
        <v>2013</v>
      </c>
      <c r="C12467" s="18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16">
        <v>2013</v>
      </c>
      <c r="C12468" s="18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16">
        <v>2013</v>
      </c>
      <c r="C12469" s="18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16">
        <v>2013</v>
      </c>
      <c r="C12470" s="18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16">
        <v>2013</v>
      </c>
      <c r="C12471" s="18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16">
        <v>2013</v>
      </c>
      <c r="C12472" s="18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16">
        <v>2013</v>
      </c>
      <c r="C12473" s="18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16">
        <v>2013</v>
      </c>
      <c r="C12474" s="18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16">
        <v>2013</v>
      </c>
      <c r="C12475" s="18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16">
        <v>2013</v>
      </c>
      <c r="C12476" s="18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16">
        <v>2013</v>
      </c>
      <c r="C12477" s="18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16">
        <v>2013</v>
      </c>
      <c r="C12478" s="18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16">
        <v>2013</v>
      </c>
      <c r="C12479" s="18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16">
        <v>2013</v>
      </c>
      <c r="C12480" s="18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16">
        <v>2013</v>
      </c>
      <c r="C12481" s="18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16">
        <v>2013</v>
      </c>
      <c r="C12482" s="18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16">
        <v>2013</v>
      </c>
      <c r="C12483" s="18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16">
        <v>2013</v>
      </c>
      <c r="C12484" s="18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16">
        <v>2013</v>
      </c>
      <c r="C12485" s="18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16">
        <v>2013</v>
      </c>
      <c r="C12486" s="18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16">
        <v>2013</v>
      </c>
      <c r="C12487" s="18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16">
        <v>2013</v>
      </c>
      <c r="C12488" s="18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16">
        <v>2013</v>
      </c>
      <c r="C12489" s="18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16">
        <v>2013</v>
      </c>
      <c r="C12490" s="18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16">
        <v>2013</v>
      </c>
      <c r="C12491" s="18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16">
        <v>2013</v>
      </c>
      <c r="C12492" s="18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16">
        <v>2013</v>
      </c>
      <c r="C12493" s="18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16">
        <v>2013</v>
      </c>
      <c r="C12494" s="18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16">
        <v>2013</v>
      </c>
      <c r="C12495" s="18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16">
        <v>2013</v>
      </c>
      <c r="C12496" s="18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16">
        <v>2013</v>
      </c>
      <c r="C12497" s="18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16">
        <v>2013</v>
      </c>
      <c r="C12498" s="18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16">
        <v>2013</v>
      </c>
      <c r="C12499" s="18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16">
        <v>2013</v>
      </c>
      <c r="C12500" s="18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16">
        <v>2013</v>
      </c>
      <c r="C12501" s="18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16">
        <v>2013</v>
      </c>
      <c r="C12502" s="18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16">
        <v>2013</v>
      </c>
      <c r="C12503" s="18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16">
        <v>2013</v>
      </c>
      <c r="C12504" s="18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16">
        <v>2013</v>
      </c>
      <c r="C12505" s="18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16">
        <v>2013</v>
      </c>
      <c r="C12506" s="18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16">
        <v>2013</v>
      </c>
      <c r="C12507" s="18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16">
        <v>2013</v>
      </c>
      <c r="C12508" s="18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16">
        <v>2013</v>
      </c>
      <c r="C12509" s="18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16">
        <v>2013</v>
      </c>
      <c r="C12510" s="18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16">
        <v>2013</v>
      </c>
      <c r="C12511" s="18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16">
        <v>2013</v>
      </c>
      <c r="C12512" s="18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16">
        <v>2013</v>
      </c>
      <c r="C12513" s="18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16">
        <v>2013</v>
      </c>
      <c r="C12514" s="18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16">
        <v>2013</v>
      </c>
      <c r="C12515" s="18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16">
        <v>2013</v>
      </c>
      <c r="C12516" s="18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16">
        <v>2013</v>
      </c>
      <c r="C12517" s="18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16">
        <v>2013</v>
      </c>
      <c r="C12518" s="18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16">
        <v>2013</v>
      </c>
      <c r="C12519" s="18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16">
        <v>2013</v>
      </c>
      <c r="C12520" s="18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16">
        <v>2013</v>
      </c>
      <c r="C12521" s="18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16">
        <v>2013</v>
      </c>
      <c r="C12522" s="18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16">
        <v>2013</v>
      </c>
      <c r="C12523" s="18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16">
        <v>2013</v>
      </c>
      <c r="C12524" s="18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16">
        <v>2013</v>
      </c>
      <c r="C12525" s="18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16">
        <v>2013</v>
      </c>
      <c r="C12526" s="18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16">
        <v>2013</v>
      </c>
      <c r="C12527" s="18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16">
        <v>2013</v>
      </c>
      <c r="C12528" s="18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16">
        <v>2013</v>
      </c>
      <c r="C12529" s="18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16">
        <v>2013</v>
      </c>
      <c r="C12530" s="18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16">
        <v>2013</v>
      </c>
      <c r="C12531" s="18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16">
        <v>2013</v>
      </c>
      <c r="C12532" s="18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16">
        <v>2013</v>
      </c>
      <c r="C12533" s="18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16">
        <v>2013</v>
      </c>
      <c r="C12534" s="18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16">
        <v>2013</v>
      </c>
      <c r="C12535" s="18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16">
        <v>2013</v>
      </c>
      <c r="C12536" s="18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16">
        <v>2013</v>
      </c>
      <c r="C12537" s="18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16">
        <v>2013</v>
      </c>
      <c r="C12538" s="18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16">
        <v>2013</v>
      </c>
      <c r="C12539" s="18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16">
        <v>2013</v>
      </c>
      <c r="C12540" s="18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16">
        <v>2013</v>
      </c>
      <c r="C12541" s="18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16">
        <v>2013</v>
      </c>
      <c r="C12542" s="18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16">
        <v>2013</v>
      </c>
      <c r="C12543" s="18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16">
        <v>2013</v>
      </c>
      <c r="C12544" s="18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16">
        <v>2013</v>
      </c>
      <c r="C12545" s="18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16">
        <v>2013</v>
      </c>
      <c r="C12546" s="18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16">
        <v>2013</v>
      </c>
      <c r="C12547" s="18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16">
        <v>2013</v>
      </c>
      <c r="C12548" s="18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16">
        <v>2013</v>
      </c>
      <c r="C12549" s="18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16">
        <v>2013</v>
      </c>
      <c r="C12550" s="18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16">
        <v>2013</v>
      </c>
      <c r="C12551" s="18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16">
        <v>2013</v>
      </c>
      <c r="C12552" s="18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16">
        <v>2013</v>
      </c>
      <c r="C12553" s="18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16">
        <v>2013</v>
      </c>
      <c r="C12554" s="18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16">
        <v>2013</v>
      </c>
      <c r="C12555" s="18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16">
        <v>2013</v>
      </c>
      <c r="C12556" s="18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16">
        <v>2013</v>
      </c>
      <c r="C12557" s="18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16">
        <v>2013</v>
      </c>
      <c r="C12558" s="18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16">
        <v>2013</v>
      </c>
      <c r="C12559" s="18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16">
        <v>2013</v>
      </c>
      <c r="C12560" s="18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16">
        <v>2013</v>
      </c>
      <c r="C12561" s="18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16">
        <v>2013</v>
      </c>
      <c r="C12562" s="18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16">
        <v>2013</v>
      </c>
      <c r="C12563" s="18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16">
        <v>2013</v>
      </c>
      <c r="C12564" s="18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16">
        <v>2013</v>
      </c>
      <c r="C12565" s="18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16">
        <v>2013</v>
      </c>
      <c r="C12566" s="18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16">
        <v>2013</v>
      </c>
      <c r="C12567" s="18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16">
        <v>2013</v>
      </c>
      <c r="C12568" s="18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16">
        <v>2013</v>
      </c>
      <c r="C12569" s="18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16">
        <v>2013</v>
      </c>
      <c r="C12570" s="18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16">
        <v>2013</v>
      </c>
      <c r="C12571" s="18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16">
        <v>2013</v>
      </c>
      <c r="C12572" s="18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16">
        <v>2013</v>
      </c>
      <c r="C12573" s="18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16">
        <v>2013</v>
      </c>
      <c r="C12574" s="18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16">
        <v>2013</v>
      </c>
      <c r="C12575" s="18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16">
        <v>2013</v>
      </c>
      <c r="C12576" s="18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16">
        <v>2013</v>
      </c>
      <c r="C12577" s="18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16">
        <v>2013</v>
      </c>
      <c r="C12578" s="18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16">
        <v>2013</v>
      </c>
      <c r="C12579" s="18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16">
        <v>2013</v>
      </c>
      <c r="C12580" s="18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16">
        <v>2013</v>
      </c>
      <c r="C12581" s="18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16">
        <v>2013</v>
      </c>
      <c r="C12582" s="18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16">
        <v>2013</v>
      </c>
      <c r="C12583" s="18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16">
        <v>2013</v>
      </c>
      <c r="C12584" s="18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16">
        <v>2013</v>
      </c>
      <c r="C12585" s="18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16">
        <v>2013</v>
      </c>
      <c r="C12586" s="18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16">
        <v>2013</v>
      </c>
      <c r="C12587" s="18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16">
        <v>2013</v>
      </c>
      <c r="C12588" s="18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16">
        <v>2013</v>
      </c>
      <c r="C12589" s="18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16">
        <v>2013</v>
      </c>
      <c r="C12590" s="18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16">
        <v>2013</v>
      </c>
      <c r="C12591" s="18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16">
        <v>2013</v>
      </c>
      <c r="C12592" s="18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16">
        <v>2013</v>
      </c>
      <c r="C12593" s="18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16">
        <v>2013</v>
      </c>
      <c r="C12594" s="18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16">
        <v>2013</v>
      </c>
      <c r="C12595" s="18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16">
        <v>2013</v>
      </c>
      <c r="C12596" s="18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16">
        <v>2013</v>
      </c>
      <c r="C12597" s="18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16">
        <v>2013</v>
      </c>
      <c r="C12598" s="18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16">
        <v>2013</v>
      </c>
      <c r="C12599" s="18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16">
        <v>2013</v>
      </c>
      <c r="C12600" s="18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16">
        <v>2013</v>
      </c>
      <c r="C12601" s="18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16">
        <v>2013</v>
      </c>
      <c r="C12602" s="18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16">
        <v>2013</v>
      </c>
      <c r="C12603" s="18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16">
        <v>2013</v>
      </c>
      <c r="C12604" s="18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16">
        <v>2013</v>
      </c>
      <c r="C12605" s="18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16">
        <v>2013</v>
      </c>
      <c r="C12606" s="18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16">
        <v>2013</v>
      </c>
      <c r="C12607" s="18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16">
        <v>2013</v>
      </c>
      <c r="C12608" s="18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16">
        <v>2013</v>
      </c>
      <c r="C12609" s="18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16">
        <v>2013</v>
      </c>
      <c r="C12610" s="18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16">
        <v>2013</v>
      </c>
      <c r="C12611" s="18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16">
        <v>2013</v>
      </c>
      <c r="C12612" s="18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16">
        <v>2013</v>
      </c>
      <c r="C12613" s="18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16">
        <v>2013</v>
      </c>
      <c r="C12614" s="18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16">
        <v>2013</v>
      </c>
      <c r="C12615" s="18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16">
        <v>2013</v>
      </c>
      <c r="C12616" s="18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16">
        <v>2013</v>
      </c>
      <c r="C12617" s="18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16">
        <v>2013</v>
      </c>
      <c r="C12618" s="18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16">
        <v>2013</v>
      </c>
      <c r="C12619" s="18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16">
        <v>2013</v>
      </c>
      <c r="C12620" s="18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16">
        <v>2013</v>
      </c>
      <c r="C12621" s="18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16">
        <v>2013</v>
      </c>
      <c r="C12622" s="18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16">
        <v>2013</v>
      </c>
      <c r="C12623" s="18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16">
        <v>2013</v>
      </c>
      <c r="C12624" s="18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16">
        <v>2013</v>
      </c>
      <c r="C12625" s="18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16">
        <v>2013</v>
      </c>
      <c r="C12626" s="18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16">
        <v>2013</v>
      </c>
      <c r="C12627" s="18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16">
        <v>2013</v>
      </c>
      <c r="C12628" s="18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16">
        <v>2013</v>
      </c>
      <c r="C12629" s="18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16">
        <v>2013</v>
      </c>
      <c r="C12630" s="18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16">
        <v>2013</v>
      </c>
      <c r="C12631" s="18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16">
        <v>2013</v>
      </c>
      <c r="C12632" s="18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16">
        <v>2013</v>
      </c>
      <c r="C12633" s="18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16">
        <v>2013</v>
      </c>
      <c r="C12634" s="18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16">
        <v>2013</v>
      </c>
      <c r="C12635" s="18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16">
        <v>2013</v>
      </c>
      <c r="C12636" s="18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16">
        <v>2013</v>
      </c>
      <c r="C12637" s="18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16">
        <v>2013</v>
      </c>
      <c r="C12638" s="18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16">
        <v>2013</v>
      </c>
      <c r="C12639" s="18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16">
        <v>2013</v>
      </c>
      <c r="C12640" s="18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16">
        <v>2013</v>
      </c>
      <c r="C12641" s="18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16">
        <v>2013</v>
      </c>
      <c r="C12642" s="18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16">
        <v>2013</v>
      </c>
      <c r="C12643" s="18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16">
        <v>2013</v>
      </c>
      <c r="C12644" s="18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16">
        <v>2013</v>
      </c>
      <c r="C12645" s="18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16">
        <v>2013</v>
      </c>
      <c r="C12646" s="18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16">
        <v>2013</v>
      </c>
      <c r="C12647" s="18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16">
        <v>2013</v>
      </c>
      <c r="C12648" s="18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16">
        <v>2013</v>
      </c>
      <c r="C12649" s="18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16">
        <v>2013</v>
      </c>
      <c r="C12650" s="18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16">
        <v>2013</v>
      </c>
      <c r="C12651" s="18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16">
        <v>2013</v>
      </c>
      <c r="C12652" s="18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16">
        <v>2013</v>
      </c>
      <c r="C12653" s="18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16">
        <v>2013</v>
      </c>
      <c r="C12654" s="18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16">
        <v>2013</v>
      </c>
      <c r="C12655" s="18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16">
        <v>2013</v>
      </c>
      <c r="C12656" s="18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16">
        <v>2013</v>
      </c>
      <c r="C12657" s="18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16">
        <v>2013</v>
      </c>
      <c r="C12658" s="18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16">
        <v>2013</v>
      </c>
      <c r="C12659" s="18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16">
        <v>2013</v>
      </c>
      <c r="C12660" s="18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16">
        <v>2013</v>
      </c>
      <c r="C12661" s="18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16">
        <v>2013</v>
      </c>
      <c r="C12662" s="18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16">
        <v>2013</v>
      </c>
      <c r="C12663" s="18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16">
        <v>2013</v>
      </c>
      <c r="C12664" s="18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16">
        <v>2013</v>
      </c>
      <c r="C12665" s="18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16">
        <v>2013</v>
      </c>
      <c r="C12666" s="18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16">
        <v>2013</v>
      </c>
      <c r="C12667" s="18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16">
        <v>2013</v>
      </c>
      <c r="C12668" s="18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16">
        <v>2013</v>
      </c>
      <c r="C12669" s="18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16">
        <v>2013</v>
      </c>
      <c r="C12670" s="18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16">
        <v>2013</v>
      </c>
      <c r="C12671" s="18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16">
        <v>2013</v>
      </c>
      <c r="C12672" s="18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16">
        <v>2013</v>
      </c>
      <c r="C12673" s="18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16">
        <v>2013</v>
      </c>
      <c r="C12674" s="18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16">
        <v>2013</v>
      </c>
      <c r="C12675" s="18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16">
        <v>2013</v>
      </c>
      <c r="C12676" s="18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16">
        <v>2013</v>
      </c>
      <c r="C12677" s="18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16">
        <v>2013</v>
      </c>
      <c r="C12678" s="18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16">
        <v>2013</v>
      </c>
      <c r="C12679" s="18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16">
        <v>2013</v>
      </c>
      <c r="C12680" s="18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16">
        <v>2013</v>
      </c>
      <c r="C12681" s="18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16">
        <v>2013</v>
      </c>
      <c r="C12682" s="18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16">
        <v>2013</v>
      </c>
      <c r="C12683" s="18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16">
        <v>2013</v>
      </c>
      <c r="C12684" s="18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16">
        <v>2013</v>
      </c>
      <c r="C12685" s="18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16">
        <v>2013</v>
      </c>
      <c r="C12686" s="18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16">
        <v>2013</v>
      </c>
      <c r="C12687" s="18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16">
        <v>2013</v>
      </c>
      <c r="C12688" s="18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16">
        <v>2013</v>
      </c>
      <c r="C12689" s="18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16">
        <v>2013</v>
      </c>
      <c r="C12690" s="18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16">
        <v>2013</v>
      </c>
      <c r="C12691" s="18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16">
        <v>2013</v>
      </c>
      <c r="C12692" s="18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16">
        <v>2013</v>
      </c>
      <c r="C12693" s="18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16">
        <v>2013</v>
      </c>
      <c r="C12694" s="18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16">
        <v>2013</v>
      </c>
      <c r="C12695" s="18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16">
        <v>2013</v>
      </c>
      <c r="C12696" s="18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16">
        <v>2013</v>
      </c>
      <c r="C12697" s="18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16">
        <v>2013</v>
      </c>
      <c r="C12698" s="18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16">
        <v>2013</v>
      </c>
      <c r="C12699" s="18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16">
        <v>2013</v>
      </c>
      <c r="C12700" s="18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16">
        <v>2013</v>
      </c>
      <c r="C12701" s="18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16">
        <v>2013</v>
      </c>
      <c r="C12702" s="18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16">
        <v>2013</v>
      </c>
      <c r="C12703" s="18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16">
        <v>2013</v>
      </c>
      <c r="C12704" s="18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16">
        <v>2013</v>
      </c>
      <c r="C12705" s="18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16">
        <v>2013</v>
      </c>
      <c r="C12706" s="18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16">
        <v>2013</v>
      </c>
      <c r="C12707" s="18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16">
        <v>2013</v>
      </c>
      <c r="C12708" s="18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16">
        <v>2013</v>
      </c>
      <c r="C12709" s="18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16">
        <v>2013</v>
      </c>
      <c r="C12710" s="18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16">
        <v>2013</v>
      </c>
      <c r="C12711" s="18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16">
        <v>2013</v>
      </c>
      <c r="C12712" s="18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16">
        <v>2013</v>
      </c>
      <c r="C12713" s="18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16">
        <v>2013</v>
      </c>
      <c r="C12714" s="18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16">
        <v>2013</v>
      </c>
      <c r="C12715" s="18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16">
        <v>2013</v>
      </c>
      <c r="C12716" s="18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16">
        <v>2013</v>
      </c>
      <c r="C12717" s="18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16">
        <v>2013</v>
      </c>
      <c r="C12718" s="18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16">
        <v>2013</v>
      </c>
      <c r="C12719" s="18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16">
        <v>2013</v>
      </c>
      <c r="C12720" s="18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16">
        <v>2013</v>
      </c>
      <c r="C12721" s="18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16">
        <v>2013</v>
      </c>
      <c r="C12722" s="18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16">
        <v>2013</v>
      </c>
      <c r="C12723" s="18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16">
        <v>2013</v>
      </c>
      <c r="C12724" s="18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16">
        <v>2013</v>
      </c>
      <c r="C12725" s="18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16">
        <v>2013</v>
      </c>
      <c r="C12726" s="18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16">
        <v>2013</v>
      </c>
      <c r="C12727" s="18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16">
        <v>2013</v>
      </c>
      <c r="C12728" s="18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16">
        <v>2013</v>
      </c>
      <c r="C12729" s="18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16">
        <v>2013</v>
      </c>
      <c r="C12730" s="18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16">
        <v>2013</v>
      </c>
      <c r="C12731" s="18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16">
        <v>2013</v>
      </c>
      <c r="C12732" s="18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16">
        <v>2013</v>
      </c>
      <c r="C12733" s="18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16">
        <v>2013</v>
      </c>
      <c r="C12734" s="18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16">
        <v>2013</v>
      </c>
      <c r="C12735" s="18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16">
        <v>2013</v>
      </c>
      <c r="C12736" s="18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16">
        <v>2013</v>
      </c>
      <c r="C12737" s="18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16">
        <v>2013</v>
      </c>
      <c r="C12738" s="18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16">
        <v>2013</v>
      </c>
      <c r="C12739" s="18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16">
        <v>2013</v>
      </c>
      <c r="C12740" s="18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16">
        <v>2013</v>
      </c>
      <c r="C12741" s="18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16">
        <v>2013</v>
      </c>
      <c r="C12742" s="18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16">
        <v>2013</v>
      </c>
      <c r="C12743" s="18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16">
        <v>2013</v>
      </c>
      <c r="C12744" s="18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16">
        <v>2013</v>
      </c>
      <c r="C12745" s="18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16">
        <v>2013</v>
      </c>
      <c r="C12746" s="18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16">
        <v>2013</v>
      </c>
      <c r="C12747" s="18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16">
        <v>2013</v>
      </c>
      <c r="C12748" s="18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16">
        <v>2013</v>
      </c>
      <c r="C12749" s="18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16">
        <v>2013</v>
      </c>
      <c r="C12750" s="18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16">
        <v>2013</v>
      </c>
      <c r="C12751" s="18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16">
        <v>2013</v>
      </c>
      <c r="C12752" s="18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16">
        <v>2013</v>
      </c>
      <c r="C12753" s="18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16">
        <v>2013</v>
      </c>
      <c r="C12754" s="18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16">
        <v>2013</v>
      </c>
      <c r="C12755" s="18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16">
        <v>2013</v>
      </c>
      <c r="C12756" s="18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16">
        <v>2013</v>
      </c>
      <c r="C12757" s="18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16">
        <v>2013</v>
      </c>
      <c r="C12758" s="18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16">
        <v>2013</v>
      </c>
      <c r="C12759" s="18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16">
        <v>2013</v>
      </c>
      <c r="C12760" s="18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16">
        <v>2013</v>
      </c>
      <c r="C12761" s="18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16">
        <v>2013</v>
      </c>
      <c r="C12762" s="18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16">
        <v>2013</v>
      </c>
      <c r="C12763" s="18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16">
        <v>2013</v>
      </c>
      <c r="C12764" s="18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16">
        <v>2013</v>
      </c>
      <c r="C12765" s="18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16">
        <v>2013</v>
      </c>
      <c r="C12766" s="18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16">
        <v>2013</v>
      </c>
      <c r="C12767" s="18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16">
        <v>2013</v>
      </c>
      <c r="C12768" s="18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16">
        <v>2013</v>
      </c>
      <c r="C12769" s="18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16">
        <v>2013</v>
      </c>
      <c r="C12770" s="18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16">
        <v>2013</v>
      </c>
      <c r="C12771" s="18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16">
        <v>2013</v>
      </c>
      <c r="C12772" s="18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16">
        <v>2013</v>
      </c>
      <c r="C12773" s="18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16">
        <v>2013</v>
      </c>
      <c r="C12774" s="18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16">
        <v>2013</v>
      </c>
      <c r="C12775" s="18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16">
        <v>2013</v>
      </c>
      <c r="C12776" s="18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16">
        <v>2013</v>
      </c>
      <c r="C12777" s="18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16">
        <v>2013</v>
      </c>
      <c r="C12778" s="18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16">
        <v>2013</v>
      </c>
      <c r="C12779" s="18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16">
        <v>2013</v>
      </c>
      <c r="C12780" s="18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16">
        <v>2013</v>
      </c>
      <c r="C12781" s="18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16">
        <v>2013</v>
      </c>
      <c r="C12782" s="18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16">
        <v>2013</v>
      </c>
      <c r="C12783" s="18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16">
        <v>2013</v>
      </c>
      <c r="C12784" s="18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16">
        <v>2013</v>
      </c>
      <c r="C12785" s="18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16">
        <v>2013</v>
      </c>
      <c r="C12786" s="18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16">
        <v>2013</v>
      </c>
      <c r="C12787" s="18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16">
        <v>2013</v>
      </c>
      <c r="C12788" s="18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16">
        <v>2013</v>
      </c>
      <c r="C12789" s="18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16">
        <v>2013</v>
      </c>
      <c r="C12790" s="18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16">
        <v>2013</v>
      </c>
      <c r="C12791" s="18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16">
        <v>2013</v>
      </c>
      <c r="C12792" s="18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16">
        <v>2013</v>
      </c>
      <c r="C12793" s="18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16">
        <v>2013</v>
      </c>
      <c r="C12794" s="18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16">
        <v>2013</v>
      </c>
      <c r="C12795" s="18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16">
        <v>2013</v>
      </c>
      <c r="C12796" s="18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16">
        <v>2013</v>
      </c>
      <c r="C12797" s="18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16">
        <v>2013</v>
      </c>
      <c r="C12798" s="18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16">
        <v>2013</v>
      </c>
      <c r="C12799" s="18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16">
        <v>2013</v>
      </c>
      <c r="C12800" s="18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16">
        <v>2013</v>
      </c>
      <c r="C12801" s="18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16">
        <v>2013</v>
      </c>
      <c r="C12802" s="18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16">
        <v>2013</v>
      </c>
      <c r="C12803" s="18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16">
        <v>2013</v>
      </c>
      <c r="C12804" s="18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16">
        <v>2013</v>
      </c>
      <c r="C12805" s="18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16">
        <v>2013</v>
      </c>
      <c r="C12806" s="18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16">
        <v>2013</v>
      </c>
      <c r="C12807" s="18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16">
        <v>2013</v>
      </c>
      <c r="C12808" s="18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16">
        <v>2013</v>
      </c>
      <c r="C12809" s="18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16">
        <v>2013</v>
      </c>
      <c r="C12810" s="18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16">
        <v>2013</v>
      </c>
      <c r="C12811" s="18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16">
        <v>2013</v>
      </c>
      <c r="C12812" s="18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16">
        <v>2013</v>
      </c>
      <c r="C12813" s="18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16">
        <v>2013</v>
      </c>
      <c r="C12814" s="18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16">
        <v>2013</v>
      </c>
      <c r="C12815" s="18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16">
        <v>2013</v>
      </c>
      <c r="C12816" s="18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16">
        <v>2013</v>
      </c>
      <c r="C12817" s="18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16">
        <v>2013</v>
      </c>
      <c r="C12818" s="18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16">
        <v>2013</v>
      </c>
      <c r="C12819" s="18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16">
        <v>2013</v>
      </c>
      <c r="C12820" s="18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16">
        <v>2013</v>
      </c>
      <c r="C12821" s="18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16">
        <v>2013</v>
      </c>
      <c r="C12822" s="18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16">
        <v>2013</v>
      </c>
      <c r="C12823" s="18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16">
        <v>2013</v>
      </c>
      <c r="C12824" s="18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16">
        <v>2013</v>
      </c>
      <c r="C12825" s="18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16">
        <v>2013</v>
      </c>
      <c r="C12826" s="18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16">
        <v>2013</v>
      </c>
      <c r="C12827" s="18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16">
        <v>2013</v>
      </c>
      <c r="C12828" s="18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16">
        <v>2013</v>
      </c>
      <c r="C12829" s="18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16">
        <v>2013</v>
      </c>
      <c r="C12830" s="18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16">
        <v>2013</v>
      </c>
      <c r="C12831" s="18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16">
        <v>2013</v>
      </c>
      <c r="C12832" s="18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16">
        <v>2013</v>
      </c>
      <c r="C12833" s="18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16">
        <v>2013</v>
      </c>
      <c r="C12834" s="18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16">
        <v>2013</v>
      </c>
      <c r="C12835" s="18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16">
        <v>2013</v>
      </c>
      <c r="C12836" s="18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16">
        <v>2013</v>
      </c>
      <c r="C12837" s="18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16">
        <v>2013</v>
      </c>
      <c r="C12838" s="18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16">
        <v>2013</v>
      </c>
      <c r="C12839" s="18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16">
        <v>2013</v>
      </c>
      <c r="C12840" s="18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16">
        <v>2013</v>
      </c>
      <c r="C12841" s="18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16">
        <v>2013</v>
      </c>
      <c r="C12842" s="18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16">
        <v>2013</v>
      </c>
      <c r="C12843" s="18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16">
        <v>2013</v>
      </c>
      <c r="C12844" s="18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16">
        <v>2013</v>
      </c>
      <c r="C12845" s="18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16">
        <v>2013</v>
      </c>
      <c r="C12846" s="18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16">
        <v>2013</v>
      </c>
      <c r="C12847" s="18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16">
        <v>2013</v>
      </c>
      <c r="C12848" s="18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16">
        <v>2013</v>
      </c>
      <c r="C12849" s="18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16">
        <v>2013</v>
      </c>
      <c r="C12850" s="18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16">
        <v>2013</v>
      </c>
      <c r="C12851" s="18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16">
        <v>2013</v>
      </c>
      <c r="C12852" s="18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16">
        <v>2013</v>
      </c>
      <c r="C12853" s="18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16">
        <v>2013</v>
      </c>
      <c r="C12854" s="18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16">
        <v>2013</v>
      </c>
      <c r="C12855" s="18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16">
        <v>2013</v>
      </c>
      <c r="C12856" s="18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16">
        <v>2013</v>
      </c>
      <c r="C12857" s="18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16">
        <v>2013</v>
      </c>
      <c r="C12858" s="18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16">
        <v>2013</v>
      </c>
      <c r="C12859" s="18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16">
        <v>2013</v>
      </c>
      <c r="C12860" s="18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16">
        <v>2013</v>
      </c>
      <c r="C12861" s="18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16">
        <v>2013</v>
      </c>
      <c r="C12862" s="18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16">
        <v>2013</v>
      </c>
      <c r="C12863" s="18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16">
        <v>2013</v>
      </c>
      <c r="C12864" s="18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16">
        <v>2013</v>
      </c>
      <c r="C12865" s="18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16">
        <v>2013</v>
      </c>
      <c r="C12866" s="18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16">
        <v>2013</v>
      </c>
      <c r="C12867" s="18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16">
        <v>2013</v>
      </c>
      <c r="C12868" s="18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16">
        <v>2013</v>
      </c>
      <c r="C12869" s="18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16">
        <v>2013</v>
      </c>
      <c r="C12870" s="18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16">
        <v>2013</v>
      </c>
      <c r="C12871" s="18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16">
        <v>2013</v>
      </c>
      <c r="C12872" s="18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16">
        <v>2013</v>
      </c>
      <c r="C12873" s="18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16">
        <v>2013</v>
      </c>
      <c r="C12874" s="18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16">
        <v>2013</v>
      </c>
      <c r="C12875" s="18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16">
        <v>2013</v>
      </c>
      <c r="C12876" s="18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16">
        <v>2013</v>
      </c>
      <c r="C12877" s="18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16">
        <v>2013</v>
      </c>
      <c r="C12878" s="18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16">
        <v>2013</v>
      </c>
      <c r="C12879" s="18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16">
        <v>2013</v>
      </c>
      <c r="C12880" s="18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16">
        <v>2013</v>
      </c>
      <c r="C12881" s="18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16">
        <v>2013</v>
      </c>
      <c r="C12882" s="18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16">
        <v>2013</v>
      </c>
      <c r="C12883" s="18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16">
        <v>2013</v>
      </c>
      <c r="C12884" s="18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16">
        <v>2013</v>
      </c>
      <c r="C12885" s="18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16">
        <v>2013</v>
      </c>
      <c r="C12886" s="18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16">
        <v>2013</v>
      </c>
      <c r="C12887" s="18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16">
        <v>2013</v>
      </c>
      <c r="C12888" s="18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16">
        <v>2013</v>
      </c>
      <c r="C12889" s="18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16">
        <v>2013</v>
      </c>
      <c r="C12890" s="18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16">
        <v>2013</v>
      </c>
      <c r="C12891" s="18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16">
        <v>2013</v>
      </c>
      <c r="C12892" s="18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16">
        <v>2013</v>
      </c>
      <c r="C12893" s="18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16">
        <v>2013</v>
      </c>
      <c r="C12894" s="18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16">
        <v>2013</v>
      </c>
      <c r="C12895" s="18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16">
        <v>2013</v>
      </c>
      <c r="C12896" s="18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16">
        <v>2013</v>
      </c>
      <c r="C12897" s="18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16">
        <v>2013</v>
      </c>
      <c r="C12898" s="18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16">
        <v>2013</v>
      </c>
      <c r="C12899" s="18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16">
        <v>2013</v>
      </c>
      <c r="C12900" s="18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16">
        <v>2013</v>
      </c>
      <c r="C12901" s="18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16">
        <v>2013</v>
      </c>
      <c r="C12902" s="18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16">
        <v>2013</v>
      </c>
      <c r="C12903" s="18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16">
        <v>2013</v>
      </c>
      <c r="C12904" s="18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16">
        <v>2013</v>
      </c>
      <c r="C12905" s="18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16">
        <v>2013</v>
      </c>
      <c r="C12906" s="18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16">
        <v>2013</v>
      </c>
      <c r="C12907" s="18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16">
        <v>2013</v>
      </c>
      <c r="C12908" s="18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16">
        <v>2013</v>
      </c>
      <c r="C12909" s="18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16">
        <v>2013</v>
      </c>
      <c r="C12910" s="18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16">
        <v>2013</v>
      </c>
      <c r="C12911" s="18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16">
        <v>2013</v>
      </c>
      <c r="C12912" s="18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16">
        <v>2013</v>
      </c>
      <c r="C12913" s="18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16">
        <v>2013</v>
      </c>
      <c r="C12914" s="18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16">
        <v>2013</v>
      </c>
      <c r="C12915" s="18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16">
        <v>2013</v>
      </c>
      <c r="C12916" s="18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16">
        <v>2013</v>
      </c>
      <c r="C12917" s="18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16">
        <v>2013</v>
      </c>
      <c r="C12918" s="18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16">
        <v>2013</v>
      </c>
      <c r="C12919" s="18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16">
        <v>2013</v>
      </c>
      <c r="C12920" s="18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16">
        <v>2013</v>
      </c>
      <c r="C12921" s="18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16">
        <v>2013</v>
      </c>
      <c r="C12922" s="18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16">
        <v>2013</v>
      </c>
      <c r="C12923" s="18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16">
        <v>2013</v>
      </c>
      <c r="C12924" s="18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16">
        <v>2013</v>
      </c>
      <c r="C12925" s="18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16">
        <v>2013</v>
      </c>
      <c r="C12926" s="18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16">
        <v>2013</v>
      </c>
      <c r="C12927" s="18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16">
        <v>2013</v>
      </c>
      <c r="C12928" s="18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16">
        <v>2013</v>
      </c>
      <c r="C12929" s="18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16">
        <v>2013</v>
      </c>
      <c r="C12930" s="18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16">
        <v>2013</v>
      </c>
      <c r="C12931" s="18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16">
        <v>2013</v>
      </c>
      <c r="C12932" s="18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16">
        <v>2013</v>
      </c>
      <c r="C12933" s="18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16">
        <v>2013</v>
      </c>
      <c r="C12934" s="18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16">
        <v>2013</v>
      </c>
      <c r="C12935" s="18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16">
        <v>2013</v>
      </c>
      <c r="C12936" s="18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16">
        <v>2013</v>
      </c>
      <c r="C12937" s="18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16">
        <v>2013</v>
      </c>
      <c r="C12938" s="18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16">
        <v>2013</v>
      </c>
      <c r="C12939" s="18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16">
        <v>2013</v>
      </c>
      <c r="C12940" s="18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16">
        <v>2013</v>
      </c>
      <c r="C12941" s="18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16">
        <v>2013</v>
      </c>
      <c r="C12942" s="18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16">
        <v>2013</v>
      </c>
      <c r="C12943" s="18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16">
        <v>2013</v>
      </c>
      <c r="C12944" s="18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16">
        <v>2013</v>
      </c>
      <c r="C12945" s="18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16">
        <v>2013</v>
      </c>
      <c r="C12946" s="18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16">
        <v>2013</v>
      </c>
      <c r="C12947" s="18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16">
        <v>2013</v>
      </c>
      <c r="C12948" s="18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16">
        <v>2013</v>
      </c>
      <c r="C12949" s="18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16">
        <v>2013</v>
      </c>
      <c r="C12950" s="18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16">
        <v>2013</v>
      </c>
      <c r="C12951" s="18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16">
        <v>2013</v>
      </c>
      <c r="C12952" s="18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16">
        <v>2013</v>
      </c>
      <c r="C12953" s="18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16">
        <v>2013</v>
      </c>
      <c r="C12954" s="18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16">
        <v>2013</v>
      </c>
      <c r="C12955" s="18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16">
        <v>2013</v>
      </c>
      <c r="C12956" s="18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16">
        <v>2013</v>
      </c>
      <c r="C12957" s="18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16">
        <v>2013</v>
      </c>
      <c r="C12958" s="18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16">
        <v>2013</v>
      </c>
      <c r="C12959" s="18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16">
        <v>2013</v>
      </c>
      <c r="C12960" s="18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16">
        <v>2013</v>
      </c>
      <c r="C12961" s="18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16">
        <v>2013</v>
      </c>
      <c r="C12962" s="18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16">
        <v>2013</v>
      </c>
      <c r="C12963" s="18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16">
        <v>2013</v>
      </c>
      <c r="C12964" s="18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16">
        <v>2013</v>
      </c>
      <c r="C12965" s="18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16">
        <v>2013</v>
      </c>
      <c r="C12966" s="18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16">
        <v>2013</v>
      </c>
      <c r="C12967" s="18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16">
        <v>2013</v>
      </c>
      <c r="C12968" s="18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16">
        <v>2013</v>
      </c>
      <c r="C12969" s="18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16">
        <v>2013</v>
      </c>
      <c r="C12970" s="18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16">
        <v>2013</v>
      </c>
      <c r="C12971" s="18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16">
        <v>2013</v>
      </c>
      <c r="C12972" s="18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16">
        <v>2013</v>
      </c>
      <c r="C12973" s="18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16">
        <v>2013</v>
      </c>
      <c r="C12974" s="18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16">
        <v>2013</v>
      </c>
      <c r="C12975" s="18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16">
        <v>2013</v>
      </c>
      <c r="C12976" s="18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16">
        <v>2013</v>
      </c>
      <c r="C12977" s="18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16">
        <v>2013</v>
      </c>
      <c r="C12978" s="18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16">
        <v>2013</v>
      </c>
      <c r="C12979" s="18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16">
        <v>2013</v>
      </c>
      <c r="C12980" s="18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16">
        <v>2013</v>
      </c>
      <c r="C12981" s="18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16">
        <v>2013</v>
      </c>
      <c r="C12982" s="18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16">
        <v>2013</v>
      </c>
      <c r="C12983" s="18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16">
        <v>2013</v>
      </c>
      <c r="C12984" s="18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16">
        <v>2013</v>
      </c>
      <c r="C12985" s="18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16">
        <v>2013</v>
      </c>
      <c r="C12986" s="18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16">
        <v>2013</v>
      </c>
      <c r="C12987" s="18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16">
        <v>2013</v>
      </c>
      <c r="C12988" s="18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16">
        <v>2013</v>
      </c>
      <c r="C12989" s="18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16">
        <v>2013</v>
      </c>
      <c r="C12990" s="18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16">
        <v>2013</v>
      </c>
      <c r="C12991" s="18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16">
        <v>2013</v>
      </c>
      <c r="C12992" s="18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16">
        <v>2013</v>
      </c>
      <c r="C12993" s="18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16">
        <v>2013</v>
      </c>
      <c r="C12994" s="18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16">
        <v>2013</v>
      </c>
      <c r="C12995" s="18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16">
        <v>2013</v>
      </c>
      <c r="C12996" s="18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16">
        <v>2013</v>
      </c>
      <c r="C12997" s="18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16">
        <v>2013</v>
      </c>
      <c r="C12998" s="18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16">
        <v>2013</v>
      </c>
      <c r="C12999" s="18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16">
        <v>2013</v>
      </c>
      <c r="C13000" s="18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16">
        <v>2013</v>
      </c>
      <c r="C13001" s="18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16">
        <v>2013</v>
      </c>
      <c r="C13002" s="18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16">
        <v>2013</v>
      </c>
      <c r="C13003" s="18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16">
        <v>2013</v>
      </c>
      <c r="C13004" s="18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16">
        <v>2013</v>
      </c>
      <c r="C13005" s="18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16">
        <v>2013</v>
      </c>
      <c r="C13006" s="18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16">
        <v>2013</v>
      </c>
      <c r="C13007" s="18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16">
        <v>2013</v>
      </c>
      <c r="C13008" s="18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16">
        <v>2013</v>
      </c>
      <c r="C13009" s="18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16">
        <v>2013</v>
      </c>
      <c r="C13010" s="18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16">
        <v>2013</v>
      </c>
      <c r="C13011" s="18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16">
        <v>2013</v>
      </c>
      <c r="C13012" s="18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16">
        <v>2013</v>
      </c>
      <c r="C13013" s="18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16">
        <v>2013</v>
      </c>
      <c r="C13014" s="18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16">
        <v>2013</v>
      </c>
      <c r="C13015" s="18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16">
        <v>2013</v>
      </c>
      <c r="C13016" s="18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16">
        <v>2013</v>
      </c>
      <c r="C13017" s="18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16">
        <v>2013</v>
      </c>
      <c r="C13018" s="18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16">
        <v>2013</v>
      </c>
      <c r="C13019" s="18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16">
        <v>2013</v>
      </c>
      <c r="C13020" s="18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16">
        <v>2013</v>
      </c>
      <c r="C13021" s="18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16">
        <v>2013</v>
      </c>
      <c r="C13022" s="18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16">
        <v>2013</v>
      </c>
      <c r="C13023" s="18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16">
        <v>2013</v>
      </c>
      <c r="C13024" s="18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16">
        <v>2013</v>
      </c>
      <c r="C13025" s="18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16">
        <v>2013</v>
      </c>
      <c r="C13026" s="18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16">
        <v>2013</v>
      </c>
      <c r="C13027" s="18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16">
        <v>2013</v>
      </c>
      <c r="C13028" s="18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16">
        <v>2013</v>
      </c>
      <c r="C13029" s="18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16">
        <v>2013</v>
      </c>
      <c r="C13030" s="18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16">
        <v>2013</v>
      </c>
      <c r="C13031" s="18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16">
        <v>2013</v>
      </c>
      <c r="C13032" s="18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16">
        <v>2013</v>
      </c>
      <c r="C13033" s="18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16">
        <v>2013</v>
      </c>
      <c r="C13034" s="18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16">
        <v>2013</v>
      </c>
      <c r="C13035" s="18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16">
        <v>2013</v>
      </c>
      <c r="C13036" s="18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16">
        <v>2013</v>
      </c>
      <c r="C13037" s="18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16">
        <v>2013</v>
      </c>
      <c r="C13038" s="18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16">
        <v>2013</v>
      </c>
      <c r="C13039" s="18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16">
        <v>2013</v>
      </c>
      <c r="C13040" s="18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16">
        <v>2013</v>
      </c>
      <c r="C13041" s="18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16">
        <v>2013</v>
      </c>
      <c r="C13042" s="18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16">
        <v>2013</v>
      </c>
      <c r="C13043" s="18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16">
        <v>2013</v>
      </c>
      <c r="C13044" s="18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16">
        <v>2013</v>
      </c>
      <c r="C13045" s="18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16">
        <v>2013</v>
      </c>
      <c r="C13046" s="18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16">
        <v>2013</v>
      </c>
      <c r="C13047" s="18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16">
        <v>2013</v>
      </c>
      <c r="C13048" s="18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16">
        <v>2013</v>
      </c>
      <c r="C13049" s="18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16">
        <v>2013</v>
      </c>
      <c r="C13050" s="18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16">
        <v>2013</v>
      </c>
      <c r="C13051" s="18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16">
        <v>2013</v>
      </c>
      <c r="C13052" s="18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16">
        <v>2013</v>
      </c>
      <c r="C13053" s="18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16">
        <v>2013</v>
      </c>
      <c r="C13054" s="18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16">
        <v>2013</v>
      </c>
      <c r="C13055" s="18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16">
        <v>2013</v>
      </c>
      <c r="C13056" s="18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16">
        <v>2013</v>
      </c>
      <c r="C13057" s="18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16">
        <v>2013</v>
      </c>
      <c r="C13058" s="18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16">
        <v>2013</v>
      </c>
      <c r="C13059" s="18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16">
        <v>2013</v>
      </c>
      <c r="C13060" s="18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16">
        <v>2013</v>
      </c>
      <c r="C13061" s="18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16">
        <v>2013</v>
      </c>
      <c r="C13062" s="18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16">
        <v>2013</v>
      </c>
      <c r="C13063" s="18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16">
        <v>2013</v>
      </c>
      <c r="C13064" s="18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16">
        <v>2013</v>
      </c>
      <c r="C13065" s="18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16">
        <v>2013</v>
      </c>
      <c r="C13066" s="18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16">
        <v>2013</v>
      </c>
      <c r="C13067" s="18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16">
        <v>2013</v>
      </c>
      <c r="C13068" s="18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16">
        <v>2013</v>
      </c>
      <c r="C13069" s="18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16">
        <v>2013</v>
      </c>
      <c r="C13070" s="18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16">
        <v>2013</v>
      </c>
      <c r="C13071" s="18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16">
        <v>2013</v>
      </c>
      <c r="C13072" s="18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16">
        <v>2013</v>
      </c>
      <c r="C13073" s="18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16">
        <v>2013</v>
      </c>
      <c r="C13074" s="18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16">
        <v>2013</v>
      </c>
      <c r="C13075" s="18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16">
        <v>2013</v>
      </c>
      <c r="C13076" s="18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16">
        <v>2013</v>
      </c>
      <c r="C13077" s="18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16">
        <v>2013</v>
      </c>
      <c r="C13078" s="18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16">
        <v>2013</v>
      </c>
      <c r="C13079" s="18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16">
        <v>2013</v>
      </c>
      <c r="C13080" s="18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16">
        <v>2013</v>
      </c>
      <c r="C13081" s="18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16">
        <v>2013</v>
      </c>
      <c r="C13082" s="18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16">
        <v>2013</v>
      </c>
      <c r="C13083" s="18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16">
        <v>2013</v>
      </c>
      <c r="C13084" s="18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16">
        <v>2013</v>
      </c>
      <c r="C13085" s="18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16">
        <v>2013</v>
      </c>
      <c r="C13086" s="18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16">
        <v>2013</v>
      </c>
      <c r="C13087" s="18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16">
        <v>2013</v>
      </c>
      <c r="C13088" s="18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16">
        <v>2013</v>
      </c>
      <c r="C13089" s="18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16">
        <v>2013</v>
      </c>
      <c r="C13090" s="18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16">
        <v>2013</v>
      </c>
      <c r="C13091" s="18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16">
        <v>2013</v>
      </c>
      <c r="C13092" s="18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16">
        <v>2013</v>
      </c>
      <c r="C13093" s="18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16">
        <v>2013</v>
      </c>
      <c r="C13094" s="18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16">
        <v>2013</v>
      </c>
      <c r="C13095" s="18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16">
        <v>2013</v>
      </c>
      <c r="C13096" s="18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16">
        <v>2013</v>
      </c>
      <c r="C13097" s="18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16">
        <v>2013</v>
      </c>
      <c r="C13098" s="18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16">
        <v>2013</v>
      </c>
      <c r="C13099" s="18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16">
        <v>2013</v>
      </c>
      <c r="C13100" s="18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16">
        <v>2013</v>
      </c>
      <c r="C13101" s="18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16">
        <v>2013</v>
      </c>
      <c r="C13102" s="18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16">
        <v>2013</v>
      </c>
      <c r="C13103" s="18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16">
        <v>2013</v>
      </c>
      <c r="C13104" s="18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16">
        <v>2013</v>
      </c>
      <c r="C13105" s="18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16">
        <v>2013</v>
      </c>
      <c r="C13106" s="18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16">
        <v>2013</v>
      </c>
      <c r="C13107" s="18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16">
        <v>2013</v>
      </c>
      <c r="C13108" s="18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16">
        <v>2013</v>
      </c>
      <c r="C13109" s="18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16">
        <v>2013</v>
      </c>
      <c r="C13110" s="18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16">
        <v>2013</v>
      </c>
      <c r="C13111" s="18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16">
        <v>2013</v>
      </c>
      <c r="C13112" s="18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16">
        <v>2013</v>
      </c>
      <c r="C13113" s="18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16">
        <v>2013</v>
      </c>
      <c r="C13114" s="18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16">
        <v>2013</v>
      </c>
      <c r="C13115" s="18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16">
        <v>2013</v>
      </c>
      <c r="C13116" s="18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16">
        <v>2013</v>
      </c>
      <c r="C13117" s="18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16">
        <v>2013</v>
      </c>
      <c r="C13118" s="18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16">
        <v>2013</v>
      </c>
      <c r="C13119" s="18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16">
        <v>2013</v>
      </c>
      <c r="C13120" s="18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16">
        <v>2013</v>
      </c>
      <c r="C13121" s="18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16">
        <v>2013</v>
      </c>
      <c r="C13122" s="18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16">
        <v>2013</v>
      </c>
      <c r="C13123" s="18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16">
        <v>2013</v>
      </c>
      <c r="C13124" s="18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16">
        <v>2013</v>
      </c>
      <c r="C13125" s="18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16">
        <v>2013</v>
      </c>
      <c r="C13126" s="18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16">
        <v>2013</v>
      </c>
      <c r="C13127" s="18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16">
        <v>2013</v>
      </c>
      <c r="C13128" s="18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16">
        <v>2013</v>
      </c>
      <c r="C13129" s="18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16">
        <v>2013</v>
      </c>
      <c r="C13130" s="18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16">
        <v>2013</v>
      </c>
      <c r="C13131" s="18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16">
        <v>2013</v>
      </c>
      <c r="C13132" s="18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16">
        <v>2013</v>
      </c>
      <c r="C13133" s="18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16">
        <v>2013</v>
      </c>
      <c r="C13134" s="18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16">
        <v>2013</v>
      </c>
      <c r="C13135" s="18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16">
        <v>2013</v>
      </c>
      <c r="C13136" s="18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16">
        <v>2013</v>
      </c>
      <c r="C13137" s="18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16">
        <v>2013</v>
      </c>
      <c r="C13138" s="18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16">
        <v>2013</v>
      </c>
      <c r="C13139" s="18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16">
        <v>2013</v>
      </c>
      <c r="C13140" s="18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16">
        <v>2013</v>
      </c>
      <c r="C13141" s="18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16">
        <v>2013</v>
      </c>
      <c r="C13142" s="18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16">
        <v>2013</v>
      </c>
      <c r="C13143" s="18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16">
        <v>2013</v>
      </c>
      <c r="C13144" s="18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16">
        <v>2013</v>
      </c>
      <c r="C13145" s="18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16">
        <v>2013</v>
      </c>
      <c r="C13146" s="18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16">
        <v>2013</v>
      </c>
      <c r="C13147" s="18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16">
        <v>2013</v>
      </c>
      <c r="C13148" s="18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16">
        <v>2013</v>
      </c>
      <c r="C13149" s="18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16">
        <v>2013</v>
      </c>
      <c r="C13150" s="18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16">
        <v>2013</v>
      </c>
      <c r="C13151" s="18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16">
        <v>2013</v>
      </c>
      <c r="C13152" s="18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16">
        <v>2013</v>
      </c>
      <c r="C13153" s="18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16">
        <v>2013</v>
      </c>
      <c r="C13154" s="18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16">
        <v>2013</v>
      </c>
      <c r="C13155" s="18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16">
        <v>2013</v>
      </c>
      <c r="C13156" s="18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16">
        <v>2013</v>
      </c>
      <c r="C13157" s="18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16">
        <v>2013</v>
      </c>
      <c r="C13158" s="18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16">
        <v>2013</v>
      </c>
      <c r="C13159" s="18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16">
        <v>2013</v>
      </c>
      <c r="C13160" s="18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16">
        <v>2013</v>
      </c>
      <c r="C13161" s="18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16">
        <v>2013</v>
      </c>
      <c r="C13162" s="18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16">
        <v>2013</v>
      </c>
      <c r="C13163" s="18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16">
        <v>2013</v>
      </c>
      <c r="C13164" s="18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16">
        <v>2013</v>
      </c>
      <c r="C13165" s="18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16">
        <v>2013</v>
      </c>
      <c r="C13166" s="18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16">
        <v>2013</v>
      </c>
      <c r="C13167" s="18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16">
        <v>2013</v>
      </c>
      <c r="C13168" s="18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16">
        <v>2013</v>
      </c>
      <c r="C13169" s="18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16">
        <v>2013</v>
      </c>
      <c r="C13170" s="18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16">
        <v>2013</v>
      </c>
      <c r="C13171" s="18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16">
        <v>2013</v>
      </c>
      <c r="C13172" s="18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16">
        <v>2013</v>
      </c>
      <c r="C13173" s="18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16">
        <v>2013</v>
      </c>
      <c r="C13174" s="18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16">
        <v>2013</v>
      </c>
      <c r="C13175" s="18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16">
        <v>2013</v>
      </c>
      <c r="C13176" s="18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16">
        <v>2013</v>
      </c>
      <c r="C13177" s="18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16">
        <v>2013</v>
      </c>
      <c r="C13178" s="18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16">
        <v>2013</v>
      </c>
      <c r="C13179" s="18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16">
        <v>2013</v>
      </c>
      <c r="C13180" s="18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16">
        <v>2013</v>
      </c>
      <c r="C13181" s="18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16">
        <v>2013</v>
      </c>
      <c r="C13182" s="18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16">
        <v>2013</v>
      </c>
      <c r="C13183" s="18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16">
        <v>2013</v>
      </c>
      <c r="C13184" s="18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16">
        <v>2013</v>
      </c>
      <c r="C13185" s="18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16">
        <v>2013</v>
      </c>
      <c r="C13186" s="18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16">
        <v>2013</v>
      </c>
      <c r="C13187" s="18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16">
        <v>2013</v>
      </c>
      <c r="C13188" s="18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16">
        <v>2013</v>
      </c>
      <c r="C13189" s="18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16">
        <v>2013</v>
      </c>
      <c r="C13190" s="18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16">
        <v>2013</v>
      </c>
      <c r="C13191" s="18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16">
        <v>2013</v>
      </c>
      <c r="C13192" s="18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16">
        <v>2013</v>
      </c>
      <c r="C13193" s="18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16">
        <v>2013</v>
      </c>
      <c r="C13194" s="18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16">
        <v>2013</v>
      </c>
      <c r="C13195" s="18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16">
        <v>2013</v>
      </c>
      <c r="C13196" s="18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16">
        <v>2013</v>
      </c>
      <c r="C13197" s="18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16">
        <v>2013</v>
      </c>
      <c r="C13198" s="18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16">
        <v>2013</v>
      </c>
      <c r="C13199" s="18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16">
        <v>2013</v>
      </c>
      <c r="C13200" s="18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16">
        <v>2013</v>
      </c>
      <c r="C13201" s="18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16">
        <v>2013</v>
      </c>
      <c r="C13202" s="18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16">
        <v>2013</v>
      </c>
      <c r="C13203" s="18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16">
        <v>2013</v>
      </c>
      <c r="C13204" s="18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16">
        <v>2013</v>
      </c>
      <c r="C13205" s="18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16">
        <v>2013</v>
      </c>
      <c r="C13206" s="18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16">
        <v>2013</v>
      </c>
      <c r="C13207" s="18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16">
        <v>2013</v>
      </c>
      <c r="C13208" s="18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16">
        <v>2013</v>
      </c>
      <c r="C13209" s="18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16">
        <v>2013</v>
      </c>
      <c r="C13210" s="18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16">
        <v>2013</v>
      </c>
      <c r="C13211" s="18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16">
        <v>2013</v>
      </c>
      <c r="C13212" s="18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16">
        <v>2013</v>
      </c>
      <c r="C13213" s="18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16">
        <v>2013</v>
      </c>
      <c r="C13214" s="18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16">
        <v>2013</v>
      </c>
      <c r="C13215" s="18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16">
        <v>2013</v>
      </c>
      <c r="C13216" s="18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16">
        <v>2013</v>
      </c>
      <c r="C13217" s="18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16">
        <v>2013</v>
      </c>
      <c r="C13218" s="18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16">
        <v>2013</v>
      </c>
      <c r="C13219" s="18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16">
        <v>2013</v>
      </c>
      <c r="C13220" s="18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16">
        <v>2013</v>
      </c>
      <c r="C13221" s="18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16">
        <v>2013</v>
      </c>
      <c r="C13222" s="18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16">
        <v>2013</v>
      </c>
      <c r="C13223" s="18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16">
        <v>2013</v>
      </c>
      <c r="C13224" s="18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16">
        <v>2013</v>
      </c>
      <c r="C13225" s="18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16">
        <v>2013</v>
      </c>
      <c r="C13226" s="18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16">
        <v>2013</v>
      </c>
      <c r="C13227" s="18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16">
        <v>2013</v>
      </c>
      <c r="C13228" s="18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16">
        <v>2013</v>
      </c>
      <c r="C13229" s="18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16">
        <v>2013</v>
      </c>
      <c r="C13230" s="18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16">
        <v>2013</v>
      </c>
      <c r="C13231" s="18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16">
        <v>2013</v>
      </c>
      <c r="C13232" s="18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16">
        <v>2013</v>
      </c>
      <c r="C13233" s="18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16">
        <v>2013</v>
      </c>
      <c r="C13234" s="18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16">
        <v>2013</v>
      </c>
      <c r="C13235" s="18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16">
        <v>2013</v>
      </c>
      <c r="C13236" s="18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16">
        <v>2013</v>
      </c>
      <c r="C13237" s="18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16">
        <v>2013</v>
      </c>
      <c r="C13238" s="18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16">
        <v>2013</v>
      </c>
      <c r="C13239" s="18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16">
        <v>2013</v>
      </c>
      <c r="C13240" s="18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16">
        <v>2013</v>
      </c>
      <c r="C13241" s="18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16">
        <v>2013</v>
      </c>
      <c r="C13242" s="18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16">
        <v>2013</v>
      </c>
      <c r="C13243" s="18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16">
        <v>2013</v>
      </c>
      <c r="C13244" s="18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16">
        <v>2013</v>
      </c>
      <c r="C13245" s="18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16">
        <v>2013</v>
      </c>
      <c r="C13246" s="18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16">
        <v>2013</v>
      </c>
      <c r="C13247" s="18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16">
        <v>2013</v>
      </c>
      <c r="C13248" s="18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16">
        <v>2013</v>
      </c>
      <c r="C13249" s="18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16">
        <v>2013</v>
      </c>
      <c r="C13250" s="18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16">
        <v>2013</v>
      </c>
      <c r="C13251" s="18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16">
        <v>2013</v>
      </c>
      <c r="C13252" s="18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16">
        <v>2013</v>
      </c>
      <c r="C13253" s="18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16">
        <v>2013</v>
      </c>
      <c r="C13254" s="18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16">
        <v>2013</v>
      </c>
      <c r="C13255" s="18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16">
        <v>2013</v>
      </c>
      <c r="C13256" s="18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16">
        <v>2013</v>
      </c>
      <c r="C13257" s="18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16">
        <v>2013</v>
      </c>
      <c r="C13258" s="18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16">
        <v>2013</v>
      </c>
      <c r="C13259" s="18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16">
        <v>2013</v>
      </c>
      <c r="C13260" s="18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16">
        <v>2013</v>
      </c>
      <c r="C13261" s="18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16">
        <v>2013</v>
      </c>
      <c r="C13262" s="18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16">
        <v>2013</v>
      </c>
      <c r="C13263" s="18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16">
        <v>2013</v>
      </c>
      <c r="C13264" s="18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16">
        <v>2013</v>
      </c>
      <c r="C13265" s="18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16">
        <v>2013</v>
      </c>
      <c r="C13266" s="18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16">
        <v>2013</v>
      </c>
      <c r="C13267" s="18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16">
        <v>2013</v>
      </c>
      <c r="C13268" s="18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16">
        <v>2013</v>
      </c>
      <c r="C13269" s="18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16">
        <v>2013</v>
      </c>
      <c r="C13270" s="18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16">
        <v>2013</v>
      </c>
      <c r="C13271" s="18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16">
        <v>2013</v>
      </c>
      <c r="C13272" s="18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16">
        <v>2013</v>
      </c>
      <c r="C13273" s="18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16">
        <v>2013</v>
      </c>
      <c r="C13274" s="18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16">
        <v>2013</v>
      </c>
      <c r="C13275" s="18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16">
        <v>2013</v>
      </c>
      <c r="C13276" s="18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16">
        <v>2013</v>
      </c>
      <c r="C13277" s="18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16">
        <v>2013</v>
      </c>
      <c r="C13278" s="18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16">
        <v>2013</v>
      </c>
      <c r="C13279" s="18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16">
        <v>2013</v>
      </c>
      <c r="C13280" s="18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16">
        <v>2013</v>
      </c>
      <c r="C13281" s="18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16">
        <v>2013</v>
      </c>
      <c r="C13282" s="18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16">
        <v>2013</v>
      </c>
      <c r="C13283" s="18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16">
        <v>2013</v>
      </c>
      <c r="C13284" s="18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16">
        <v>2013</v>
      </c>
      <c r="C13285" s="18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16">
        <v>2013</v>
      </c>
      <c r="C13286" s="18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16">
        <v>2013</v>
      </c>
      <c r="C13287" s="18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16">
        <v>2013</v>
      </c>
      <c r="C13288" s="18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16">
        <v>2013</v>
      </c>
      <c r="C13289" s="18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16">
        <v>2013</v>
      </c>
      <c r="C13290" s="18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16">
        <v>2013</v>
      </c>
      <c r="C13291" s="18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16">
        <v>2013</v>
      </c>
      <c r="C13292" s="18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16">
        <v>2013</v>
      </c>
      <c r="C13293" s="18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16">
        <v>2013</v>
      </c>
      <c r="C13294" s="18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16">
        <v>2013</v>
      </c>
      <c r="C13295" s="18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16">
        <v>2013</v>
      </c>
      <c r="C13296" s="18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16">
        <v>2013</v>
      </c>
      <c r="C13297" s="18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16">
        <v>2013</v>
      </c>
      <c r="C13298" s="18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16">
        <v>2013</v>
      </c>
      <c r="C13299" s="18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16">
        <v>2013</v>
      </c>
      <c r="C13300" s="18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16">
        <v>2013</v>
      </c>
      <c r="C13301" s="18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16">
        <v>2013</v>
      </c>
      <c r="C13302" s="18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16">
        <v>2013</v>
      </c>
      <c r="C13303" s="18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16">
        <v>2013</v>
      </c>
      <c r="C13304" s="18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16">
        <v>2013</v>
      </c>
      <c r="C13305" s="18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16">
        <v>2013</v>
      </c>
      <c r="C13306" s="18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16">
        <v>2013</v>
      </c>
      <c r="C13307" s="18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16">
        <v>2013</v>
      </c>
      <c r="C13308" s="18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16">
        <v>2013</v>
      </c>
      <c r="C13309" s="18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16">
        <v>2013</v>
      </c>
      <c r="C13310" s="18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16">
        <v>2013</v>
      </c>
      <c r="C13311" s="18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16">
        <v>2013</v>
      </c>
      <c r="C13312" s="18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16">
        <v>2013</v>
      </c>
      <c r="C13313" s="18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16">
        <v>2013</v>
      </c>
      <c r="C13314" s="18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16">
        <v>2013</v>
      </c>
      <c r="C13315" s="18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16">
        <v>2013</v>
      </c>
      <c r="C13316" s="18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16">
        <v>2013</v>
      </c>
      <c r="C13317" s="18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16">
        <v>2013</v>
      </c>
      <c r="C13318" s="18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16">
        <v>2013</v>
      </c>
      <c r="C13319" s="18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16">
        <v>2013</v>
      </c>
      <c r="C13320" s="18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16">
        <v>2013</v>
      </c>
      <c r="C13321" s="18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16">
        <v>2013</v>
      </c>
      <c r="C13322" s="18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16">
        <v>2013</v>
      </c>
      <c r="C13323" s="18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16">
        <v>2013</v>
      </c>
      <c r="C13324" s="18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16">
        <v>2013</v>
      </c>
      <c r="C13325" s="18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16">
        <v>2013</v>
      </c>
      <c r="C13326" s="18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16">
        <v>2013</v>
      </c>
      <c r="C13327" s="18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16">
        <v>2013</v>
      </c>
      <c r="C13328" s="18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16">
        <v>2013</v>
      </c>
      <c r="C13329" s="18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16">
        <v>2013</v>
      </c>
      <c r="C13330" s="18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16">
        <v>2013</v>
      </c>
      <c r="C13331" s="18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16">
        <v>2013</v>
      </c>
      <c r="C13332" s="18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16">
        <v>2013</v>
      </c>
      <c r="C13333" s="18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16">
        <v>2013</v>
      </c>
      <c r="C13334" s="18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16">
        <v>2013</v>
      </c>
      <c r="C13335" s="18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16">
        <v>2013</v>
      </c>
      <c r="C13336" s="18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16">
        <v>2013</v>
      </c>
      <c r="C13337" s="18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16">
        <v>2013</v>
      </c>
      <c r="C13338" s="18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16">
        <v>2013</v>
      </c>
      <c r="C13339" s="18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16">
        <v>2013</v>
      </c>
      <c r="C13340" s="18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16">
        <v>2013</v>
      </c>
      <c r="C13341" s="18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16">
        <v>2013</v>
      </c>
      <c r="C13342" s="18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16">
        <v>2013</v>
      </c>
      <c r="C13343" s="18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16">
        <v>2013</v>
      </c>
      <c r="C13344" s="18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16">
        <v>2013</v>
      </c>
      <c r="C13345" s="18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16">
        <v>2013</v>
      </c>
      <c r="C13346" s="18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16">
        <v>2013</v>
      </c>
      <c r="C13347" s="18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16">
        <v>2013</v>
      </c>
      <c r="C13348" s="18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16">
        <v>2013</v>
      </c>
      <c r="C13349" s="18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16">
        <v>2013</v>
      </c>
      <c r="C13350" s="18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16">
        <v>2013</v>
      </c>
      <c r="C13351" s="18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16">
        <v>2013</v>
      </c>
      <c r="C13352" s="18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16">
        <v>2013</v>
      </c>
      <c r="C13353" s="18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16">
        <v>2013</v>
      </c>
      <c r="C13354" s="18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16">
        <v>2013</v>
      </c>
      <c r="C13355" s="18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16">
        <v>2013</v>
      </c>
      <c r="C13356" s="18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16">
        <v>2013</v>
      </c>
      <c r="C13357" s="18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16">
        <v>2013</v>
      </c>
      <c r="C13358" s="18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16">
        <v>2013</v>
      </c>
      <c r="C13359" s="18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16">
        <v>2013</v>
      </c>
      <c r="C13360" s="18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16">
        <v>2013</v>
      </c>
      <c r="C13361" s="18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16">
        <v>2013</v>
      </c>
      <c r="C13362" s="18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16">
        <v>2013</v>
      </c>
      <c r="C13363" s="18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16">
        <v>2013</v>
      </c>
      <c r="C13364" s="18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16">
        <v>2013</v>
      </c>
      <c r="C13365" s="18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16">
        <v>2013</v>
      </c>
      <c r="C13366" s="18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16">
        <v>2013</v>
      </c>
      <c r="C13367" s="18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16">
        <v>2013</v>
      </c>
      <c r="C13368" s="18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16">
        <v>2013</v>
      </c>
      <c r="C13369" s="18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16">
        <v>2013</v>
      </c>
      <c r="C13370" s="18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16">
        <v>2013</v>
      </c>
      <c r="C13371" s="18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16">
        <v>2013</v>
      </c>
      <c r="C13372" s="18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16">
        <v>2013</v>
      </c>
      <c r="C13373" s="18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16">
        <v>2013</v>
      </c>
      <c r="C13374" s="18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16">
        <v>2013</v>
      </c>
      <c r="C13375" s="18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16">
        <v>2013</v>
      </c>
      <c r="C13376" s="18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16">
        <v>2013</v>
      </c>
      <c r="C13377" s="18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16">
        <v>2013</v>
      </c>
      <c r="C13378" s="18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16">
        <v>2013</v>
      </c>
      <c r="C13379" s="18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16">
        <v>2013</v>
      </c>
      <c r="C13380" s="18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16">
        <v>2013</v>
      </c>
      <c r="C13381" s="18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16">
        <v>2013</v>
      </c>
      <c r="C13382" s="18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16">
        <v>2013</v>
      </c>
      <c r="C13383" s="18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16">
        <v>2013</v>
      </c>
      <c r="C13384" s="18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16">
        <v>2013</v>
      </c>
      <c r="C13385" s="18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16">
        <v>2013</v>
      </c>
      <c r="C13386" s="18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16">
        <v>2013</v>
      </c>
      <c r="C13387" s="18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16">
        <v>2013</v>
      </c>
      <c r="C13388" s="18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16">
        <v>2013</v>
      </c>
      <c r="C13389" s="18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16">
        <v>2013</v>
      </c>
      <c r="C13390" s="18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16">
        <v>2013</v>
      </c>
      <c r="C13391" s="18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16">
        <v>2013</v>
      </c>
      <c r="C13392" s="18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16">
        <v>2013</v>
      </c>
      <c r="C13393" s="18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16">
        <v>2013</v>
      </c>
      <c r="C13394" s="18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16">
        <v>2013</v>
      </c>
      <c r="C13395" s="18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16">
        <v>2013</v>
      </c>
      <c r="C13396" s="18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16">
        <v>2013</v>
      </c>
      <c r="C13397" s="18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16">
        <v>2013</v>
      </c>
      <c r="C13398" s="18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16">
        <v>2013</v>
      </c>
      <c r="C13399" s="18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16">
        <v>2013</v>
      </c>
      <c r="C13400" s="18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16">
        <v>2013</v>
      </c>
      <c r="C13401" s="18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16">
        <v>2013</v>
      </c>
      <c r="C13402" s="18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16">
        <v>2013</v>
      </c>
      <c r="C13403" s="18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16">
        <v>2013</v>
      </c>
      <c r="C13404" s="18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16">
        <v>2013</v>
      </c>
      <c r="C13405" s="18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16">
        <v>2013</v>
      </c>
      <c r="C13406" s="18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16">
        <v>2013</v>
      </c>
      <c r="C13407" s="18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16">
        <v>2013</v>
      </c>
      <c r="C13408" s="18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16">
        <v>2013</v>
      </c>
      <c r="C13409" s="18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16">
        <v>2013</v>
      </c>
      <c r="C13410" s="18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16">
        <v>2013</v>
      </c>
      <c r="C13411" s="18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16">
        <v>2013</v>
      </c>
      <c r="C13412" s="18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16">
        <v>2013</v>
      </c>
      <c r="C13413" s="18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16">
        <v>2013</v>
      </c>
      <c r="C13414" s="18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16">
        <v>2013</v>
      </c>
      <c r="C13415" s="18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16">
        <v>2013</v>
      </c>
      <c r="C13416" s="18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16">
        <v>2013</v>
      </c>
      <c r="C13417" s="18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16">
        <v>2013</v>
      </c>
      <c r="C13418" s="18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16">
        <v>2013</v>
      </c>
      <c r="C13419" s="18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16">
        <v>2013</v>
      </c>
      <c r="C13420" s="18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16">
        <v>2013</v>
      </c>
      <c r="C13421" s="18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16">
        <v>2013</v>
      </c>
      <c r="C13422" s="18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16">
        <v>2013</v>
      </c>
      <c r="C13423" s="18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16">
        <v>2013</v>
      </c>
      <c r="C13424" s="18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16">
        <v>2013</v>
      </c>
      <c r="C13425" s="18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16">
        <v>2013</v>
      </c>
      <c r="C13426" s="18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16">
        <v>2013</v>
      </c>
      <c r="C13427" s="18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16">
        <v>2013</v>
      </c>
      <c r="C13428" s="18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16">
        <v>2013</v>
      </c>
      <c r="C13429" s="18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16">
        <v>2013</v>
      </c>
      <c r="C13430" s="18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16">
        <v>2013</v>
      </c>
      <c r="C13431" s="18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16">
        <v>2013</v>
      </c>
      <c r="C13432" s="18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16">
        <v>2013</v>
      </c>
      <c r="C13433" s="18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16">
        <v>2013</v>
      </c>
      <c r="C13434" s="18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16">
        <v>2013</v>
      </c>
      <c r="C13435" s="18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16">
        <v>2013</v>
      </c>
      <c r="C13436" s="18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16">
        <v>2013</v>
      </c>
      <c r="C13437" s="18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16">
        <v>2013</v>
      </c>
      <c r="C13438" s="18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16">
        <v>2013</v>
      </c>
      <c r="C13439" s="18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16">
        <v>2013</v>
      </c>
      <c r="C13440" s="18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16">
        <v>2013</v>
      </c>
      <c r="C13441" s="18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16">
        <v>2013</v>
      </c>
      <c r="C13442" s="18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16">
        <v>2013</v>
      </c>
      <c r="C13443" s="18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16">
        <v>2013</v>
      </c>
      <c r="C13444" s="18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16">
        <v>2013</v>
      </c>
      <c r="C13445" s="18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16">
        <v>2013</v>
      </c>
      <c r="C13446" s="18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16">
        <v>2013</v>
      </c>
      <c r="C13447" s="18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16">
        <v>2013</v>
      </c>
      <c r="C13448" s="18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16">
        <v>2013</v>
      </c>
      <c r="C13449" s="18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16">
        <v>2013</v>
      </c>
      <c r="C13450" s="18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16">
        <v>2013</v>
      </c>
      <c r="C13451" s="18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16">
        <v>2013</v>
      </c>
      <c r="C13452" s="18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16">
        <v>2013</v>
      </c>
      <c r="C13453" s="18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16">
        <v>2013</v>
      </c>
      <c r="C13454" s="18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16">
        <v>2013</v>
      </c>
      <c r="C13455" s="18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16">
        <v>2013</v>
      </c>
      <c r="C13456" s="18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16">
        <v>2013</v>
      </c>
      <c r="C13457" s="18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16">
        <v>2013</v>
      </c>
      <c r="C13458" s="18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16">
        <v>2013</v>
      </c>
      <c r="C13459" s="18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16">
        <v>2013</v>
      </c>
      <c r="C13460" s="18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16">
        <v>2013</v>
      </c>
      <c r="C13461" s="18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16">
        <v>2013</v>
      </c>
      <c r="C13462" s="18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16">
        <v>2013</v>
      </c>
      <c r="C13463" s="18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16">
        <v>2013</v>
      </c>
      <c r="C13464" s="18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16">
        <v>2013</v>
      </c>
      <c r="C13465" s="18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16">
        <v>2013</v>
      </c>
      <c r="C13466" s="18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16">
        <v>2013</v>
      </c>
      <c r="C13467" s="18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16">
        <v>2013</v>
      </c>
      <c r="C13468" s="18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16">
        <v>2013</v>
      </c>
      <c r="C13469" s="18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16">
        <v>2013</v>
      </c>
      <c r="C13470" s="18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16">
        <v>2013</v>
      </c>
      <c r="C13471" s="18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16">
        <v>2013</v>
      </c>
      <c r="C13472" s="18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16">
        <v>2013</v>
      </c>
      <c r="C13473" s="18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16">
        <v>2013</v>
      </c>
      <c r="C13474" s="18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16">
        <v>2013</v>
      </c>
      <c r="C13475" s="18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16">
        <v>2013</v>
      </c>
      <c r="C13476" s="18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16">
        <v>2013</v>
      </c>
      <c r="C13477" s="18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16">
        <v>2013</v>
      </c>
      <c r="C13478" s="18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16">
        <v>2013</v>
      </c>
      <c r="C13479" s="18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16">
        <v>2013</v>
      </c>
      <c r="C13480" s="18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16">
        <v>2013</v>
      </c>
      <c r="C13481" s="18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16">
        <v>2013</v>
      </c>
      <c r="C13482" s="18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16">
        <v>2013</v>
      </c>
      <c r="C13483" s="18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16">
        <v>2013</v>
      </c>
      <c r="C13484" s="18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16">
        <v>2013</v>
      </c>
      <c r="C13485" s="18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16">
        <v>2013</v>
      </c>
      <c r="C13486" s="18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16">
        <v>2013</v>
      </c>
      <c r="C13487" s="18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16">
        <v>2013</v>
      </c>
      <c r="C13488" s="18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16">
        <v>2013</v>
      </c>
      <c r="C13489" s="18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16">
        <v>2013</v>
      </c>
      <c r="C13490" s="18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16">
        <v>2013</v>
      </c>
      <c r="C13491" s="18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16">
        <v>2013</v>
      </c>
      <c r="C13492" s="18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16">
        <v>2013</v>
      </c>
      <c r="C13493" s="18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16">
        <v>2013</v>
      </c>
      <c r="C13494" s="18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16">
        <v>2013</v>
      </c>
      <c r="C13495" s="18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16">
        <v>2013</v>
      </c>
      <c r="C13496" s="18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16">
        <v>2013</v>
      </c>
      <c r="C13497" s="18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16">
        <v>2013</v>
      </c>
      <c r="C13498" s="18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16">
        <v>2013</v>
      </c>
      <c r="C13499" s="18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16">
        <v>2013</v>
      </c>
      <c r="C13500" s="18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16">
        <v>2013</v>
      </c>
      <c r="C13501" s="18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16">
        <v>2013</v>
      </c>
      <c r="C13502" s="18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16">
        <v>2013</v>
      </c>
      <c r="C13503" s="18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16">
        <v>2013</v>
      </c>
      <c r="C13504" s="18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16">
        <v>2013</v>
      </c>
      <c r="C13505" s="18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16">
        <v>2013</v>
      </c>
      <c r="C13506" s="18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16">
        <v>2013</v>
      </c>
      <c r="C13507" s="18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16">
        <v>2013</v>
      </c>
      <c r="C13508" s="18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16">
        <v>2013</v>
      </c>
      <c r="C13509" s="18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16">
        <v>2013</v>
      </c>
      <c r="C13510" s="18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16">
        <v>2013</v>
      </c>
      <c r="C13511" s="18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16">
        <v>2013</v>
      </c>
      <c r="C13512" s="18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16">
        <v>2013</v>
      </c>
      <c r="C13513" s="18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16">
        <v>2013</v>
      </c>
      <c r="C13514" s="18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16">
        <v>2013</v>
      </c>
      <c r="C13515" s="18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16">
        <v>2013</v>
      </c>
      <c r="C13516" s="18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16">
        <v>2013</v>
      </c>
      <c r="C13517" s="18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16">
        <v>2013</v>
      </c>
      <c r="C13518" s="18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16">
        <v>2013</v>
      </c>
      <c r="C13519" s="18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16">
        <v>2013</v>
      </c>
      <c r="C13520" s="18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16">
        <v>2013</v>
      </c>
      <c r="C13521" s="18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16">
        <v>2013</v>
      </c>
      <c r="C13522" s="18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16">
        <v>2013</v>
      </c>
      <c r="C13523" s="18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16">
        <v>2013</v>
      </c>
      <c r="C13524" s="18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16">
        <v>2013</v>
      </c>
      <c r="C13525" s="18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16">
        <v>2013</v>
      </c>
      <c r="C13526" s="18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16">
        <v>2013</v>
      </c>
      <c r="C13527" s="18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16">
        <v>2013</v>
      </c>
      <c r="C13528" s="18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16">
        <v>2013</v>
      </c>
      <c r="C13529" s="18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16">
        <v>2013</v>
      </c>
      <c r="C13530" s="18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16">
        <v>2013</v>
      </c>
      <c r="C13531" s="18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16">
        <v>2013</v>
      </c>
      <c r="C13532" s="18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16">
        <v>2013</v>
      </c>
      <c r="C13533" s="18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16">
        <v>2013</v>
      </c>
      <c r="C13534" s="18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16">
        <v>2013</v>
      </c>
      <c r="C13535" s="18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16">
        <v>2013</v>
      </c>
      <c r="C13536" s="18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16">
        <v>2013</v>
      </c>
      <c r="C13537" s="18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16">
        <v>2013</v>
      </c>
      <c r="C13538" s="18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16">
        <v>2013</v>
      </c>
      <c r="C13539" s="18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16">
        <v>2013</v>
      </c>
      <c r="C13540" s="18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16">
        <v>2013</v>
      </c>
      <c r="C13541" s="18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16">
        <v>2013</v>
      </c>
      <c r="C13542" s="18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16">
        <v>2013</v>
      </c>
      <c r="C13543" s="18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16">
        <v>2013</v>
      </c>
      <c r="C13544" s="18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16">
        <v>2013</v>
      </c>
      <c r="C13545" s="18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16">
        <v>2013</v>
      </c>
      <c r="C13546" s="18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16">
        <v>2013</v>
      </c>
      <c r="C13547" s="18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16">
        <v>2013</v>
      </c>
      <c r="C13548" s="18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16">
        <v>2013</v>
      </c>
      <c r="C13549" s="18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16">
        <v>2013</v>
      </c>
      <c r="C13550" s="18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16">
        <v>2013</v>
      </c>
      <c r="C13551" s="18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16">
        <v>2013</v>
      </c>
      <c r="C13552" s="18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16">
        <v>2013</v>
      </c>
      <c r="C13553" s="18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16">
        <v>2013</v>
      </c>
      <c r="C13554" s="18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16">
        <v>2013</v>
      </c>
      <c r="C13555" s="18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16">
        <v>2013</v>
      </c>
      <c r="C13556" s="18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16">
        <v>2013</v>
      </c>
      <c r="C13557" s="18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16">
        <v>2013</v>
      </c>
      <c r="C13558" s="18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16">
        <v>2013</v>
      </c>
      <c r="C13559" s="18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16">
        <v>2013</v>
      </c>
      <c r="C13560" s="18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16">
        <v>2013</v>
      </c>
      <c r="C13561" s="18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16">
        <v>2013</v>
      </c>
      <c r="C13562" s="18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16">
        <v>2013</v>
      </c>
      <c r="C13563" s="18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16">
        <v>2013</v>
      </c>
      <c r="C13564" s="18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16">
        <v>2013</v>
      </c>
      <c r="C13565" s="18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16">
        <v>2013</v>
      </c>
      <c r="C13566" s="18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16">
        <v>2013</v>
      </c>
      <c r="C13567" s="18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16">
        <v>2013</v>
      </c>
      <c r="C13568" s="18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16">
        <v>2013</v>
      </c>
      <c r="C13569" s="18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16">
        <v>2013</v>
      </c>
      <c r="C13570" s="18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16">
        <v>2013</v>
      </c>
      <c r="C13571" s="18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16">
        <v>2013</v>
      </c>
      <c r="C13572" s="18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16">
        <v>2013</v>
      </c>
      <c r="C13573" s="18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16">
        <v>2013</v>
      </c>
      <c r="C13574" s="18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16">
        <v>2013</v>
      </c>
      <c r="C13575" s="18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16">
        <v>2013</v>
      </c>
      <c r="C13576" s="18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16">
        <v>2013</v>
      </c>
      <c r="C13577" s="18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16">
        <v>2013</v>
      </c>
      <c r="C13578" s="18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16">
        <v>2013</v>
      </c>
      <c r="C13579" s="18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16">
        <v>2013</v>
      </c>
      <c r="C13580" s="18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16">
        <v>2013</v>
      </c>
      <c r="C13581" s="18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16">
        <v>2013</v>
      </c>
      <c r="C13582" s="18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16">
        <v>2013</v>
      </c>
      <c r="C13583" s="18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16">
        <v>2013</v>
      </c>
      <c r="C13584" s="18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16">
        <v>2013</v>
      </c>
      <c r="C13585" s="18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16">
        <v>2013</v>
      </c>
      <c r="C13586" s="18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16">
        <v>2013</v>
      </c>
      <c r="C13587" s="18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16">
        <v>2013</v>
      </c>
      <c r="C13588" s="18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16">
        <v>2013</v>
      </c>
      <c r="C13589" s="18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16">
        <v>2013</v>
      </c>
      <c r="C13590" s="18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16">
        <v>2013</v>
      </c>
      <c r="C13591" s="18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16">
        <v>2013</v>
      </c>
      <c r="C13592" s="18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16">
        <v>2013</v>
      </c>
      <c r="C13593" s="18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16">
        <v>2013</v>
      </c>
      <c r="C13594" s="18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16">
        <v>2013</v>
      </c>
      <c r="C13595" s="18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16">
        <v>2013</v>
      </c>
      <c r="C13596" s="18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16">
        <v>2013</v>
      </c>
      <c r="C13597" s="18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16">
        <v>2013</v>
      </c>
      <c r="C13598" s="18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16">
        <v>2013</v>
      </c>
      <c r="C13599" s="18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16">
        <v>2013</v>
      </c>
      <c r="C13600" s="18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16">
        <v>2013</v>
      </c>
      <c r="C13601" s="18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16">
        <v>2013</v>
      </c>
      <c r="C13602" s="18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16">
        <v>2013</v>
      </c>
      <c r="C13603" s="18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16">
        <v>2013</v>
      </c>
      <c r="C13604" s="18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16">
        <v>2013</v>
      </c>
      <c r="C13605" s="18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16">
        <v>2013</v>
      </c>
      <c r="C13606" s="18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16">
        <v>2013</v>
      </c>
      <c r="C13607" s="18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16">
        <v>2013</v>
      </c>
      <c r="C13608" s="18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16">
        <v>2013</v>
      </c>
      <c r="C13609" s="18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16">
        <v>2013</v>
      </c>
      <c r="C13610" s="18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16">
        <v>2013</v>
      </c>
      <c r="C13611" s="18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16">
        <v>2013</v>
      </c>
      <c r="C13612" s="18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16">
        <v>2013</v>
      </c>
      <c r="C13613" s="18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16">
        <v>2013</v>
      </c>
      <c r="C13614" s="18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16">
        <v>2013</v>
      </c>
      <c r="C13615" s="18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16">
        <v>2013</v>
      </c>
      <c r="C13616" s="18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16">
        <v>2013</v>
      </c>
      <c r="C13617" s="18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16">
        <v>2013</v>
      </c>
      <c r="C13618" s="18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16">
        <v>2013</v>
      </c>
      <c r="C13619" s="18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16">
        <v>2013</v>
      </c>
      <c r="C13620" s="18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16">
        <v>2013</v>
      </c>
      <c r="C13621" s="18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16">
        <v>2013</v>
      </c>
      <c r="C13622" s="18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16">
        <v>2013</v>
      </c>
      <c r="C13623" s="18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16">
        <v>2013</v>
      </c>
      <c r="C13624" s="18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16">
        <v>2013</v>
      </c>
      <c r="C13625" s="18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16">
        <v>2013</v>
      </c>
      <c r="C13626" s="18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16">
        <v>2013</v>
      </c>
      <c r="C13627" s="18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16">
        <v>2013</v>
      </c>
      <c r="C13628" s="18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16">
        <v>2013</v>
      </c>
      <c r="C13629" s="18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16">
        <v>2013</v>
      </c>
      <c r="C13630" s="18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16">
        <v>2013</v>
      </c>
      <c r="C13631" s="18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16">
        <v>2013</v>
      </c>
      <c r="C13632" s="18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16">
        <v>2013</v>
      </c>
      <c r="C13633" s="18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16">
        <v>2013</v>
      </c>
      <c r="C13634" s="18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16">
        <v>2013</v>
      </c>
      <c r="C13635" s="18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16">
        <v>2013</v>
      </c>
      <c r="C13636" s="18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16">
        <v>2013</v>
      </c>
      <c r="C13637" s="18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16">
        <v>2013</v>
      </c>
      <c r="C13638" s="18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16">
        <v>2013</v>
      </c>
      <c r="C13639" s="18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16">
        <v>2013</v>
      </c>
      <c r="C13640" s="18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16">
        <v>2013</v>
      </c>
      <c r="C13641" s="18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16">
        <v>2013</v>
      </c>
      <c r="C13642" s="18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16">
        <v>2013</v>
      </c>
      <c r="C13643" s="18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16">
        <v>2013</v>
      </c>
      <c r="C13644" s="18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16">
        <v>2013</v>
      </c>
      <c r="C13645" s="18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16">
        <v>2013</v>
      </c>
      <c r="C13646" s="18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16">
        <v>2013</v>
      </c>
      <c r="C13647" s="18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16">
        <v>2013</v>
      </c>
      <c r="C13648" s="18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16">
        <v>2013</v>
      </c>
      <c r="C13649" s="18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16">
        <v>2013</v>
      </c>
      <c r="C13650" s="18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16">
        <v>2013</v>
      </c>
      <c r="C13651" s="18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16">
        <v>2013</v>
      </c>
      <c r="C13652" s="18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16">
        <v>2013</v>
      </c>
      <c r="C13653" s="18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16">
        <v>2013</v>
      </c>
      <c r="C13654" s="18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16">
        <v>2013</v>
      </c>
      <c r="C13655" s="18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16">
        <v>2013</v>
      </c>
      <c r="C13656" s="18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16">
        <v>2013</v>
      </c>
      <c r="C13657" s="18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16">
        <v>2013</v>
      </c>
      <c r="C13658" s="18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16">
        <v>2013</v>
      </c>
      <c r="C13659" s="18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16">
        <v>2013</v>
      </c>
      <c r="C13660" s="18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16">
        <v>2013</v>
      </c>
      <c r="C13661" s="18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16">
        <v>2013</v>
      </c>
      <c r="C13662" s="18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16">
        <v>2013</v>
      </c>
      <c r="C13663" s="18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16">
        <v>2013</v>
      </c>
      <c r="C13664" s="18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16">
        <v>2013</v>
      </c>
      <c r="C13665" s="18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16">
        <v>2013</v>
      </c>
      <c r="C13666" s="18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16">
        <v>2013</v>
      </c>
      <c r="C13667" s="18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16">
        <v>2013</v>
      </c>
      <c r="C13668" s="18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16">
        <v>2013</v>
      </c>
      <c r="C13669" s="18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16">
        <v>2013</v>
      </c>
      <c r="C13670" s="18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16">
        <v>2013</v>
      </c>
      <c r="C13671" s="18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16">
        <v>2013</v>
      </c>
      <c r="C13672" s="18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16">
        <v>2013</v>
      </c>
      <c r="C13673" s="18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16">
        <v>2013</v>
      </c>
      <c r="C13674" s="18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16">
        <v>2013</v>
      </c>
      <c r="C13675" s="18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16">
        <v>2013</v>
      </c>
      <c r="C13676" s="18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16">
        <v>2013</v>
      </c>
      <c r="C13677" s="18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16">
        <v>2013</v>
      </c>
      <c r="C13678" s="18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16">
        <v>2013</v>
      </c>
      <c r="C13679" s="18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16">
        <v>2013</v>
      </c>
      <c r="C13680" s="18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16">
        <v>2013</v>
      </c>
      <c r="C13681" s="18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16">
        <v>2013</v>
      </c>
      <c r="C13682" s="18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16">
        <v>2013</v>
      </c>
      <c r="C13683" s="18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16">
        <v>2013</v>
      </c>
      <c r="C13684" s="18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16">
        <v>2013</v>
      </c>
      <c r="C13685" s="18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16">
        <v>2013</v>
      </c>
      <c r="C13686" s="18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16">
        <v>2013</v>
      </c>
      <c r="C13687" s="18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16">
        <v>2013</v>
      </c>
      <c r="C13688" s="18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16">
        <v>2013</v>
      </c>
      <c r="C13689" s="18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16">
        <v>2013</v>
      </c>
      <c r="C13690" s="18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16">
        <v>2013</v>
      </c>
      <c r="C13691" s="18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16">
        <v>2013</v>
      </c>
      <c r="C13692" s="18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16">
        <v>2013</v>
      </c>
      <c r="C13693" s="18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16">
        <v>2013</v>
      </c>
      <c r="C13694" s="18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16">
        <v>2013</v>
      </c>
      <c r="C13695" s="18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16">
        <v>2013</v>
      </c>
      <c r="C13696" s="18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16">
        <v>2013</v>
      </c>
      <c r="C13697" s="18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16">
        <v>2013</v>
      </c>
      <c r="C13698" s="18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16">
        <v>2013</v>
      </c>
      <c r="C13699" s="18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16">
        <v>2013</v>
      </c>
      <c r="C13700" s="18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16">
        <v>2013</v>
      </c>
      <c r="C13701" s="18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16">
        <v>2013</v>
      </c>
      <c r="C13702" s="18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16">
        <v>2013</v>
      </c>
      <c r="C13703" s="18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16">
        <v>2013</v>
      </c>
      <c r="C13704" s="18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16">
        <v>2013</v>
      </c>
      <c r="C13705" s="18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16">
        <v>2013</v>
      </c>
      <c r="C13706" s="18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16">
        <v>2013</v>
      </c>
      <c r="C13707" s="18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16">
        <v>2013</v>
      </c>
      <c r="C13708" s="18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16">
        <v>2013</v>
      </c>
      <c r="C13709" s="18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16">
        <v>2013</v>
      </c>
      <c r="C13710" s="18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16">
        <v>2013</v>
      </c>
      <c r="C13711" s="18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16">
        <v>2013</v>
      </c>
      <c r="C13712" s="18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16">
        <v>2013</v>
      </c>
      <c r="C13713" s="18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16">
        <v>2013</v>
      </c>
      <c r="C13714" s="18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16">
        <v>2013</v>
      </c>
      <c r="C13715" s="18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16">
        <v>2013</v>
      </c>
      <c r="C13716" s="18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16">
        <v>2013</v>
      </c>
      <c r="C13717" s="18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16">
        <v>2013</v>
      </c>
      <c r="C13718" s="18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16">
        <v>2013</v>
      </c>
      <c r="C13719" s="18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16">
        <v>2013</v>
      </c>
      <c r="C13720" s="18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16">
        <v>2013</v>
      </c>
      <c r="C13721" s="18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16">
        <v>2013</v>
      </c>
      <c r="C13722" s="18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16">
        <v>2013</v>
      </c>
      <c r="C13723" s="18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16">
        <v>2013</v>
      </c>
      <c r="C13724" s="18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16">
        <v>2013</v>
      </c>
      <c r="C13725" s="18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16">
        <v>2013</v>
      </c>
      <c r="C13726" s="18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16">
        <v>2013</v>
      </c>
      <c r="C13727" s="18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16">
        <v>2013</v>
      </c>
      <c r="C13728" s="18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16">
        <v>2013</v>
      </c>
      <c r="C13729" s="18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16">
        <v>2013</v>
      </c>
      <c r="C13730" s="18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16">
        <v>2013</v>
      </c>
      <c r="C13731" s="18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16">
        <v>2013</v>
      </c>
      <c r="C13732" s="18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16">
        <v>2013</v>
      </c>
      <c r="C13733" s="18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16">
        <v>2013</v>
      </c>
      <c r="C13734" s="18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16">
        <v>2013</v>
      </c>
      <c r="C13735" s="18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16">
        <v>2013</v>
      </c>
      <c r="C13736" s="18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16">
        <v>2013</v>
      </c>
      <c r="C13737" s="18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16">
        <v>2013</v>
      </c>
      <c r="C13738" s="18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16">
        <v>2013</v>
      </c>
      <c r="C13739" s="18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16">
        <v>2013</v>
      </c>
      <c r="C13740" s="18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16">
        <v>2013</v>
      </c>
      <c r="C13741" s="18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16">
        <v>2013</v>
      </c>
      <c r="C13742" s="18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16">
        <v>2013</v>
      </c>
      <c r="C13743" s="18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16">
        <v>2013</v>
      </c>
      <c r="C13744" s="18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16">
        <v>2013</v>
      </c>
      <c r="C13745" s="18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16">
        <v>2013</v>
      </c>
      <c r="C13746" s="18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16">
        <v>2013</v>
      </c>
      <c r="C13747" s="18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16">
        <v>2013</v>
      </c>
      <c r="C13748" s="18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16">
        <v>2013</v>
      </c>
      <c r="C13749" s="18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16">
        <v>2013</v>
      </c>
      <c r="C13750" s="18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16">
        <v>2013</v>
      </c>
      <c r="C13751" s="18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16">
        <v>2013</v>
      </c>
      <c r="C13752" s="18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16">
        <v>2013</v>
      </c>
      <c r="C13753" s="18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16">
        <v>2013</v>
      </c>
      <c r="C13754" s="18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16">
        <v>2013</v>
      </c>
      <c r="C13755" s="18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16">
        <v>2013</v>
      </c>
      <c r="C13756" s="18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16">
        <v>2013</v>
      </c>
      <c r="C13757" s="18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16">
        <v>2013</v>
      </c>
      <c r="C13758" s="18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16">
        <v>2013</v>
      </c>
      <c r="C13759" s="18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16">
        <v>2013</v>
      </c>
      <c r="C13760" s="18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16">
        <v>2013</v>
      </c>
      <c r="C13761" s="18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16">
        <v>2013</v>
      </c>
      <c r="C13762" s="18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16">
        <v>2013</v>
      </c>
      <c r="C13763" s="18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16">
        <v>2013</v>
      </c>
      <c r="C13764" s="18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16">
        <v>2013</v>
      </c>
      <c r="C13765" s="18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16">
        <v>2013</v>
      </c>
      <c r="C13766" s="18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16">
        <v>2013</v>
      </c>
      <c r="C13767" s="18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16">
        <v>2013</v>
      </c>
      <c r="C13768" s="18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16">
        <v>2013</v>
      </c>
      <c r="C13769" s="18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16">
        <v>2013</v>
      </c>
      <c r="C13770" s="18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16">
        <v>2013</v>
      </c>
      <c r="C13771" s="18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16">
        <v>2013</v>
      </c>
      <c r="C13772" s="18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16">
        <v>2013</v>
      </c>
      <c r="C13773" s="18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16">
        <v>2013</v>
      </c>
      <c r="C13774" s="18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16">
        <v>2013</v>
      </c>
      <c r="C13775" s="18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16">
        <v>2013</v>
      </c>
      <c r="C13776" s="18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16">
        <v>2013</v>
      </c>
      <c r="C13777" s="18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16">
        <v>2013</v>
      </c>
      <c r="C13778" s="18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16">
        <v>2013</v>
      </c>
      <c r="C13779" s="18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16">
        <v>2013</v>
      </c>
      <c r="C13780" s="18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16">
        <v>2013</v>
      </c>
      <c r="C13781" s="18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16">
        <v>2013</v>
      </c>
      <c r="C13782" s="18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16">
        <v>2013</v>
      </c>
      <c r="C13783" s="18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16">
        <v>2013</v>
      </c>
      <c r="C13784" s="18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16">
        <v>2013</v>
      </c>
      <c r="C13785" s="18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16">
        <v>2013</v>
      </c>
      <c r="C13786" s="18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16">
        <v>2013</v>
      </c>
      <c r="C13787" s="18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16">
        <v>2013</v>
      </c>
      <c r="C13788" s="18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16">
        <v>2013</v>
      </c>
      <c r="C13789" s="18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16">
        <v>2013</v>
      </c>
      <c r="C13790" s="18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16">
        <v>2013</v>
      </c>
      <c r="C13791" s="18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16">
        <v>2013</v>
      </c>
      <c r="C13792" s="18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16">
        <v>2013</v>
      </c>
      <c r="C13793" s="18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16">
        <v>2013</v>
      </c>
      <c r="C13794" s="18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16">
        <v>2013</v>
      </c>
      <c r="C13795" s="18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16">
        <v>2013</v>
      </c>
      <c r="C13796" s="18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16">
        <v>2013</v>
      </c>
      <c r="C13797" s="18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16">
        <v>2013</v>
      </c>
      <c r="C13798" s="18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16">
        <v>2013</v>
      </c>
      <c r="C13799" s="18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16">
        <v>2013</v>
      </c>
      <c r="C13800" s="18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16">
        <v>2013</v>
      </c>
      <c r="C13801" s="18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16">
        <v>2013</v>
      </c>
      <c r="C13802" s="18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16">
        <v>2013</v>
      </c>
      <c r="C13803" s="18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16">
        <v>2013</v>
      </c>
      <c r="C13804" s="18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16">
        <v>2013</v>
      </c>
      <c r="C13805" s="18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16">
        <v>2013</v>
      </c>
      <c r="C13806" s="18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16">
        <v>2013</v>
      </c>
      <c r="C13807" s="18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16">
        <v>2013</v>
      </c>
      <c r="C13808" s="18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16">
        <v>2013</v>
      </c>
      <c r="C13809" s="18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16">
        <v>2013</v>
      </c>
      <c r="C13810" s="18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16">
        <v>2013</v>
      </c>
      <c r="C13811" s="18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16">
        <v>2013</v>
      </c>
      <c r="C13812" s="18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16">
        <v>2013</v>
      </c>
      <c r="C13813" s="18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16">
        <v>2013</v>
      </c>
      <c r="C13814" s="18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16">
        <v>2013</v>
      </c>
      <c r="C13815" s="18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16">
        <v>2013</v>
      </c>
      <c r="C13816" s="18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16">
        <v>2013</v>
      </c>
      <c r="C13817" s="18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16">
        <v>2013</v>
      </c>
      <c r="C13818" s="18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16">
        <v>2013</v>
      </c>
      <c r="C13819" s="18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16">
        <v>2013</v>
      </c>
      <c r="C13820" s="18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16">
        <v>2013</v>
      </c>
      <c r="C13821" s="18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16">
        <v>2013</v>
      </c>
      <c r="C13822" s="18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16">
        <v>2013</v>
      </c>
      <c r="C13823" s="18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16">
        <v>2013</v>
      </c>
      <c r="C13824" s="18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16">
        <v>2013</v>
      </c>
      <c r="C13825" s="18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16">
        <v>2013</v>
      </c>
      <c r="C13826" s="18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16">
        <v>2013</v>
      </c>
      <c r="C13827" s="18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16">
        <v>2013</v>
      </c>
      <c r="C13828" s="18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16">
        <v>2013</v>
      </c>
      <c r="C13829" s="18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16">
        <v>2013</v>
      </c>
      <c r="C13830" s="18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16">
        <v>2013</v>
      </c>
      <c r="C13831" s="18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16">
        <v>2013</v>
      </c>
      <c r="C13832" s="18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16">
        <v>2013</v>
      </c>
      <c r="C13833" s="18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16">
        <v>2013</v>
      </c>
      <c r="C13834" s="18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16">
        <v>2013</v>
      </c>
      <c r="C13835" s="18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16">
        <v>2013</v>
      </c>
      <c r="C13836" s="18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16">
        <v>2013</v>
      </c>
      <c r="C13837" s="18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16">
        <v>2013</v>
      </c>
      <c r="C13838" s="18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16">
        <v>2013</v>
      </c>
      <c r="C13839" s="18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16">
        <v>2013</v>
      </c>
      <c r="C13840" s="18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16">
        <v>2013</v>
      </c>
      <c r="C13841" s="18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16">
        <v>2013</v>
      </c>
      <c r="C13842" s="18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16">
        <v>2013</v>
      </c>
      <c r="C13843" s="18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16">
        <v>2013</v>
      </c>
      <c r="C13844" s="18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16">
        <v>2013</v>
      </c>
      <c r="C13845" s="18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16">
        <v>2013</v>
      </c>
      <c r="C13846" s="18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16">
        <v>2013</v>
      </c>
      <c r="C13847" s="18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16">
        <v>2013</v>
      </c>
      <c r="C13848" s="18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16">
        <v>2013</v>
      </c>
      <c r="C13849" s="18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16">
        <v>2013</v>
      </c>
      <c r="C13850" s="18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16">
        <v>2013</v>
      </c>
      <c r="C13851" s="18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16">
        <v>2013</v>
      </c>
      <c r="C13852" s="18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16">
        <v>2013</v>
      </c>
      <c r="C13853" s="18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16">
        <v>2013</v>
      </c>
      <c r="C13854" s="18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16">
        <v>2013</v>
      </c>
      <c r="C13855" s="18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16">
        <v>2013</v>
      </c>
      <c r="C13856" s="18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16">
        <v>2013</v>
      </c>
      <c r="C13857" s="18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16">
        <v>2013</v>
      </c>
      <c r="C13858" s="18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16">
        <v>2013</v>
      </c>
      <c r="C13859" s="18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16">
        <v>2013</v>
      </c>
      <c r="C13860" s="18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16">
        <v>2013</v>
      </c>
      <c r="C13861" s="18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16">
        <v>2013</v>
      </c>
      <c r="C13862" s="18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16">
        <v>2013</v>
      </c>
      <c r="C13863" s="18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16">
        <v>2013</v>
      </c>
      <c r="C13864" s="18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16">
        <v>2013</v>
      </c>
      <c r="C13865" s="18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16">
        <v>2013</v>
      </c>
      <c r="C13866" s="18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16">
        <v>2013</v>
      </c>
      <c r="C13867" s="18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16">
        <v>2013</v>
      </c>
      <c r="C13868" s="18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16">
        <v>2013</v>
      </c>
      <c r="C13869" s="18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16">
        <v>2013</v>
      </c>
      <c r="C13870" s="18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16">
        <v>2013</v>
      </c>
      <c r="C13871" s="18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16">
        <v>2013</v>
      </c>
      <c r="C13872" s="18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16">
        <v>2013</v>
      </c>
      <c r="C13873" s="18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16">
        <v>2013</v>
      </c>
      <c r="C13874" s="18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16">
        <v>2013</v>
      </c>
      <c r="C13875" s="18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16">
        <v>2013</v>
      </c>
      <c r="C13876" s="18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16">
        <v>2013</v>
      </c>
      <c r="C13877" s="18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16">
        <v>2013</v>
      </c>
      <c r="C13878" s="18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16">
        <v>2013</v>
      </c>
      <c r="C13879" s="18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16">
        <v>2013</v>
      </c>
      <c r="C13880" s="18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16">
        <v>2013</v>
      </c>
      <c r="C13881" s="18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16">
        <v>2013</v>
      </c>
      <c r="C13882" s="18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16">
        <v>2013</v>
      </c>
      <c r="C13883" s="18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16">
        <v>2013</v>
      </c>
      <c r="C13884" s="18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16">
        <v>2013</v>
      </c>
      <c r="C13885" s="18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16">
        <v>2013</v>
      </c>
      <c r="C13886" s="18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16">
        <v>2013</v>
      </c>
      <c r="C13887" s="18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16">
        <v>2013</v>
      </c>
      <c r="C13888" s="18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16">
        <v>2013</v>
      </c>
      <c r="C13889" s="18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16">
        <v>2013</v>
      </c>
      <c r="C13890" s="18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16">
        <v>2013</v>
      </c>
      <c r="C13891" s="18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16">
        <v>2013</v>
      </c>
      <c r="C13892" s="18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16">
        <v>2013</v>
      </c>
      <c r="C13893" s="18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16">
        <v>2013</v>
      </c>
      <c r="C13894" s="18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16">
        <v>2013</v>
      </c>
      <c r="C13895" s="18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16">
        <v>2013</v>
      </c>
      <c r="C13896" s="18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16">
        <v>2013</v>
      </c>
      <c r="C13897" s="18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16">
        <v>2013</v>
      </c>
      <c r="C13898" s="18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16">
        <v>2013</v>
      </c>
      <c r="C13899" s="18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16">
        <v>2013</v>
      </c>
      <c r="C13900" s="18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16">
        <v>2013</v>
      </c>
      <c r="C13901" s="18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16">
        <v>2013</v>
      </c>
      <c r="C13902" s="18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16">
        <v>2013</v>
      </c>
      <c r="C13903" s="18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16">
        <v>2013</v>
      </c>
      <c r="C13904" s="18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16">
        <v>2013</v>
      </c>
      <c r="C13905" s="18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16">
        <v>2013</v>
      </c>
      <c r="C13906" s="18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16">
        <v>2013</v>
      </c>
      <c r="C13907" s="18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16">
        <v>2013</v>
      </c>
      <c r="C13908" s="18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16">
        <v>2013</v>
      </c>
      <c r="C13909" s="18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16">
        <v>2013</v>
      </c>
      <c r="C13910" s="18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16">
        <v>2013</v>
      </c>
      <c r="C13911" s="18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16">
        <v>2013</v>
      </c>
      <c r="C13912" s="18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16">
        <v>2013</v>
      </c>
      <c r="C13913" s="18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16">
        <v>2013</v>
      </c>
      <c r="C13914" s="18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16">
        <v>2013</v>
      </c>
      <c r="C13915" s="18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16">
        <v>2013</v>
      </c>
      <c r="C13916" s="18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16">
        <v>2013</v>
      </c>
      <c r="C13917" s="18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16">
        <v>2013</v>
      </c>
      <c r="C13918" s="18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16">
        <v>2013</v>
      </c>
      <c r="C13919" s="18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16">
        <v>2013</v>
      </c>
      <c r="C13920" s="18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16">
        <v>2013</v>
      </c>
      <c r="C13921" s="18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16">
        <v>2013</v>
      </c>
      <c r="C13922" s="18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16">
        <v>2013</v>
      </c>
      <c r="C13923" s="18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16">
        <v>2013</v>
      </c>
      <c r="C13924" s="18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16">
        <v>2013</v>
      </c>
      <c r="C13925" s="18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16">
        <v>2013</v>
      </c>
      <c r="C13926" s="18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16">
        <v>2013</v>
      </c>
      <c r="C13927" s="18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16">
        <v>2013</v>
      </c>
      <c r="C13928" s="18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16">
        <v>2013</v>
      </c>
      <c r="C13929" s="18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16">
        <v>2013</v>
      </c>
      <c r="C13930" s="18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16">
        <v>2013</v>
      </c>
      <c r="C13931" s="18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16">
        <v>2013</v>
      </c>
      <c r="C13932" s="18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16">
        <v>2013</v>
      </c>
      <c r="C13933" s="18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16">
        <v>2013</v>
      </c>
      <c r="C13934" s="18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16">
        <v>2013</v>
      </c>
      <c r="C13935" s="18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16">
        <v>2013</v>
      </c>
      <c r="C13936" s="18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16">
        <v>2013</v>
      </c>
      <c r="C13937" s="18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16">
        <v>2013</v>
      </c>
      <c r="C13938" s="18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16">
        <v>2013</v>
      </c>
      <c r="C13939" s="18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16">
        <v>2013</v>
      </c>
      <c r="C13940" s="18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16">
        <v>2013</v>
      </c>
      <c r="C13941" s="18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16">
        <v>2013</v>
      </c>
      <c r="C13942" s="18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16">
        <v>2013</v>
      </c>
      <c r="C13943" s="18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16">
        <v>2013</v>
      </c>
      <c r="C13944" s="18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16">
        <v>2013</v>
      </c>
      <c r="C13945" s="18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16">
        <v>2013</v>
      </c>
      <c r="C13946" s="18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16">
        <v>2013</v>
      </c>
      <c r="C13947" s="18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16">
        <v>2013</v>
      </c>
      <c r="C13948" s="18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16">
        <v>2013</v>
      </c>
      <c r="C13949" s="18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16">
        <v>2013</v>
      </c>
      <c r="C13950" s="18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16">
        <v>2013</v>
      </c>
      <c r="C13951" s="18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16">
        <v>2013</v>
      </c>
      <c r="C13952" s="18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16">
        <v>2013</v>
      </c>
      <c r="C13953" s="18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16">
        <v>2013</v>
      </c>
      <c r="C13954" s="18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16">
        <v>2013</v>
      </c>
      <c r="C13955" s="18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16">
        <v>2013</v>
      </c>
      <c r="C13956" s="18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16">
        <v>2013</v>
      </c>
      <c r="C13957" s="18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16">
        <v>2013</v>
      </c>
      <c r="C13958" s="18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16">
        <v>2013</v>
      </c>
      <c r="C13959" s="18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16">
        <v>2013</v>
      </c>
      <c r="C13960" s="18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16">
        <v>2013</v>
      </c>
      <c r="C13961" s="18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16">
        <v>2013</v>
      </c>
      <c r="C13962" s="18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16">
        <v>2013</v>
      </c>
      <c r="C13963" s="18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16">
        <v>2013</v>
      </c>
      <c r="C13964" s="18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16">
        <v>2013</v>
      </c>
      <c r="C13965" s="18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16">
        <v>2013</v>
      </c>
      <c r="C13966" s="18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16">
        <v>2013</v>
      </c>
      <c r="C13967" s="18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16">
        <v>2013</v>
      </c>
      <c r="C13968" s="18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16">
        <v>2013</v>
      </c>
      <c r="C13969" s="18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16">
        <v>2013</v>
      </c>
      <c r="C13970" s="18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16">
        <v>2013</v>
      </c>
      <c r="C13971" s="18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16">
        <v>2013</v>
      </c>
      <c r="C13972" s="18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16">
        <v>2013</v>
      </c>
      <c r="C13973" s="18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16">
        <v>2013</v>
      </c>
      <c r="C13974" s="18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16">
        <v>2013</v>
      </c>
      <c r="C13975" s="18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16">
        <v>2013</v>
      </c>
      <c r="C13976" s="18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16">
        <v>2013</v>
      </c>
      <c r="C13977" s="18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16">
        <v>2013</v>
      </c>
      <c r="C13978" s="18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16">
        <v>2013</v>
      </c>
      <c r="C13979" s="18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16">
        <v>2013</v>
      </c>
      <c r="C13980" s="18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16">
        <v>2013</v>
      </c>
      <c r="C13981" s="18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16">
        <v>2013</v>
      </c>
      <c r="C13982" s="18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16">
        <v>2013</v>
      </c>
      <c r="C13983" s="18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16">
        <v>2013</v>
      </c>
      <c r="C13984" s="18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16">
        <v>2013</v>
      </c>
      <c r="C13985" s="18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16">
        <v>2013</v>
      </c>
      <c r="C13986" s="18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16">
        <v>2013</v>
      </c>
      <c r="C13987" s="18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16">
        <v>2013</v>
      </c>
      <c r="C13988" s="18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16">
        <v>2013</v>
      </c>
      <c r="C13989" s="18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16">
        <v>2013</v>
      </c>
      <c r="C13990" s="18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16">
        <v>2013</v>
      </c>
      <c r="C13991" s="18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16">
        <v>2013</v>
      </c>
      <c r="C13992" s="18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16">
        <v>2013</v>
      </c>
      <c r="C13993" s="18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16">
        <v>2013</v>
      </c>
      <c r="C13994" s="18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16">
        <v>2013</v>
      </c>
      <c r="C13995" s="18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16">
        <v>2013</v>
      </c>
      <c r="C13996" s="18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16">
        <v>2013</v>
      </c>
      <c r="C13997" s="18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16">
        <v>2013</v>
      </c>
      <c r="C13998" s="18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16">
        <v>2013</v>
      </c>
      <c r="C13999" s="18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16">
        <v>2013</v>
      </c>
      <c r="C14000" s="18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16">
        <v>2013</v>
      </c>
      <c r="C14001" s="18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16">
        <v>2013</v>
      </c>
      <c r="C14002" s="18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16">
        <v>2013</v>
      </c>
      <c r="C14003" s="18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16">
        <v>2013</v>
      </c>
      <c r="C14004" s="18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16">
        <v>2013</v>
      </c>
      <c r="C14005" s="18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16">
        <v>2013</v>
      </c>
      <c r="C14006" s="18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16">
        <v>2013</v>
      </c>
      <c r="C14007" s="18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16">
        <v>2013</v>
      </c>
      <c r="C14008" s="18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16">
        <v>2013</v>
      </c>
      <c r="C14009" s="18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16">
        <v>2013</v>
      </c>
      <c r="C14010" s="18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16">
        <v>2013</v>
      </c>
      <c r="C14011" s="18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16">
        <v>2013</v>
      </c>
      <c r="C14012" s="18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16">
        <v>2013</v>
      </c>
      <c r="C14013" s="18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16">
        <v>2013</v>
      </c>
      <c r="C14014" s="18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16">
        <v>2013</v>
      </c>
      <c r="C14015" s="18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16">
        <v>2013</v>
      </c>
      <c r="C14016" s="18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16">
        <v>2013</v>
      </c>
      <c r="C14017" s="18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16">
        <v>2013</v>
      </c>
      <c r="C14018" s="18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16">
        <v>2013</v>
      </c>
      <c r="C14019" s="18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16">
        <v>2013</v>
      </c>
      <c r="C14020" s="18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16">
        <v>2013</v>
      </c>
      <c r="C14021" s="18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16">
        <v>2013</v>
      </c>
      <c r="C14022" s="18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16">
        <v>2013</v>
      </c>
      <c r="C14023" s="18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16">
        <v>2013</v>
      </c>
      <c r="C14024" s="18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16">
        <v>2013</v>
      </c>
      <c r="C14025" s="18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16">
        <v>2013</v>
      </c>
      <c r="C14026" s="18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16">
        <v>2013</v>
      </c>
      <c r="C14027" s="18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16">
        <v>2013</v>
      </c>
      <c r="C14028" s="18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16">
        <v>2013</v>
      </c>
      <c r="C14029" s="18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16">
        <v>2013</v>
      </c>
      <c r="C14030" s="18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16">
        <v>2013</v>
      </c>
      <c r="C14031" s="18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16">
        <v>2013</v>
      </c>
      <c r="C14032" s="18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16">
        <v>2013</v>
      </c>
      <c r="C14033" s="18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16">
        <v>2013</v>
      </c>
      <c r="C14034" s="18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16">
        <v>2013</v>
      </c>
      <c r="C14035" s="18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16">
        <v>2013</v>
      </c>
      <c r="C14036" s="18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16">
        <v>2013</v>
      </c>
      <c r="C14037" s="18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16">
        <v>2013</v>
      </c>
      <c r="C14038" s="18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16">
        <v>2013</v>
      </c>
      <c r="C14039" s="18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16">
        <v>2013</v>
      </c>
      <c r="C14040" s="18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16">
        <v>2013</v>
      </c>
      <c r="C14041" s="18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16">
        <v>2013</v>
      </c>
      <c r="C14042" s="18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16">
        <v>2013</v>
      </c>
      <c r="C14043" s="18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16">
        <v>2013</v>
      </c>
      <c r="C14044" s="18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16">
        <v>2013</v>
      </c>
      <c r="C14045" s="18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16">
        <v>2013</v>
      </c>
      <c r="C14046" s="18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16">
        <v>2013</v>
      </c>
      <c r="C14047" s="18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16">
        <v>2013</v>
      </c>
      <c r="C14048" s="18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16">
        <v>2013</v>
      </c>
      <c r="C14049" s="18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16">
        <v>2013</v>
      </c>
      <c r="C14050" s="18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16">
        <v>2013</v>
      </c>
      <c r="C14051" s="18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16">
        <v>2013</v>
      </c>
      <c r="C14052" s="18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16">
        <v>2013</v>
      </c>
      <c r="C14053" s="18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16">
        <v>2013</v>
      </c>
      <c r="C14054" s="18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16">
        <v>2013</v>
      </c>
      <c r="C14055" s="18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16">
        <v>2013</v>
      </c>
      <c r="C14056" s="18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16">
        <v>2013</v>
      </c>
      <c r="C14057" s="18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16">
        <v>2013</v>
      </c>
      <c r="C14058" s="18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16">
        <v>2013</v>
      </c>
      <c r="C14059" s="18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16">
        <v>2013</v>
      </c>
      <c r="C14060" s="18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16">
        <v>2013</v>
      </c>
      <c r="C14061" s="18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16">
        <v>2013</v>
      </c>
      <c r="C14062" s="18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16">
        <v>2013</v>
      </c>
      <c r="C14063" s="18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16">
        <v>2013</v>
      </c>
      <c r="C14064" s="18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16">
        <v>2013</v>
      </c>
      <c r="C14065" s="18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16">
        <v>2013</v>
      </c>
      <c r="C14066" s="18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16">
        <v>2013</v>
      </c>
      <c r="C14067" s="18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16">
        <v>2013</v>
      </c>
      <c r="C14068" s="18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16">
        <v>2013</v>
      </c>
      <c r="C14069" s="18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16">
        <v>2013</v>
      </c>
      <c r="C14070" s="18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16">
        <v>2013</v>
      </c>
      <c r="C14071" s="18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16">
        <v>2013</v>
      </c>
      <c r="C14072" s="18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16">
        <v>2013</v>
      </c>
      <c r="C14073" s="18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16">
        <v>2013</v>
      </c>
      <c r="C14074" s="18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16">
        <v>2013</v>
      </c>
      <c r="C14075" s="18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16">
        <v>2013</v>
      </c>
      <c r="C14076" s="18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16">
        <v>2013</v>
      </c>
      <c r="C14077" s="18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16">
        <v>2013</v>
      </c>
      <c r="C14078" s="18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16">
        <v>2013</v>
      </c>
      <c r="C14079" s="18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16">
        <v>2013</v>
      </c>
      <c r="C14080" s="18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16">
        <v>2013</v>
      </c>
      <c r="C14081" s="18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16">
        <v>2013</v>
      </c>
      <c r="C14082" s="18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16">
        <v>2013</v>
      </c>
      <c r="C14083" s="18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16">
        <v>2013</v>
      </c>
      <c r="C14084" s="18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16">
        <v>2013</v>
      </c>
      <c r="C14085" s="18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16">
        <v>2013</v>
      </c>
      <c r="C14086" s="18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16">
        <v>2013</v>
      </c>
      <c r="C14087" s="18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16">
        <v>2013</v>
      </c>
      <c r="C14088" s="18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16">
        <v>2013</v>
      </c>
      <c r="C14089" s="18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16">
        <v>2013</v>
      </c>
      <c r="C14090" s="18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16">
        <v>2013</v>
      </c>
      <c r="C14091" s="18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16">
        <v>2013</v>
      </c>
      <c r="C14092" s="18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16">
        <v>2013</v>
      </c>
      <c r="C14093" s="18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16">
        <v>2013</v>
      </c>
      <c r="C14094" s="18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16">
        <v>2013</v>
      </c>
      <c r="C14095" s="18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16">
        <v>2013</v>
      </c>
      <c r="C14096" s="18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16">
        <v>2013</v>
      </c>
      <c r="C14097" s="18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16">
        <v>2013</v>
      </c>
      <c r="C14098" s="18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16">
        <v>2013</v>
      </c>
      <c r="C14099" s="18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16">
        <v>2013</v>
      </c>
      <c r="C14100" s="18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16">
        <v>2013</v>
      </c>
      <c r="C14101" s="18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16">
        <v>2013</v>
      </c>
      <c r="C14102" s="18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16">
        <v>2013</v>
      </c>
      <c r="C14103" s="18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16">
        <v>2013</v>
      </c>
      <c r="C14104" s="18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16">
        <v>2013</v>
      </c>
      <c r="C14105" s="18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16">
        <v>2013</v>
      </c>
      <c r="C14106" s="18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16">
        <v>2013</v>
      </c>
      <c r="C14107" s="18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16">
        <v>2013</v>
      </c>
      <c r="C14108" s="18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16">
        <v>2013</v>
      </c>
      <c r="C14109" s="18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16">
        <v>2013</v>
      </c>
      <c r="C14110" s="18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16">
        <v>2013</v>
      </c>
      <c r="C14111" s="18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16">
        <v>2013</v>
      </c>
      <c r="C14112" s="18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16">
        <v>2013</v>
      </c>
      <c r="C14113" s="18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16">
        <v>2013</v>
      </c>
      <c r="C14114" s="18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16">
        <v>2013</v>
      </c>
      <c r="C14115" s="18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16">
        <v>2013</v>
      </c>
      <c r="C14116" s="18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16">
        <v>2013</v>
      </c>
      <c r="C14117" s="18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16">
        <v>2013</v>
      </c>
      <c r="C14118" s="18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16">
        <v>2013</v>
      </c>
      <c r="C14119" s="18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16">
        <v>2013</v>
      </c>
      <c r="C14120" s="18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16">
        <v>2013</v>
      </c>
      <c r="C14121" s="18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16">
        <v>2013</v>
      </c>
      <c r="C14122" s="18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16">
        <v>2013</v>
      </c>
      <c r="C14123" s="18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16">
        <v>2013</v>
      </c>
      <c r="C14124" s="18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16">
        <v>2013</v>
      </c>
      <c r="C14125" s="18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16">
        <v>2013</v>
      </c>
      <c r="C14126" s="18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16">
        <v>2013</v>
      </c>
      <c r="C14127" s="18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16">
        <v>2013</v>
      </c>
      <c r="C14128" s="18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16">
        <v>2013</v>
      </c>
      <c r="C14129" s="18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16">
        <v>2013</v>
      </c>
      <c r="C14130" s="18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16">
        <v>2013</v>
      </c>
      <c r="C14131" s="18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16">
        <v>2013</v>
      </c>
      <c r="C14132" s="18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16">
        <v>2013</v>
      </c>
      <c r="C14133" s="18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16">
        <v>2013</v>
      </c>
      <c r="C14134" s="18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16">
        <v>2013</v>
      </c>
      <c r="C14135" s="18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16">
        <v>2013</v>
      </c>
      <c r="C14136" s="18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16">
        <v>2013</v>
      </c>
      <c r="C14137" s="18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16">
        <v>2013</v>
      </c>
      <c r="C14138" s="18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16">
        <v>2013</v>
      </c>
      <c r="C14139" s="18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16">
        <v>2013</v>
      </c>
      <c r="C14140" s="18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16">
        <v>2013</v>
      </c>
      <c r="C14141" s="18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16">
        <v>2013</v>
      </c>
      <c r="C14142" s="18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16">
        <v>2013</v>
      </c>
      <c r="C14143" s="18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16">
        <v>2013</v>
      </c>
      <c r="C14144" s="18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16">
        <v>2013</v>
      </c>
      <c r="C14145" s="18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16">
        <v>2013</v>
      </c>
      <c r="C14146" s="18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16">
        <v>2013</v>
      </c>
      <c r="C14147" s="18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16">
        <v>2013</v>
      </c>
      <c r="C14148" s="18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16">
        <v>2013</v>
      </c>
      <c r="C14149" s="18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16">
        <v>2013</v>
      </c>
      <c r="C14150" s="18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16">
        <v>2013</v>
      </c>
      <c r="C14151" s="18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16">
        <v>2013</v>
      </c>
      <c r="C14152" s="18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16">
        <v>2013</v>
      </c>
      <c r="C14153" s="18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16">
        <v>2013</v>
      </c>
      <c r="C14154" s="18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16">
        <v>2013</v>
      </c>
      <c r="C14155" s="18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16">
        <v>2013</v>
      </c>
      <c r="C14156" s="18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16">
        <v>2013</v>
      </c>
      <c r="C14157" s="18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16">
        <v>2013</v>
      </c>
      <c r="C14158" s="18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16">
        <v>2013</v>
      </c>
      <c r="C14159" s="18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16">
        <v>2013</v>
      </c>
      <c r="C14160" s="18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16">
        <v>2013</v>
      </c>
      <c r="C14161" s="18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16">
        <v>2013</v>
      </c>
      <c r="C14162" s="18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16">
        <v>2013</v>
      </c>
      <c r="C14163" s="18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16">
        <v>2013</v>
      </c>
      <c r="C14164" s="18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16">
        <v>2013</v>
      </c>
      <c r="C14165" s="18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16">
        <v>2013</v>
      </c>
      <c r="C14166" s="18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16">
        <v>2013</v>
      </c>
      <c r="C14167" s="18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16">
        <v>2013</v>
      </c>
      <c r="C14168" s="18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16">
        <v>2013</v>
      </c>
      <c r="C14169" s="18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16">
        <v>2013</v>
      </c>
      <c r="C14170" s="18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16">
        <v>2013</v>
      </c>
      <c r="C14171" s="18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16">
        <v>2013</v>
      </c>
      <c r="C14172" s="18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16">
        <v>2013</v>
      </c>
      <c r="C14173" s="18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16">
        <v>2013</v>
      </c>
      <c r="C14174" s="18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16">
        <v>2013</v>
      </c>
      <c r="C14175" s="18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16">
        <v>2013</v>
      </c>
      <c r="C14176" s="18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16">
        <v>2013</v>
      </c>
      <c r="C14177" s="18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16">
        <v>2013</v>
      </c>
      <c r="C14178" s="18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16">
        <v>2013</v>
      </c>
      <c r="C14179" s="18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16">
        <v>2013</v>
      </c>
      <c r="C14180" s="18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16">
        <v>2013</v>
      </c>
      <c r="C14181" s="18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16">
        <v>2013</v>
      </c>
      <c r="C14182" s="18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16">
        <v>2013</v>
      </c>
      <c r="C14183" s="18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16">
        <v>2013</v>
      </c>
      <c r="C14184" s="18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16">
        <v>2013</v>
      </c>
      <c r="C14185" s="18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16">
        <v>2013</v>
      </c>
      <c r="C14186" s="18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16">
        <v>2013</v>
      </c>
      <c r="C14187" s="18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16">
        <v>2013</v>
      </c>
      <c r="C14188" s="18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16">
        <v>2013</v>
      </c>
      <c r="C14189" s="18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16">
        <v>2013</v>
      </c>
      <c r="C14190" s="18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16">
        <v>2013</v>
      </c>
      <c r="C14191" s="18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16">
        <v>2013</v>
      </c>
      <c r="C14192" s="18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16">
        <v>2013</v>
      </c>
      <c r="C14193" s="18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16">
        <v>2013</v>
      </c>
      <c r="C14194" s="18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16">
        <v>2013</v>
      </c>
      <c r="C14195" s="18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16">
        <v>2013</v>
      </c>
      <c r="C14196" s="18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16">
        <v>2013</v>
      </c>
      <c r="C14197" s="18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16">
        <v>2013</v>
      </c>
      <c r="C14198" s="18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16">
        <v>2013</v>
      </c>
      <c r="C14199" s="18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16">
        <v>2013</v>
      </c>
      <c r="C14200" s="18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16">
        <v>2013</v>
      </c>
      <c r="C14201" s="18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16">
        <v>2013</v>
      </c>
      <c r="C14202" s="18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16">
        <v>2013</v>
      </c>
      <c r="C14203" s="18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16">
        <v>2013</v>
      </c>
      <c r="C14204" s="18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16">
        <v>2013</v>
      </c>
      <c r="C14205" s="18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16">
        <v>2013</v>
      </c>
      <c r="C14206" s="18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16">
        <v>2013</v>
      </c>
      <c r="C14207" s="18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16">
        <v>2013</v>
      </c>
      <c r="C14208" s="18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16">
        <v>2013</v>
      </c>
      <c r="C14209" s="18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16">
        <v>2013</v>
      </c>
      <c r="C14210" s="18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16">
        <v>2013</v>
      </c>
      <c r="C14211" s="18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16">
        <v>2013</v>
      </c>
      <c r="C14212" s="18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16">
        <v>2013</v>
      </c>
      <c r="C14213" s="18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16">
        <v>2013</v>
      </c>
      <c r="C14214" s="18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16">
        <v>2013</v>
      </c>
      <c r="C14215" s="18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16">
        <v>2013</v>
      </c>
      <c r="C14216" s="18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16">
        <v>2013</v>
      </c>
      <c r="C14217" s="18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16">
        <v>2013</v>
      </c>
      <c r="C14218" s="18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16">
        <v>2013</v>
      </c>
      <c r="C14219" s="18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16">
        <v>2013</v>
      </c>
      <c r="C14220" s="18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16">
        <v>2013</v>
      </c>
      <c r="C14221" s="18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16">
        <v>2013</v>
      </c>
      <c r="C14222" s="18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16">
        <v>2013</v>
      </c>
      <c r="C14223" s="18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16">
        <v>2013</v>
      </c>
      <c r="C14224" s="18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16">
        <v>2013</v>
      </c>
      <c r="C14225" s="18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16">
        <v>2013</v>
      </c>
      <c r="C14226" s="18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16">
        <v>2013</v>
      </c>
      <c r="C14227" s="18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16">
        <v>2013</v>
      </c>
      <c r="C14228" s="18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16">
        <v>2013</v>
      </c>
      <c r="C14229" s="18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16">
        <v>2013</v>
      </c>
      <c r="C14230" s="18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16">
        <v>2013</v>
      </c>
      <c r="C14231" s="18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16">
        <v>2013</v>
      </c>
      <c r="C14232" s="18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16">
        <v>2013</v>
      </c>
      <c r="C14233" s="18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16">
        <v>2013</v>
      </c>
      <c r="C14234" s="18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16">
        <v>2013</v>
      </c>
      <c r="C14235" s="18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16">
        <v>2013</v>
      </c>
      <c r="C14236" s="18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16">
        <v>2013</v>
      </c>
      <c r="C14237" s="18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16">
        <v>2013</v>
      </c>
      <c r="C14238" s="18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16">
        <v>2013</v>
      </c>
      <c r="C14239" s="18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16">
        <v>2013</v>
      </c>
      <c r="C14240" s="18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16">
        <v>2013</v>
      </c>
      <c r="C14241" s="18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16">
        <v>2013</v>
      </c>
      <c r="C14242" s="18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16">
        <v>2013</v>
      </c>
      <c r="C14243" s="18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16">
        <v>2013</v>
      </c>
      <c r="C14244" s="18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16">
        <v>2013</v>
      </c>
      <c r="C14245" s="18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16">
        <v>2013</v>
      </c>
      <c r="C14246" s="18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16">
        <v>2013</v>
      </c>
      <c r="C14247" s="18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16">
        <v>2013</v>
      </c>
      <c r="C14248" s="18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16">
        <v>2013</v>
      </c>
      <c r="C14249" s="18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16">
        <v>2013</v>
      </c>
      <c r="C14250" s="18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16">
        <v>2013</v>
      </c>
      <c r="C14251" s="18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16">
        <v>2013</v>
      </c>
      <c r="C14252" s="18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16">
        <v>2013</v>
      </c>
      <c r="C14253" s="18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16">
        <v>2013</v>
      </c>
      <c r="C14254" s="18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16">
        <v>2013</v>
      </c>
      <c r="C14255" s="18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16">
        <v>2013</v>
      </c>
      <c r="C14256" s="18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16">
        <v>2013</v>
      </c>
      <c r="C14257" s="18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16">
        <v>2013</v>
      </c>
      <c r="C14258" s="18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16">
        <v>2013</v>
      </c>
      <c r="C14259" s="18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16">
        <v>2013</v>
      </c>
      <c r="C14260" s="18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16">
        <v>2013</v>
      </c>
      <c r="C14261" s="18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16">
        <v>2013</v>
      </c>
      <c r="C14262" s="18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16">
        <v>2013</v>
      </c>
      <c r="C14263" s="18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16">
        <v>2013</v>
      </c>
      <c r="C14264" s="18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16">
        <v>2013</v>
      </c>
      <c r="C14265" s="18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16">
        <v>2013</v>
      </c>
      <c r="C14266" s="18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16">
        <v>2013</v>
      </c>
      <c r="C14267" s="18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16">
        <v>2013</v>
      </c>
      <c r="C14268" s="18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16">
        <v>2013</v>
      </c>
      <c r="C14269" s="18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16">
        <v>2013</v>
      </c>
      <c r="C14270" s="18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16">
        <v>2013</v>
      </c>
      <c r="C14271" s="18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16">
        <v>2013</v>
      </c>
      <c r="C14272" s="18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16">
        <v>2013</v>
      </c>
      <c r="C14273" s="18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16">
        <v>2013</v>
      </c>
      <c r="C14274" s="18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16">
        <v>2013</v>
      </c>
      <c r="C14275" s="18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16">
        <v>2013</v>
      </c>
      <c r="C14276" s="18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16">
        <v>2013</v>
      </c>
      <c r="C14277" s="18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16">
        <v>2013</v>
      </c>
      <c r="C14278" s="18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16">
        <v>2013</v>
      </c>
      <c r="C14279" s="18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16">
        <v>2013</v>
      </c>
      <c r="C14280" s="18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16">
        <v>2013</v>
      </c>
      <c r="C14281" s="18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16">
        <v>2013</v>
      </c>
      <c r="C14282" s="18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16">
        <v>2013</v>
      </c>
      <c r="C14283" s="18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16">
        <v>2013</v>
      </c>
      <c r="C14284" s="18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16">
        <v>2013</v>
      </c>
      <c r="C14285" s="18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16">
        <v>2013</v>
      </c>
      <c r="C14286" s="18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16">
        <v>2013</v>
      </c>
      <c r="C14287" s="18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16">
        <v>2013</v>
      </c>
      <c r="C14288" s="18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16">
        <v>2013</v>
      </c>
      <c r="C14289" s="18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16">
        <v>2013</v>
      </c>
      <c r="C14290" s="18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16">
        <v>2013</v>
      </c>
      <c r="C14291" s="18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16">
        <v>2013</v>
      </c>
      <c r="C14292" s="18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16">
        <v>2013</v>
      </c>
      <c r="C14293" s="18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16">
        <v>2013</v>
      </c>
      <c r="C14294" s="18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16">
        <v>2013</v>
      </c>
      <c r="C14295" s="18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16">
        <v>2013</v>
      </c>
      <c r="C14296" s="18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16">
        <v>2013</v>
      </c>
      <c r="C14297" s="18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16">
        <v>2013</v>
      </c>
      <c r="C14298" s="18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16">
        <v>2013</v>
      </c>
      <c r="C14299" s="18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16">
        <v>2013</v>
      </c>
      <c r="C14300" s="18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16">
        <v>2013</v>
      </c>
      <c r="C14301" s="18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16">
        <v>2013</v>
      </c>
      <c r="C14302" s="18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16">
        <v>2013</v>
      </c>
      <c r="C14303" s="18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16">
        <v>2013</v>
      </c>
      <c r="C14304" s="18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16">
        <v>2013</v>
      </c>
      <c r="C14305" s="18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16">
        <v>2013</v>
      </c>
      <c r="C14306" s="18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16">
        <v>2013</v>
      </c>
      <c r="C14307" s="18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16">
        <v>2013</v>
      </c>
      <c r="C14308" s="18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16">
        <v>2013</v>
      </c>
      <c r="C14309" s="18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16">
        <v>2013</v>
      </c>
      <c r="C14310" s="18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16">
        <v>2013</v>
      </c>
      <c r="C14311" s="18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16">
        <v>2013</v>
      </c>
      <c r="C14312" s="18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16">
        <v>2013</v>
      </c>
      <c r="C14313" s="18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16">
        <v>2013</v>
      </c>
      <c r="C14314" s="18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16">
        <v>2013</v>
      </c>
      <c r="C14315" s="18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16">
        <v>2013</v>
      </c>
      <c r="C14316" s="18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16">
        <v>2013</v>
      </c>
      <c r="C14317" s="18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16">
        <v>2013</v>
      </c>
      <c r="C14318" s="18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16">
        <v>2013</v>
      </c>
      <c r="C14319" s="18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16">
        <v>2013</v>
      </c>
      <c r="C14320" s="18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16">
        <v>2013</v>
      </c>
      <c r="C14321" s="18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16">
        <v>2013</v>
      </c>
      <c r="C14322" s="18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16">
        <v>2013</v>
      </c>
      <c r="C14323" s="18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16">
        <v>2013</v>
      </c>
      <c r="C14324" s="18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16">
        <v>2013</v>
      </c>
      <c r="C14325" s="18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16">
        <v>2013</v>
      </c>
      <c r="C14326" s="18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16">
        <v>2013</v>
      </c>
      <c r="C14327" s="18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16">
        <v>2013</v>
      </c>
      <c r="C14328" s="18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16">
        <v>2013</v>
      </c>
      <c r="C14329" s="18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16">
        <v>2013</v>
      </c>
      <c r="C14330" s="18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16">
        <v>2013</v>
      </c>
      <c r="C14331" s="18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16">
        <v>2013</v>
      </c>
      <c r="C14332" s="18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16">
        <v>2013</v>
      </c>
      <c r="C14333" s="18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16">
        <v>2013</v>
      </c>
      <c r="C14334" s="18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16">
        <v>2013</v>
      </c>
      <c r="C14335" s="18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16">
        <v>2013</v>
      </c>
      <c r="C14336" s="18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16">
        <v>2013</v>
      </c>
      <c r="C14337" s="18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16">
        <v>2013</v>
      </c>
      <c r="C14338" s="18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16">
        <v>2013</v>
      </c>
      <c r="C14339" s="18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16">
        <v>2013</v>
      </c>
      <c r="C14340" s="18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16">
        <v>2013</v>
      </c>
      <c r="C14341" s="18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16">
        <v>2013</v>
      </c>
      <c r="C14342" s="18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16">
        <v>2013</v>
      </c>
      <c r="C14343" s="18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16">
        <v>2013</v>
      </c>
      <c r="C14344" s="18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16">
        <v>2013</v>
      </c>
      <c r="C14345" s="18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16">
        <v>2013</v>
      </c>
      <c r="C14346" s="18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16">
        <v>2013</v>
      </c>
      <c r="C14347" s="18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16">
        <v>2013</v>
      </c>
      <c r="C14348" s="18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16">
        <v>2013</v>
      </c>
      <c r="C14349" s="18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16">
        <v>2013</v>
      </c>
      <c r="C14350" s="18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16">
        <v>2013</v>
      </c>
      <c r="C14351" s="18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16">
        <v>2013</v>
      </c>
      <c r="C14352" s="18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16">
        <v>2013</v>
      </c>
      <c r="C14353" s="18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16">
        <v>2013</v>
      </c>
      <c r="C14354" s="18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16">
        <v>2013</v>
      </c>
      <c r="C14355" s="18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16">
        <v>2013</v>
      </c>
      <c r="C14356" s="18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16">
        <v>2013</v>
      </c>
      <c r="C14357" s="18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16">
        <v>2013</v>
      </c>
      <c r="C14358" s="18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16">
        <v>2013</v>
      </c>
      <c r="C14359" s="18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16">
        <v>2013</v>
      </c>
      <c r="C14360" s="18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16">
        <v>2013</v>
      </c>
      <c r="C14361" s="18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16">
        <v>2013</v>
      </c>
      <c r="C14362" s="18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16">
        <v>2013</v>
      </c>
      <c r="C14363" s="18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16">
        <v>2013</v>
      </c>
      <c r="C14364" s="18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16">
        <v>2013</v>
      </c>
      <c r="C14365" s="18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16">
        <v>2013</v>
      </c>
      <c r="C14366" s="18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16">
        <v>2013</v>
      </c>
      <c r="C14367" s="18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16">
        <v>2013</v>
      </c>
      <c r="C14368" s="18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16">
        <v>2013</v>
      </c>
      <c r="C14369" s="18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16">
        <v>2013</v>
      </c>
      <c r="C14370" s="18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16">
        <v>2013</v>
      </c>
      <c r="C14371" s="18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16">
        <v>2013</v>
      </c>
      <c r="C14372" s="18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16">
        <v>2013</v>
      </c>
      <c r="C14373" s="18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16">
        <v>2013</v>
      </c>
      <c r="C14374" s="18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16">
        <v>2013</v>
      </c>
      <c r="C14375" s="18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16">
        <v>2013</v>
      </c>
      <c r="C14376" s="18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16">
        <v>2013</v>
      </c>
      <c r="C14377" s="18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16">
        <v>2013</v>
      </c>
      <c r="C14378" s="18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16">
        <v>2013</v>
      </c>
      <c r="C14379" s="18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16">
        <v>2013</v>
      </c>
      <c r="C14380" s="18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16">
        <v>2013</v>
      </c>
      <c r="C14381" s="18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16">
        <v>2013</v>
      </c>
      <c r="C14382" s="18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16">
        <v>2013</v>
      </c>
      <c r="C14383" s="18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16">
        <v>2013</v>
      </c>
      <c r="C14384" s="18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16">
        <v>2013</v>
      </c>
      <c r="C14385" s="18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16">
        <v>2013</v>
      </c>
      <c r="C14386" s="18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16">
        <v>2013</v>
      </c>
      <c r="C14387" s="18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16">
        <v>2013</v>
      </c>
      <c r="C14388" s="18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16">
        <v>2013</v>
      </c>
      <c r="C14389" s="18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16">
        <v>2013</v>
      </c>
      <c r="C14390" s="18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16">
        <v>2013</v>
      </c>
      <c r="C14391" s="18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16">
        <v>2013</v>
      </c>
      <c r="C14392" s="18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16">
        <v>2013</v>
      </c>
      <c r="C14393" s="18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16">
        <v>2013</v>
      </c>
      <c r="C14394" s="18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16">
        <v>2013</v>
      </c>
      <c r="C14395" s="18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16">
        <v>2013</v>
      </c>
      <c r="C14396" s="18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16">
        <v>2013</v>
      </c>
      <c r="C14397" s="18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16">
        <v>2013</v>
      </c>
      <c r="C14398" s="18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16">
        <v>2013</v>
      </c>
      <c r="C14399" s="18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16">
        <v>2013</v>
      </c>
      <c r="C14400" s="18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16">
        <v>2013</v>
      </c>
      <c r="C14401" s="18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16">
        <v>2013</v>
      </c>
      <c r="C14402" s="18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16">
        <v>2013</v>
      </c>
      <c r="C14403" s="18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16">
        <v>2013</v>
      </c>
      <c r="C14404" s="18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16">
        <v>2013</v>
      </c>
      <c r="C14405" s="18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16">
        <v>2013</v>
      </c>
      <c r="C14406" s="18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16">
        <v>2013</v>
      </c>
      <c r="C14407" s="18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16">
        <v>2013</v>
      </c>
      <c r="C14408" s="18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16">
        <v>2013</v>
      </c>
      <c r="C14409" s="18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16">
        <v>2013</v>
      </c>
      <c r="C14410" s="18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16">
        <v>2013</v>
      </c>
      <c r="C14411" s="18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16">
        <v>2013</v>
      </c>
      <c r="C14412" s="18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16">
        <v>2013</v>
      </c>
      <c r="C14413" s="18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16">
        <v>2013</v>
      </c>
      <c r="C14414" s="18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16">
        <v>2013</v>
      </c>
      <c r="C14415" s="18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16">
        <v>2013</v>
      </c>
      <c r="C14416" s="18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16">
        <v>2013</v>
      </c>
      <c r="C14417" s="18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16">
        <v>2013</v>
      </c>
      <c r="C14418" s="18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16">
        <v>2013</v>
      </c>
      <c r="C14419" s="18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16">
        <v>2013</v>
      </c>
      <c r="C14420" s="18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16">
        <v>2013</v>
      </c>
      <c r="C14421" s="18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16">
        <v>2013</v>
      </c>
      <c r="C14422" s="18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16">
        <v>2013</v>
      </c>
      <c r="C14423" s="18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16">
        <v>2013</v>
      </c>
      <c r="C14424" s="18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16">
        <v>2013</v>
      </c>
      <c r="C14425" s="18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16">
        <v>2013</v>
      </c>
      <c r="C14426" s="18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16">
        <v>2013</v>
      </c>
      <c r="C14427" s="18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16">
        <v>2013</v>
      </c>
      <c r="C14428" s="18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16">
        <v>2013</v>
      </c>
      <c r="C14429" s="18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16">
        <v>2013</v>
      </c>
      <c r="C14430" s="18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16">
        <v>2013</v>
      </c>
      <c r="C14431" s="18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16">
        <v>2013</v>
      </c>
      <c r="C14432" s="18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16">
        <v>2013</v>
      </c>
      <c r="C14433" s="18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16">
        <v>2013</v>
      </c>
      <c r="C14434" s="18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16">
        <v>2013</v>
      </c>
      <c r="C14435" s="18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16">
        <v>2013</v>
      </c>
      <c r="C14436" s="18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16">
        <v>2013</v>
      </c>
      <c r="C14437" s="18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16">
        <v>2013</v>
      </c>
      <c r="C14438" s="18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16">
        <v>2013</v>
      </c>
      <c r="C14439" s="18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16">
        <v>2013</v>
      </c>
      <c r="C14440" s="18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16">
        <v>2013</v>
      </c>
      <c r="C14441" s="18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16">
        <v>2013</v>
      </c>
      <c r="C14442" s="18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16">
        <v>2013</v>
      </c>
      <c r="C14443" s="18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16">
        <v>2013</v>
      </c>
      <c r="C14444" s="18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16">
        <v>2013</v>
      </c>
      <c r="C14445" s="18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16">
        <v>2013</v>
      </c>
      <c r="C14446" s="18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16">
        <v>2013</v>
      </c>
      <c r="C14447" s="18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16">
        <v>2013</v>
      </c>
      <c r="C14448" s="18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16">
        <v>2013</v>
      </c>
      <c r="C14449" s="18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16">
        <v>2013</v>
      </c>
      <c r="C14450" s="18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16">
        <v>2013</v>
      </c>
      <c r="C14451" s="18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16">
        <v>2013</v>
      </c>
      <c r="C14452" s="18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16">
        <v>2013</v>
      </c>
      <c r="C14453" s="18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16">
        <v>2013</v>
      </c>
      <c r="C14454" s="18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16">
        <v>2013</v>
      </c>
      <c r="C14455" s="18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16">
        <v>2013</v>
      </c>
      <c r="C14456" s="18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16">
        <v>2013</v>
      </c>
      <c r="C14457" s="18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16">
        <v>2013</v>
      </c>
      <c r="C14458" s="18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16">
        <v>2013</v>
      </c>
      <c r="C14459" s="18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16">
        <v>2013</v>
      </c>
      <c r="C14460" s="18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16">
        <v>2013</v>
      </c>
      <c r="C14461" s="18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16">
        <v>2013</v>
      </c>
      <c r="C14462" s="18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16">
        <v>2013</v>
      </c>
      <c r="C14463" s="18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16">
        <v>2013</v>
      </c>
      <c r="C14464" s="18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16">
        <v>2013</v>
      </c>
      <c r="C14465" s="18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16">
        <v>2013</v>
      </c>
      <c r="C14466" s="18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16">
        <v>2013</v>
      </c>
      <c r="C14467" s="18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16">
        <v>2013</v>
      </c>
      <c r="C14468" s="18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16">
        <v>2013</v>
      </c>
      <c r="C14469" s="18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16">
        <v>2013</v>
      </c>
      <c r="C14470" s="18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16">
        <v>2013</v>
      </c>
      <c r="C14471" s="18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16">
        <v>2013</v>
      </c>
      <c r="C14472" s="18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16">
        <v>2013</v>
      </c>
      <c r="C14473" s="18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16">
        <v>2013</v>
      </c>
      <c r="C14474" s="18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16">
        <v>2013</v>
      </c>
      <c r="C14475" s="18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16">
        <v>2013</v>
      </c>
      <c r="C14476" s="18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16">
        <v>2013</v>
      </c>
      <c r="C14477" s="18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16">
        <v>2013</v>
      </c>
      <c r="C14478" s="18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16">
        <v>2013</v>
      </c>
      <c r="C14479" s="18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16">
        <v>2013</v>
      </c>
      <c r="C14480" s="18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16">
        <v>2013</v>
      </c>
      <c r="C14481" s="18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16">
        <v>2013</v>
      </c>
      <c r="C14482" s="18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16">
        <v>2013</v>
      </c>
      <c r="C14483" s="18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16">
        <v>2013</v>
      </c>
      <c r="C14484" s="18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16">
        <v>2013</v>
      </c>
      <c r="C14485" s="18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16">
        <v>2013</v>
      </c>
      <c r="C14486" s="18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16">
        <v>2013</v>
      </c>
      <c r="C14487" s="18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16">
        <v>2013</v>
      </c>
      <c r="C14488" s="18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16">
        <v>2013</v>
      </c>
      <c r="C14489" s="18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16">
        <v>2013</v>
      </c>
      <c r="C14490" s="18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16">
        <v>2013</v>
      </c>
      <c r="C14491" s="18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16">
        <v>2013</v>
      </c>
      <c r="C14492" s="18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16">
        <v>2013</v>
      </c>
      <c r="C14493" s="18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16">
        <v>2013</v>
      </c>
      <c r="C14494" s="18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16">
        <v>2013</v>
      </c>
      <c r="C14495" s="18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16">
        <v>2013</v>
      </c>
      <c r="C14496" s="18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16">
        <v>2013</v>
      </c>
      <c r="C14497" s="18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16">
        <v>2013</v>
      </c>
      <c r="C14498" s="18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16">
        <v>2013</v>
      </c>
      <c r="C14499" s="18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16">
        <v>2013</v>
      </c>
      <c r="C14500" s="18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16">
        <v>2013</v>
      </c>
      <c r="C14501" s="18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16">
        <v>2013</v>
      </c>
      <c r="C14502" s="18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16">
        <v>2013</v>
      </c>
      <c r="C14503" s="18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16">
        <v>2013</v>
      </c>
      <c r="C14504" s="18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16">
        <v>2013</v>
      </c>
      <c r="C14505" s="18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16">
        <v>2013</v>
      </c>
      <c r="C14506" s="18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16">
        <v>2013</v>
      </c>
      <c r="C14507" s="18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16">
        <v>2013</v>
      </c>
      <c r="C14508" s="18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16">
        <v>2013</v>
      </c>
      <c r="C14509" s="18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16">
        <v>2013</v>
      </c>
      <c r="C14510" s="18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16">
        <v>2013</v>
      </c>
      <c r="C14511" s="18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16">
        <v>2013</v>
      </c>
      <c r="C14512" s="18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16">
        <v>2013</v>
      </c>
      <c r="C14513" s="18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16">
        <v>2013</v>
      </c>
      <c r="C14514" s="18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16">
        <v>2013</v>
      </c>
      <c r="C14515" s="18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16">
        <v>2013</v>
      </c>
      <c r="C14516" s="18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16">
        <v>2013</v>
      </c>
      <c r="C14517" s="18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16">
        <v>2013</v>
      </c>
      <c r="C14518" s="18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16">
        <v>2013</v>
      </c>
      <c r="C14519" s="18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16">
        <v>2013</v>
      </c>
      <c r="C14520" s="18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16">
        <v>2013</v>
      </c>
      <c r="C14521" s="18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16">
        <v>2013</v>
      </c>
      <c r="C14522" s="18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16">
        <v>2013</v>
      </c>
      <c r="C14523" s="18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16">
        <v>2013</v>
      </c>
      <c r="C14524" s="18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16">
        <v>2013</v>
      </c>
      <c r="C14525" s="18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16">
        <v>2013</v>
      </c>
      <c r="C14526" s="18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16">
        <v>2013</v>
      </c>
      <c r="C14527" s="18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16">
        <v>2013</v>
      </c>
      <c r="C14528" s="18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16">
        <v>2013</v>
      </c>
      <c r="C14529" s="18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16">
        <v>2013</v>
      </c>
      <c r="C14530" s="18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16">
        <v>2013</v>
      </c>
      <c r="C14531" s="18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16">
        <v>2013</v>
      </c>
      <c r="C14532" s="18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16">
        <v>2013</v>
      </c>
      <c r="C14533" s="18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16">
        <v>2013</v>
      </c>
      <c r="C14534" s="18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16">
        <v>2013</v>
      </c>
      <c r="C14535" s="18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16">
        <v>2013</v>
      </c>
      <c r="C14536" s="18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16">
        <v>2013</v>
      </c>
      <c r="C14537" s="18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16">
        <v>2013</v>
      </c>
      <c r="C14538" s="18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16">
        <v>2013</v>
      </c>
      <c r="C14539" s="18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16">
        <v>2013</v>
      </c>
      <c r="C14540" s="18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16">
        <v>2013</v>
      </c>
      <c r="C14541" s="18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16">
        <v>2013</v>
      </c>
      <c r="C14542" s="18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16">
        <v>2013</v>
      </c>
      <c r="C14543" s="18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16">
        <v>2013</v>
      </c>
      <c r="C14544" s="18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16">
        <v>2013</v>
      </c>
      <c r="C14545" s="18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16">
        <v>2013</v>
      </c>
      <c r="C14546" s="18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16">
        <v>2013</v>
      </c>
      <c r="C14547" s="18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16">
        <v>2013</v>
      </c>
      <c r="C14548" s="18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16">
        <v>2013</v>
      </c>
      <c r="C14549" s="18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16">
        <v>2013</v>
      </c>
      <c r="C14550" s="18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16">
        <v>2013</v>
      </c>
      <c r="C14551" s="18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16">
        <v>2013</v>
      </c>
      <c r="C14552" s="18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16">
        <v>2013</v>
      </c>
      <c r="C14553" s="18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16">
        <v>2013</v>
      </c>
      <c r="C14554" s="18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16">
        <v>2013</v>
      </c>
      <c r="C14555" s="18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16">
        <v>2013</v>
      </c>
      <c r="C14556" s="18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16">
        <v>2013</v>
      </c>
      <c r="C14557" s="18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16">
        <v>2013</v>
      </c>
      <c r="C14558" s="18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16">
        <v>2013</v>
      </c>
      <c r="C14559" s="18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16">
        <v>2013</v>
      </c>
      <c r="C14560" s="18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16">
        <v>2013</v>
      </c>
      <c r="C14561" s="18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16">
        <v>2013</v>
      </c>
      <c r="C14562" s="18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16">
        <v>2013</v>
      </c>
      <c r="C14563" s="18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16">
        <v>2013</v>
      </c>
      <c r="C14564" s="18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16">
        <v>2013</v>
      </c>
      <c r="C14565" s="18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16">
        <v>2013</v>
      </c>
      <c r="C14566" s="18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16">
        <v>2013</v>
      </c>
      <c r="C14567" s="18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16">
        <v>2013</v>
      </c>
      <c r="C14568" s="18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16">
        <v>2013</v>
      </c>
      <c r="C14569" s="18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16">
        <v>2013</v>
      </c>
      <c r="C14570" s="18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16">
        <v>2013</v>
      </c>
      <c r="C14571" s="18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16">
        <v>2013</v>
      </c>
      <c r="C14572" s="18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16">
        <v>2013</v>
      </c>
      <c r="C14573" s="18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16">
        <v>2013</v>
      </c>
      <c r="C14574" s="18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16">
        <v>2013</v>
      </c>
      <c r="C14575" s="18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16">
        <v>2013</v>
      </c>
      <c r="C14576" s="18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16">
        <v>2013</v>
      </c>
      <c r="C14577" s="18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16">
        <v>2013</v>
      </c>
      <c r="C14578" s="18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16">
        <v>2013</v>
      </c>
      <c r="C14579" s="18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16">
        <v>2013</v>
      </c>
      <c r="C14580" s="18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16">
        <v>2013</v>
      </c>
      <c r="C14581" s="18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16">
        <v>2013</v>
      </c>
      <c r="C14582" s="18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16">
        <v>2013</v>
      </c>
      <c r="C14583" s="18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16">
        <v>2013</v>
      </c>
      <c r="C14584" s="18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16">
        <v>2013</v>
      </c>
      <c r="C14585" s="18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16">
        <v>2013</v>
      </c>
      <c r="C14586" s="18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16">
        <v>2013</v>
      </c>
      <c r="C14587" s="18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16">
        <v>2013</v>
      </c>
      <c r="C14588" s="18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16">
        <v>2013</v>
      </c>
      <c r="C14589" s="18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16">
        <v>2013</v>
      </c>
      <c r="C14590" s="18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16">
        <v>2013</v>
      </c>
      <c r="C14591" s="18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16">
        <v>2013</v>
      </c>
      <c r="C14592" s="18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16">
        <v>2013</v>
      </c>
      <c r="C14593" s="18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16">
        <v>2013</v>
      </c>
      <c r="C14594" s="18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16">
        <v>2013</v>
      </c>
      <c r="C14595" s="18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16">
        <v>2013</v>
      </c>
      <c r="C14596" s="18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16">
        <v>2013</v>
      </c>
      <c r="C14597" s="18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16">
        <v>2013</v>
      </c>
      <c r="C14598" s="18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16">
        <v>2013</v>
      </c>
      <c r="C14599" s="18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16">
        <v>2013</v>
      </c>
      <c r="C14600" s="18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16">
        <v>2013</v>
      </c>
      <c r="C14601" s="18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16">
        <v>2013</v>
      </c>
      <c r="C14602" s="18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16">
        <v>2013</v>
      </c>
      <c r="C14603" s="18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16">
        <v>2013</v>
      </c>
      <c r="C14604" s="18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16">
        <v>2013</v>
      </c>
      <c r="C14605" s="18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16">
        <v>2013</v>
      </c>
      <c r="C14606" s="18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16">
        <v>2013</v>
      </c>
      <c r="C14607" s="18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16">
        <v>2013</v>
      </c>
      <c r="C14608" s="18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16">
        <v>2013</v>
      </c>
      <c r="C14609" s="18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16">
        <v>2013</v>
      </c>
      <c r="C14610" s="18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16">
        <v>2013</v>
      </c>
      <c r="C14611" s="18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16">
        <v>2013</v>
      </c>
      <c r="C14612" s="18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16">
        <v>2013</v>
      </c>
      <c r="C14613" s="18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16">
        <v>2013</v>
      </c>
      <c r="C14614" s="18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16">
        <v>2013</v>
      </c>
      <c r="C14615" s="18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16">
        <v>2013</v>
      </c>
      <c r="C14616" s="18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16">
        <v>2013</v>
      </c>
      <c r="C14617" s="18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16">
        <v>2013</v>
      </c>
      <c r="C14618" s="18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16">
        <v>2013</v>
      </c>
      <c r="C14619" s="18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16">
        <v>2013</v>
      </c>
      <c r="C14620" s="18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16">
        <v>2013</v>
      </c>
      <c r="C14621" s="18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16">
        <v>2013</v>
      </c>
      <c r="C14622" s="18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16">
        <v>2013</v>
      </c>
      <c r="C14623" s="18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16">
        <v>2013</v>
      </c>
      <c r="C14624" s="18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16">
        <v>2013</v>
      </c>
      <c r="C14625" s="18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16">
        <v>2013</v>
      </c>
      <c r="C14626" s="18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16">
        <v>2013</v>
      </c>
      <c r="C14627" s="18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16">
        <v>2013</v>
      </c>
      <c r="C14628" s="18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16">
        <v>2013</v>
      </c>
      <c r="C14629" s="18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16">
        <v>2013</v>
      </c>
      <c r="C14630" s="18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16">
        <v>2013</v>
      </c>
      <c r="C14631" s="18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16">
        <v>2013</v>
      </c>
      <c r="C14632" s="18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16">
        <v>2013</v>
      </c>
      <c r="C14633" s="18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16">
        <v>2013</v>
      </c>
      <c r="C14634" s="18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16">
        <v>2013</v>
      </c>
      <c r="C14635" s="18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16">
        <v>2013</v>
      </c>
      <c r="C14636" s="18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16">
        <v>2013</v>
      </c>
      <c r="C14637" s="18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16">
        <v>2013</v>
      </c>
      <c r="C14638" s="18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16">
        <v>2013</v>
      </c>
      <c r="C14639" s="18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16">
        <v>2013</v>
      </c>
      <c r="C14640" s="18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16">
        <v>2013</v>
      </c>
      <c r="C14641" s="18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16">
        <v>2013</v>
      </c>
      <c r="C14642" s="18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16">
        <v>2013</v>
      </c>
      <c r="C14643" s="18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16">
        <v>2013</v>
      </c>
      <c r="C14644" s="18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16">
        <v>2013</v>
      </c>
      <c r="C14645" s="18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16">
        <v>2013</v>
      </c>
      <c r="C14646" s="18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16">
        <v>2013</v>
      </c>
      <c r="C14647" s="18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16">
        <v>2013</v>
      </c>
      <c r="C14648" s="18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16">
        <v>2013</v>
      </c>
      <c r="C14649" s="18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16">
        <v>2013</v>
      </c>
      <c r="C14650" s="18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16">
        <v>2013</v>
      </c>
      <c r="C14651" s="18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16">
        <v>2013</v>
      </c>
      <c r="C14652" s="18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16">
        <v>2013</v>
      </c>
      <c r="C14653" s="18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16">
        <v>2013</v>
      </c>
      <c r="C14654" s="18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16">
        <v>2013</v>
      </c>
      <c r="C14655" s="18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16">
        <v>2013</v>
      </c>
      <c r="C14656" s="18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16">
        <v>2013</v>
      </c>
      <c r="C14657" s="18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16">
        <v>2013</v>
      </c>
      <c r="C14658" s="18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16">
        <v>2013</v>
      </c>
      <c r="C14659" s="18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16">
        <v>2013</v>
      </c>
      <c r="C14660" s="18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16">
        <v>2013</v>
      </c>
      <c r="C14661" s="18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16">
        <v>2013</v>
      </c>
      <c r="C14662" s="18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16">
        <v>2013</v>
      </c>
      <c r="C14663" s="18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16">
        <v>2013</v>
      </c>
      <c r="C14664" s="18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16">
        <v>2013</v>
      </c>
      <c r="C14665" s="18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16">
        <v>2013</v>
      </c>
      <c r="C14666" s="18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16">
        <v>2013</v>
      </c>
      <c r="C14667" s="18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16">
        <v>2013</v>
      </c>
      <c r="C14668" s="18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16">
        <v>2013</v>
      </c>
      <c r="C14669" s="18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16">
        <v>2013</v>
      </c>
      <c r="C14670" s="18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16">
        <v>2013</v>
      </c>
      <c r="C14671" s="18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16">
        <v>2013</v>
      </c>
      <c r="C14672" s="18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16">
        <v>2013</v>
      </c>
      <c r="C14673" s="18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16">
        <v>2013</v>
      </c>
      <c r="C14674" s="18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16">
        <v>2013</v>
      </c>
      <c r="C14675" s="18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16">
        <v>2013</v>
      </c>
      <c r="C14676" s="18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16">
        <v>2013</v>
      </c>
      <c r="C14677" s="18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16">
        <v>2013</v>
      </c>
      <c r="C14678" s="18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16">
        <v>2013</v>
      </c>
      <c r="C14679" s="18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16">
        <v>2013</v>
      </c>
      <c r="C14680" s="18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16">
        <v>2013</v>
      </c>
      <c r="C14681" s="18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16">
        <v>2013</v>
      </c>
      <c r="C14682" s="18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16">
        <v>2013</v>
      </c>
      <c r="C14683" s="18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16">
        <v>2013</v>
      </c>
      <c r="C14684" s="18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16">
        <v>2013</v>
      </c>
      <c r="C14685" s="18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16">
        <v>2013</v>
      </c>
      <c r="C14686" s="18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16">
        <v>2013</v>
      </c>
      <c r="C14687" s="18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16">
        <v>2013</v>
      </c>
      <c r="C14688" s="18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16">
        <v>2013</v>
      </c>
      <c r="C14689" s="18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16">
        <v>2013</v>
      </c>
      <c r="C14690" s="18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16">
        <v>2013</v>
      </c>
      <c r="C14691" s="18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16">
        <v>2013</v>
      </c>
      <c r="C14692" s="18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16">
        <v>2013</v>
      </c>
      <c r="C14693" s="18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16">
        <v>2013</v>
      </c>
      <c r="C14694" s="18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16">
        <v>2013</v>
      </c>
      <c r="C14695" s="18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16">
        <v>2013</v>
      </c>
      <c r="C14696" s="18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16">
        <v>2013</v>
      </c>
      <c r="C14697" s="18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16">
        <v>2013</v>
      </c>
      <c r="C14698" s="18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16">
        <v>2013</v>
      </c>
      <c r="C14699" s="18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16">
        <v>2013</v>
      </c>
      <c r="C14700" s="18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16">
        <v>2013</v>
      </c>
      <c r="C14701" s="18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16">
        <v>2013</v>
      </c>
      <c r="C14702" s="18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16">
        <v>2013</v>
      </c>
      <c r="C14703" s="18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16">
        <v>2013</v>
      </c>
      <c r="C14704" s="18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16">
        <v>2013</v>
      </c>
      <c r="C14705" s="18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16">
        <v>2013</v>
      </c>
      <c r="C14706" s="18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16">
        <v>2013</v>
      </c>
      <c r="C14707" s="18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16">
        <v>2013</v>
      </c>
      <c r="C14708" s="18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16">
        <v>2013</v>
      </c>
      <c r="C14709" s="18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16">
        <v>2013</v>
      </c>
      <c r="C14710" s="18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16">
        <v>2013</v>
      </c>
      <c r="C14711" s="18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16">
        <v>2013</v>
      </c>
      <c r="C14712" s="18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16">
        <v>2013</v>
      </c>
      <c r="C14713" s="18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16">
        <v>2013</v>
      </c>
      <c r="C14714" s="18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16">
        <v>2013</v>
      </c>
      <c r="C14715" s="18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16">
        <v>2013</v>
      </c>
      <c r="C14716" s="18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16">
        <v>2013</v>
      </c>
      <c r="C14717" s="18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16">
        <v>2013</v>
      </c>
      <c r="C14718" s="18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16">
        <v>2013</v>
      </c>
      <c r="C14719" s="18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16">
        <v>2013</v>
      </c>
      <c r="C14720" s="18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16">
        <v>2013</v>
      </c>
      <c r="C14721" s="18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16">
        <v>2013</v>
      </c>
      <c r="C14722" s="18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16">
        <v>2013</v>
      </c>
      <c r="C14723" s="18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16">
        <v>2013</v>
      </c>
      <c r="C14724" s="18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16">
        <v>2013</v>
      </c>
      <c r="C14725" s="18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16">
        <v>2013</v>
      </c>
      <c r="C14726" s="18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16">
        <v>2013</v>
      </c>
      <c r="C14727" s="18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16">
        <v>2013</v>
      </c>
      <c r="C14728" s="18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16">
        <v>2013</v>
      </c>
      <c r="C14729" s="18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16">
        <v>2013</v>
      </c>
      <c r="C14730" s="18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16">
        <v>2013</v>
      </c>
      <c r="C14731" s="18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16">
        <v>2013</v>
      </c>
      <c r="C14732" s="18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16">
        <v>2013</v>
      </c>
      <c r="C14733" s="18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16">
        <v>2013</v>
      </c>
      <c r="C14734" s="18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16">
        <v>2013</v>
      </c>
      <c r="C14735" s="18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16">
        <v>2013</v>
      </c>
      <c r="C14736" s="18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16">
        <v>2013</v>
      </c>
      <c r="C14737" s="18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16">
        <v>2013</v>
      </c>
      <c r="C14738" s="18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16">
        <v>2013</v>
      </c>
      <c r="C14739" s="18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16">
        <v>2013</v>
      </c>
      <c r="C14740" s="18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16">
        <v>2013</v>
      </c>
      <c r="C14741" s="18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16">
        <v>2013</v>
      </c>
      <c r="C14742" s="18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16">
        <v>2013</v>
      </c>
      <c r="C14743" s="18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16">
        <v>2013</v>
      </c>
      <c r="C14744" s="18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16">
        <v>2013</v>
      </c>
      <c r="C14745" s="18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16">
        <v>2013</v>
      </c>
      <c r="C14746" s="18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16">
        <v>2013</v>
      </c>
      <c r="C14747" s="18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16">
        <v>2013</v>
      </c>
      <c r="C14748" s="18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16">
        <v>2013</v>
      </c>
      <c r="C14749" s="18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16">
        <v>2013</v>
      </c>
      <c r="C14750" s="18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16">
        <v>2013</v>
      </c>
      <c r="C14751" s="18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16">
        <v>2013</v>
      </c>
      <c r="C14752" s="18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16">
        <v>2013</v>
      </c>
      <c r="C14753" s="18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16">
        <v>2013</v>
      </c>
      <c r="C14754" s="18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16">
        <v>2013</v>
      </c>
      <c r="C14755" s="18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16">
        <v>2013</v>
      </c>
      <c r="C14756" s="18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16">
        <v>2013</v>
      </c>
      <c r="C14757" s="18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16">
        <v>2013</v>
      </c>
      <c r="C14758" s="18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16">
        <v>2013</v>
      </c>
      <c r="C14759" s="18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16">
        <v>2013</v>
      </c>
      <c r="C14760" s="18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16">
        <v>2013</v>
      </c>
      <c r="C14761" s="18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16">
        <v>2013</v>
      </c>
      <c r="C14762" s="18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16">
        <v>2013</v>
      </c>
      <c r="C14763" s="18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16">
        <v>2013</v>
      </c>
      <c r="C14764" s="18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16">
        <v>2013</v>
      </c>
      <c r="C14765" s="18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16">
        <v>2013</v>
      </c>
      <c r="C14766" s="18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16">
        <v>2013</v>
      </c>
      <c r="C14767" s="18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16">
        <v>2013</v>
      </c>
      <c r="C14768" s="18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16">
        <v>2013</v>
      </c>
      <c r="C14769" s="18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16">
        <v>2013</v>
      </c>
      <c r="C14770" s="18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16">
        <v>2013</v>
      </c>
      <c r="C14771" s="18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16">
        <v>2013</v>
      </c>
      <c r="C14772" s="18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16">
        <v>2013</v>
      </c>
      <c r="C14773" s="18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16">
        <v>2013</v>
      </c>
      <c r="C14774" s="18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16">
        <v>2013</v>
      </c>
      <c r="C14775" s="18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16">
        <v>2013</v>
      </c>
      <c r="C14776" s="18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16">
        <v>2013</v>
      </c>
      <c r="C14777" s="18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16">
        <v>2013</v>
      </c>
      <c r="C14778" s="18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16">
        <v>2013</v>
      </c>
      <c r="C14779" s="18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16">
        <v>2013</v>
      </c>
      <c r="C14780" s="18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16">
        <v>2013</v>
      </c>
      <c r="C14781" s="18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16">
        <v>2013</v>
      </c>
      <c r="C14782" s="18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16">
        <v>2013</v>
      </c>
      <c r="C14783" s="18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16">
        <v>2013</v>
      </c>
      <c r="C14784" s="18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16">
        <v>2013</v>
      </c>
      <c r="C14785" s="18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16">
        <v>2013</v>
      </c>
      <c r="C14786" s="18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16">
        <v>2013</v>
      </c>
      <c r="C14787" s="18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16">
        <v>2013</v>
      </c>
      <c r="C14788" s="18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16">
        <v>2013</v>
      </c>
      <c r="C14789" s="18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16">
        <v>2013</v>
      </c>
      <c r="C14790" s="18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16">
        <v>2013</v>
      </c>
      <c r="C14791" s="18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16">
        <v>2013</v>
      </c>
      <c r="C14792" s="18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16">
        <v>2013</v>
      </c>
      <c r="C14793" s="18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16">
        <v>2013</v>
      </c>
      <c r="C14794" s="18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16">
        <v>2013</v>
      </c>
      <c r="C14795" s="18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16">
        <v>2013</v>
      </c>
      <c r="C14796" s="18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16">
        <v>2013</v>
      </c>
      <c r="C14797" s="18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16">
        <v>2013</v>
      </c>
      <c r="C14798" s="18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16">
        <v>2013</v>
      </c>
      <c r="C14799" s="18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16">
        <v>2013</v>
      </c>
      <c r="C14800" s="18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16">
        <v>2013</v>
      </c>
      <c r="C14801" s="18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16">
        <v>2013</v>
      </c>
      <c r="C14802" s="18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16">
        <v>2013</v>
      </c>
      <c r="C14803" s="18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16">
        <v>2013</v>
      </c>
      <c r="C14804" s="18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16">
        <v>2013</v>
      </c>
      <c r="C14805" s="18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16">
        <v>2013</v>
      </c>
      <c r="C14806" s="18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16">
        <v>2013</v>
      </c>
      <c r="C14807" s="18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16">
        <v>2013</v>
      </c>
      <c r="C14808" s="18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16">
        <v>2013</v>
      </c>
      <c r="C14809" s="18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16">
        <v>2013</v>
      </c>
      <c r="C14810" s="18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16">
        <v>2013</v>
      </c>
      <c r="C14811" s="18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16">
        <v>2013</v>
      </c>
      <c r="C14812" s="18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16">
        <v>2013</v>
      </c>
      <c r="C14813" s="18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16">
        <v>2013</v>
      </c>
      <c r="C14814" s="18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16">
        <v>2013</v>
      </c>
      <c r="C14815" s="18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16">
        <v>2013</v>
      </c>
      <c r="C14816" s="18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16">
        <v>2013</v>
      </c>
      <c r="C14817" s="18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16">
        <v>2013</v>
      </c>
      <c r="C14818" s="18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16">
        <v>2013</v>
      </c>
      <c r="C14819" s="18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16">
        <v>2013</v>
      </c>
      <c r="C14820" s="18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16">
        <v>2013</v>
      </c>
      <c r="C14821" s="18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16">
        <v>2013</v>
      </c>
      <c r="C14822" s="18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16">
        <v>2013</v>
      </c>
      <c r="C14823" s="18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16">
        <v>2013</v>
      </c>
      <c r="C14824" s="18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16">
        <v>2013</v>
      </c>
      <c r="C14825" s="18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16">
        <v>2013</v>
      </c>
      <c r="C14826" s="18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16">
        <v>2013</v>
      </c>
      <c r="C14827" s="18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16">
        <v>2013</v>
      </c>
      <c r="C14828" s="18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16">
        <v>2013</v>
      </c>
      <c r="C14829" s="18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16">
        <v>2013</v>
      </c>
      <c r="C14830" s="18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16">
        <v>2013</v>
      </c>
      <c r="C14831" s="18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16">
        <v>2013</v>
      </c>
      <c r="C14832" s="18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16">
        <v>2013</v>
      </c>
      <c r="C14833" s="18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16">
        <v>2013</v>
      </c>
      <c r="C14834" s="18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16">
        <v>2013</v>
      </c>
      <c r="C14835" s="18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16">
        <v>2013</v>
      </c>
      <c r="C14836" s="18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16">
        <v>2013</v>
      </c>
      <c r="C14837" s="18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16">
        <v>2013</v>
      </c>
      <c r="C14838" s="18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16">
        <v>2013</v>
      </c>
      <c r="C14839" s="18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16">
        <v>2013</v>
      </c>
      <c r="C14840" s="18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16">
        <v>2013</v>
      </c>
      <c r="C14841" s="18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16">
        <v>2013</v>
      </c>
      <c r="C14842" s="18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16">
        <v>2013</v>
      </c>
      <c r="C14843" s="18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16">
        <v>2013</v>
      </c>
      <c r="C14844" s="18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16">
        <v>2013</v>
      </c>
      <c r="C14845" s="18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16">
        <v>2013</v>
      </c>
      <c r="C14846" s="18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16">
        <v>2013</v>
      </c>
      <c r="C14847" s="18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16">
        <v>2013</v>
      </c>
      <c r="C14848" s="18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16">
        <v>2013</v>
      </c>
      <c r="C14849" s="18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16">
        <v>2013</v>
      </c>
      <c r="C14850" s="18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16">
        <v>2013</v>
      </c>
      <c r="C14851" s="18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16">
        <v>2013</v>
      </c>
      <c r="C14852" s="18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16">
        <v>2013</v>
      </c>
      <c r="C14853" s="18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16">
        <v>2013</v>
      </c>
      <c r="C14854" s="18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16">
        <v>2013</v>
      </c>
      <c r="C14855" s="18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16">
        <v>2013</v>
      </c>
      <c r="C14856" s="18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16">
        <v>2013</v>
      </c>
      <c r="C14857" s="18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16">
        <v>2013</v>
      </c>
      <c r="C14858" s="18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16">
        <v>2013</v>
      </c>
      <c r="C14859" s="18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16">
        <v>2013</v>
      </c>
      <c r="C14860" s="18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16">
        <v>2013</v>
      </c>
      <c r="C14861" s="18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16">
        <v>2013</v>
      </c>
      <c r="C14862" s="18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16">
        <v>2013</v>
      </c>
      <c r="C14863" s="18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16">
        <v>2013</v>
      </c>
      <c r="C14864" s="18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16">
        <v>2013</v>
      </c>
      <c r="C14865" s="18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16">
        <v>2013</v>
      </c>
      <c r="C14866" s="18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16">
        <v>2013</v>
      </c>
      <c r="C14867" s="18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16">
        <v>2013</v>
      </c>
      <c r="C14868" s="18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16">
        <v>2013</v>
      </c>
      <c r="C14869" s="18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16">
        <v>2013</v>
      </c>
      <c r="C14870" s="18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16">
        <v>2013</v>
      </c>
      <c r="C14871" s="18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16">
        <v>2013</v>
      </c>
      <c r="C14872" s="18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16">
        <v>2013</v>
      </c>
      <c r="C14873" s="18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16">
        <v>2013</v>
      </c>
      <c r="C14874" s="18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16">
        <v>2013</v>
      </c>
      <c r="C14875" s="18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16">
        <v>2013</v>
      </c>
      <c r="C14876" s="18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16">
        <v>2013</v>
      </c>
      <c r="C14877" s="18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16">
        <v>2013</v>
      </c>
      <c r="C14878" s="18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16">
        <v>2013</v>
      </c>
      <c r="C14879" s="18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16">
        <v>2013</v>
      </c>
      <c r="C14880" s="18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16">
        <v>2013</v>
      </c>
      <c r="C14881" s="18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16">
        <v>2013</v>
      </c>
      <c r="C14882" s="18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16">
        <v>2013</v>
      </c>
      <c r="C14883" s="18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16">
        <v>2013</v>
      </c>
      <c r="C14884" s="18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16">
        <v>2013</v>
      </c>
      <c r="C14885" s="18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16">
        <v>2013</v>
      </c>
      <c r="C14886" s="18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16">
        <v>2013</v>
      </c>
      <c r="C14887" s="18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16">
        <v>2013</v>
      </c>
      <c r="C14888" s="18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16">
        <v>2013</v>
      </c>
      <c r="C14889" s="18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16">
        <v>2013</v>
      </c>
      <c r="C14890" s="18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16">
        <v>2013</v>
      </c>
      <c r="C14891" s="18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16">
        <v>2013</v>
      </c>
      <c r="C14892" s="18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16">
        <v>2013</v>
      </c>
      <c r="C14893" s="18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16">
        <v>2013</v>
      </c>
      <c r="C14894" s="18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16">
        <v>2013</v>
      </c>
      <c r="C14895" s="18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16">
        <v>2013</v>
      </c>
      <c r="C14896" s="18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16">
        <v>2013</v>
      </c>
      <c r="C14897" s="18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16">
        <v>2013</v>
      </c>
      <c r="C14898" s="18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16">
        <v>2013</v>
      </c>
      <c r="C14899" s="18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16">
        <v>2013</v>
      </c>
      <c r="C14900" s="18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16">
        <v>2013</v>
      </c>
      <c r="C14901" s="18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16">
        <v>2013</v>
      </c>
      <c r="C14902" s="18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16">
        <v>2013</v>
      </c>
      <c r="C14903" s="18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16">
        <v>2013</v>
      </c>
      <c r="C14904" s="18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16">
        <v>2013</v>
      </c>
      <c r="C14905" s="18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16">
        <v>2013</v>
      </c>
      <c r="C14906" s="18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16">
        <v>2013</v>
      </c>
      <c r="C14907" s="18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16">
        <v>2013</v>
      </c>
      <c r="C14908" s="18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16">
        <v>2013</v>
      </c>
      <c r="C14909" s="18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16">
        <v>2013</v>
      </c>
      <c r="C14910" s="18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16">
        <v>2013</v>
      </c>
      <c r="C14911" s="18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16">
        <v>2013</v>
      </c>
      <c r="C14912" s="18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16">
        <v>2013</v>
      </c>
      <c r="C14913" s="18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16">
        <v>2013</v>
      </c>
      <c r="C14914" s="18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16">
        <v>2013</v>
      </c>
      <c r="C14915" s="18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16">
        <v>2013</v>
      </c>
      <c r="C14916" s="18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16">
        <v>2013</v>
      </c>
      <c r="C14917" s="18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16">
        <v>2013</v>
      </c>
      <c r="C14918" s="18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16">
        <v>2013</v>
      </c>
      <c r="C14919" s="18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16">
        <v>2013</v>
      </c>
      <c r="C14920" s="18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16">
        <v>2013</v>
      </c>
      <c r="C14921" s="18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16">
        <v>2013</v>
      </c>
      <c r="C14922" s="18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16">
        <v>2013</v>
      </c>
      <c r="C14923" s="18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16">
        <v>2013</v>
      </c>
      <c r="C14924" s="18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16">
        <v>2013</v>
      </c>
      <c r="C14925" s="18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16">
        <v>2013</v>
      </c>
      <c r="C14926" s="18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16">
        <v>2013</v>
      </c>
      <c r="C14927" s="18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16">
        <v>2013</v>
      </c>
      <c r="C14928" s="18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16">
        <v>2013</v>
      </c>
      <c r="C14929" s="18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16">
        <v>2013</v>
      </c>
      <c r="C14930" s="18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16">
        <v>2013</v>
      </c>
      <c r="C14931" s="18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16">
        <v>2013</v>
      </c>
      <c r="C14932" s="18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16">
        <v>2013</v>
      </c>
      <c r="C14933" s="18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16">
        <v>2013</v>
      </c>
      <c r="C14934" s="18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16">
        <v>2013</v>
      </c>
      <c r="C14935" s="18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16">
        <v>2013</v>
      </c>
      <c r="C14936" s="18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16">
        <v>2013</v>
      </c>
      <c r="C14937" s="18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16">
        <v>2013</v>
      </c>
      <c r="C14938" s="18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16">
        <v>2013</v>
      </c>
      <c r="C14939" s="18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16">
        <v>2013</v>
      </c>
      <c r="C14940" s="18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16">
        <v>2013</v>
      </c>
      <c r="C14941" s="18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16">
        <v>2013</v>
      </c>
      <c r="C14942" s="18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16">
        <v>2013</v>
      </c>
      <c r="C14943" s="18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16">
        <v>2013</v>
      </c>
      <c r="C14944" s="18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16">
        <v>2013</v>
      </c>
      <c r="C14945" s="18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16">
        <v>2013</v>
      </c>
      <c r="C14946" s="18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16">
        <v>2013</v>
      </c>
      <c r="C14947" s="18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16">
        <v>2013</v>
      </c>
      <c r="C14948" s="18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16">
        <v>2013</v>
      </c>
      <c r="C14949" s="18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16">
        <v>2013</v>
      </c>
      <c r="C14950" s="18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16">
        <v>2013</v>
      </c>
      <c r="C14951" s="18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16">
        <v>2013</v>
      </c>
      <c r="C14952" s="18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16">
        <v>2013</v>
      </c>
      <c r="C14953" s="18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16">
        <v>2013</v>
      </c>
      <c r="C14954" s="18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16">
        <v>2013</v>
      </c>
      <c r="C14955" s="18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16">
        <v>2013</v>
      </c>
      <c r="C14956" s="18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16">
        <v>2013</v>
      </c>
      <c r="C14957" s="18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16">
        <v>2013</v>
      </c>
      <c r="C14958" s="18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16">
        <v>2013</v>
      </c>
      <c r="C14959" s="18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16">
        <v>2013</v>
      </c>
      <c r="C14960" s="18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16">
        <v>2013</v>
      </c>
      <c r="C14961" s="18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16">
        <v>2013</v>
      </c>
      <c r="C14962" s="18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16">
        <v>2013</v>
      </c>
      <c r="C14963" s="18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16">
        <v>2013</v>
      </c>
      <c r="C14964" s="18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16">
        <v>2013</v>
      </c>
      <c r="C14965" s="18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16">
        <v>2013</v>
      </c>
      <c r="C14966" s="18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16">
        <v>2013</v>
      </c>
      <c r="C14967" s="18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16">
        <v>2013</v>
      </c>
      <c r="C14968" s="18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16">
        <v>2013</v>
      </c>
      <c r="C14969" s="18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16">
        <v>2013</v>
      </c>
      <c r="C14970" s="18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16">
        <v>2013</v>
      </c>
      <c r="C14971" s="18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16">
        <v>2013</v>
      </c>
      <c r="C14972" s="18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16">
        <v>2013</v>
      </c>
      <c r="C14973" s="18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16">
        <v>2013</v>
      </c>
      <c r="C14974" s="18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16">
        <v>2013</v>
      </c>
      <c r="C14975" s="18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16">
        <v>2013</v>
      </c>
      <c r="C14976" s="18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16">
        <v>2013</v>
      </c>
      <c r="C14977" s="18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16">
        <v>2013</v>
      </c>
      <c r="C14978" s="18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16">
        <v>2013</v>
      </c>
      <c r="C14979" s="18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16">
        <v>2013</v>
      </c>
      <c r="C14980" s="18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16">
        <v>2013</v>
      </c>
      <c r="C14981" s="18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16">
        <v>2013</v>
      </c>
      <c r="C14982" s="18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16">
        <v>2013</v>
      </c>
      <c r="C14983" s="18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16">
        <v>2013</v>
      </c>
      <c r="C14984" s="18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16">
        <v>2013</v>
      </c>
      <c r="C14985" s="18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16">
        <v>2013</v>
      </c>
      <c r="C14986" s="18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16">
        <v>2013</v>
      </c>
      <c r="C14987" s="18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16">
        <v>2013</v>
      </c>
      <c r="C14988" s="18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16">
        <v>2013</v>
      </c>
      <c r="C14989" s="18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16">
        <v>2013</v>
      </c>
      <c r="C14990" s="18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16">
        <v>2013</v>
      </c>
      <c r="C14991" s="18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16">
        <v>2013</v>
      </c>
      <c r="C14992" s="18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16">
        <v>2013</v>
      </c>
      <c r="C14993" s="18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16">
        <v>2013</v>
      </c>
      <c r="C14994" s="18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16">
        <v>2013</v>
      </c>
      <c r="C14995" s="18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16">
        <v>2013</v>
      </c>
      <c r="C14996" s="18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16">
        <v>2013</v>
      </c>
      <c r="C14997" s="18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16">
        <v>2013</v>
      </c>
      <c r="C14998" s="18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16">
        <v>2013</v>
      </c>
      <c r="C14999" s="18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16">
        <v>2013</v>
      </c>
      <c r="C15000" s="18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16">
        <v>2013</v>
      </c>
      <c r="C15001" s="18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16">
        <v>2013</v>
      </c>
      <c r="C15002" s="18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16">
        <v>2013</v>
      </c>
      <c r="C15003" s="18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16">
        <v>2013</v>
      </c>
      <c r="C15004" s="18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16">
        <v>2013</v>
      </c>
      <c r="C15005" s="18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16">
        <v>2013</v>
      </c>
      <c r="C15006" s="18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16">
        <v>2013</v>
      </c>
      <c r="C15007" s="18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16">
        <v>2013</v>
      </c>
      <c r="C15008" s="18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16">
        <v>2013</v>
      </c>
      <c r="C15009" s="18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16">
        <v>2013</v>
      </c>
      <c r="C15010" s="18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16">
        <v>2013</v>
      </c>
      <c r="C15011" s="18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16">
        <v>2013</v>
      </c>
      <c r="C15012" s="18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16">
        <v>2013</v>
      </c>
      <c r="C15013" s="18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16">
        <v>2013</v>
      </c>
      <c r="C15014" s="18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16">
        <v>2013</v>
      </c>
      <c r="C15015" s="18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16">
        <v>2013</v>
      </c>
      <c r="C15016" s="18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16">
        <v>2013</v>
      </c>
      <c r="C15017" s="18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16">
        <v>2013</v>
      </c>
      <c r="C15018" s="18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16">
        <v>2013</v>
      </c>
      <c r="C15019" s="18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16">
        <v>2013</v>
      </c>
      <c r="C15020" s="18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16">
        <v>2013</v>
      </c>
      <c r="C15021" s="18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16">
        <v>2013</v>
      </c>
      <c r="C15022" s="18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16">
        <v>2013</v>
      </c>
      <c r="C15023" s="18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16">
        <v>2013</v>
      </c>
      <c r="C15024" s="18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16">
        <v>2013</v>
      </c>
      <c r="C15025" s="18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16">
        <v>2013</v>
      </c>
      <c r="C15026" s="18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16">
        <v>2013</v>
      </c>
      <c r="C15027" s="18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16">
        <v>2013</v>
      </c>
      <c r="C15028" s="18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16">
        <v>2013</v>
      </c>
      <c r="C15029" s="18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16">
        <v>2013</v>
      </c>
      <c r="C15030" s="18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16">
        <v>2013</v>
      </c>
      <c r="C15031" s="18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16">
        <v>2013</v>
      </c>
      <c r="C15032" s="18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16">
        <v>2013</v>
      </c>
      <c r="C15033" s="18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16">
        <v>2013</v>
      </c>
      <c r="C15034" s="18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16">
        <v>2013</v>
      </c>
      <c r="C15035" s="18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16">
        <v>2013</v>
      </c>
      <c r="C15036" s="18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16">
        <v>2013</v>
      </c>
      <c r="C15037" s="18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16">
        <v>2013</v>
      </c>
      <c r="C15038" s="18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16">
        <v>2013</v>
      </c>
      <c r="C15039" s="18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16">
        <v>2013</v>
      </c>
      <c r="C15040" s="18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16">
        <v>2013</v>
      </c>
      <c r="C15041" s="18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16">
        <v>2013</v>
      </c>
      <c r="C15042" s="18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16">
        <v>2013</v>
      </c>
      <c r="C15043" s="18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16">
        <v>2013</v>
      </c>
      <c r="C15044" s="18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16">
        <v>2013</v>
      </c>
      <c r="C15045" s="18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16">
        <v>2013</v>
      </c>
      <c r="C15046" s="18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16">
        <v>2013</v>
      </c>
      <c r="C15047" s="18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16">
        <v>2013</v>
      </c>
      <c r="C15048" s="18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16">
        <v>2013</v>
      </c>
      <c r="C15049" s="18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16">
        <v>2013</v>
      </c>
      <c r="C15050" s="18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16">
        <v>2013</v>
      </c>
      <c r="C15051" s="18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16">
        <v>2013</v>
      </c>
      <c r="C15052" s="18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16">
        <v>2013</v>
      </c>
      <c r="C15053" s="18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16">
        <v>2013</v>
      </c>
      <c r="C15054" s="18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16">
        <v>2013</v>
      </c>
      <c r="C15055" s="18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16">
        <v>2013</v>
      </c>
      <c r="C15056" s="18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16">
        <v>2013</v>
      </c>
      <c r="C15057" s="18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16">
        <v>2013</v>
      </c>
      <c r="C15058" s="18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16">
        <v>2013</v>
      </c>
      <c r="C15059" s="18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16">
        <v>2013</v>
      </c>
      <c r="C15060" s="18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16">
        <v>2013</v>
      </c>
      <c r="C15061" s="18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16">
        <v>2013</v>
      </c>
      <c r="C15062" s="18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16">
        <v>2013</v>
      </c>
      <c r="C15063" s="18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16">
        <v>2013</v>
      </c>
      <c r="C15064" s="18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16">
        <v>2013</v>
      </c>
      <c r="C15065" s="18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16">
        <v>2013</v>
      </c>
      <c r="C15066" s="18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16">
        <v>2013</v>
      </c>
      <c r="C15067" s="18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16">
        <v>2013</v>
      </c>
      <c r="C15068" s="18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16">
        <v>2013</v>
      </c>
      <c r="C15069" s="18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16">
        <v>2013</v>
      </c>
      <c r="C15070" s="18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16">
        <v>2013</v>
      </c>
      <c r="C15071" s="18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16">
        <v>2013</v>
      </c>
      <c r="C15072" s="18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16">
        <v>2013</v>
      </c>
      <c r="C15073" s="18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16">
        <v>2013</v>
      </c>
      <c r="C15074" s="18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16">
        <v>2013</v>
      </c>
      <c r="C15075" s="18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16">
        <v>2013</v>
      </c>
      <c r="C15076" s="18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16">
        <v>2013</v>
      </c>
      <c r="C15077" s="18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16">
        <v>2013</v>
      </c>
      <c r="C15078" s="18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16">
        <v>2013</v>
      </c>
      <c r="C15079" s="18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16">
        <v>2013</v>
      </c>
      <c r="C15080" s="18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16">
        <v>2013</v>
      </c>
      <c r="C15081" s="18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16">
        <v>2013</v>
      </c>
      <c r="C15082" s="18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16">
        <v>2013</v>
      </c>
      <c r="C15083" s="18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16">
        <v>2013</v>
      </c>
      <c r="C15084" s="18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16">
        <v>2013</v>
      </c>
      <c r="C15085" s="18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16">
        <v>2013</v>
      </c>
      <c r="C15086" s="18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16">
        <v>2013</v>
      </c>
      <c r="C15087" s="18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16">
        <v>2013</v>
      </c>
      <c r="C15088" s="18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9" x14ac:dyDescent="0.2">
      <c r="B15089" s="16">
        <v>2013</v>
      </c>
      <c r="C15089" s="18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9" x14ac:dyDescent="0.2">
      <c r="B15090" s="16">
        <v>2013</v>
      </c>
      <c r="C15090" s="18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9" x14ac:dyDescent="0.2">
      <c r="B15091" s="16">
        <v>2013</v>
      </c>
      <c r="C15091" s="18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9" x14ac:dyDescent="0.2">
      <c r="B15092" s="16">
        <v>2013</v>
      </c>
      <c r="C15092" s="18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9" x14ac:dyDescent="0.2">
      <c r="B15093" s="16">
        <v>2013</v>
      </c>
      <c r="C15093" s="18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9" x14ac:dyDescent="0.2">
      <c r="B15094" s="16">
        <v>2013</v>
      </c>
      <c r="C15094" s="18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9" x14ac:dyDescent="0.2">
      <c r="B15095" s="16">
        <v>2013</v>
      </c>
      <c r="C15095" s="18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9" x14ac:dyDescent="0.2">
      <c r="B15096" s="16">
        <v>2013</v>
      </c>
      <c r="C15096" s="18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9" x14ac:dyDescent="0.2">
      <c r="B15097" s="16">
        <v>2013</v>
      </c>
      <c r="C15097" s="18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9" x14ac:dyDescent="0.2">
      <c r="B15098" s="16">
        <v>2013</v>
      </c>
      <c r="C15098" s="18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9" x14ac:dyDescent="0.2">
      <c r="B15099" s="16">
        <v>2013</v>
      </c>
      <c r="C15099" s="18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</row>
    <row r="15100" spans="2:9" x14ac:dyDescent="0.2">
      <c r="B15100" s="16">
        <v>2013</v>
      </c>
      <c r="C15100" s="18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</row>
    <row r="15101" spans="2:9" x14ac:dyDescent="0.2">
      <c r="B15101" s="16">
        <v>2013</v>
      </c>
      <c r="C15101" s="18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</row>
    <row r="15102" spans="2:9" x14ac:dyDescent="0.2">
      <c r="B15102" s="16">
        <v>2013</v>
      </c>
      <c r="C15102" s="18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</row>
    <row r="15103" spans="2:9" x14ac:dyDescent="0.2">
      <c r="B15103" s="16">
        <v>2013</v>
      </c>
      <c r="C15103" s="18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</row>
    <row r="15104" spans="2:9" x14ac:dyDescent="0.2">
      <c r="B15104" s="16">
        <v>2013</v>
      </c>
      <c r="C15104" s="18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</row>
    <row r="15105" spans="2:9" x14ac:dyDescent="0.2">
      <c r="B15105" s="16">
        <v>2013</v>
      </c>
      <c r="C15105" s="18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</row>
    <row r="15106" spans="2:9" x14ac:dyDescent="0.2">
      <c r="B15106" s="16">
        <v>2013</v>
      </c>
      <c r="C15106" s="18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</row>
    <row r="15107" spans="2:9" x14ac:dyDescent="0.2">
      <c r="B15107" s="16">
        <v>2013</v>
      </c>
      <c r="C15107" s="18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</row>
    <row r="15108" spans="2:9" x14ac:dyDescent="0.2">
      <c r="B15108" s="16">
        <v>2013</v>
      </c>
      <c r="C15108" s="18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</row>
    <row r="15109" spans="2:9" x14ac:dyDescent="0.2">
      <c r="B15109" s="16">
        <v>2013</v>
      </c>
      <c r="C15109" s="18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</row>
    <row r="15110" spans="2:9" x14ac:dyDescent="0.2">
      <c r="B15110" s="16">
        <v>2013</v>
      </c>
      <c r="C15110" s="18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</row>
    <row r="15111" spans="2:9" x14ac:dyDescent="0.2">
      <c r="B15111" s="16">
        <v>2013</v>
      </c>
      <c r="C15111" s="18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</row>
    <row r="15112" spans="2:9" x14ac:dyDescent="0.2">
      <c r="B15112" s="16">
        <v>2013</v>
      </c>
      <c r="C15112" s="18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</row>
    <row r="15113" spans="2:9" x14ac:dyDescent="0.2">
      <c r="B15113" s="16">
        <v>2013</v>
      </c>
      <c r="C15113" s="18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</row>
    <row r="15114" spans="2:9" x14ac:dyDescent="0.2">
      <c r="B15114" s="16">
        <v>2013</v>
      </c>
      <c r="C15114" s="18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</row>
    <row r="15115" spans="2:9" x14ac:dyDescent="0.2">
      <c r="B15115" s="16">
        <v>2013</v>
      </c>
      <c r="C15115" s="18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</row>
    <row r="15116" spans="2:9" x14ac:dyDescent="0.2">
      <c r="B15116" s="16">
        <v>2013</v>
      </c>
      <c r="C15116" s="18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</row>
    <row r="15117" spans="2:9" x14ac:dyDescent="0.2">
      <c r="B15117" s="16">
        <v>2013</v>
      </c>
      <c r="C15117" s="18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</row>
    <row r="15118" spans="2:9" x14ac:dyDescent="0.2">
      <c r="B15118" s="16">
        <v>2013</v>
      </c>
      <c r="C15118" s="18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</row>
    <row r="15119" spans="2:9" x14ac:dyDescent="0.2">
      <c r="B15119" s="16">
        <v>2013</v>
      </c>
      <c r="C15119" s="18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</row>
    <row r="15120" spans="2:9" x14ac:dyDescent="0.2">
      <c r="B15120" s="16">
        <v>2013</v>
      </c>
      <c r="C15120" s="18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</row>
    <row r="15121" spans="2:9" x14ac:dyDescent="0.2">
      <c r="B15121" s="16">
        <v>2013</v>
      </c>
      <c r="C15121" s="18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3:F21"/>
  <sheetViews>
    <sheetView workbookViewId="0">
      <selection activeCell="G24" sqref="G24"/>
    </sheetView>
  </sheetViews>
  <sheetFormatPr defaultRowHeight="14.4" x14ac:dyDescent="0.3"/>
  <cols>
    <col min="1" max="1" width="18.44140625" bestFit="1" customWidth="1"/>
    <col min="2" max="2" width="16.33203125" bestFit="1" customWidth="1"/>
    <col min="3" max="4" width="8" customWidth="1"/>
    <col min="5" max="5" width="9.5546875" bestFit="1" customWidth="1"/>
    <col min="6" max="6" width="11.33203125" bestFit="1" customWidth="1"/>
  </cols>
  <sheetData>
    <row r="3" spans="1:6" x14ac:dyDescent="0.3">
      <c r="A3" s="32" t="s">
        <v>4251</v>
      </c>
      <c r="B3" s="32" t="s">
        <v>4252</v>
      </c>
    </row>
    <row r="4" spans="1:6" x14ac:dyDescent="0.3">
      <c r="A4" s="32" t="s">
        <v>4254</v>
      </c>
      <c r="B4">
        <v>2011</v>
      </c>
      <c r="C4">
        <v>2012</v>
      </c>
      <c r="D4">
        <v>2013</v>
      </c>
      <c r="E4" t="s">
        <v>3897</v>
      </c>
      <c r="F4" t="s">
        <v>4253</v>
      </c>
    </row>
    <row r="5" spans="1:6" x14ac:dyDescent="0.3">
      <c r="A5" s="48" t="s">
        <v>978</v>
      </c>
      <c r="B5" s="47">
        <v>222612</v>
      </c>
      <c r="C5" s="47">
        <v>315756</v>
      </c>
      <c r="D5" s="47">
        <v>384504</v>
      </c>
      <c r="E5" s="47">
        <v>294168</v>
      </c>
      <c r="F5" s="47">
        <v>1217040</v>
      </c>
    </row>
    <row r="6" spans="1:6" x14ac:dyDescent="0.3">
      <c r="A6" s="48" t="s">
        <v>218</v>
      </c>
      <c r="B6" s="47">
        <v>39624</v>
      </c>
      <c r="C6" s="47">
        <v>49608</v>
      </c>
      <c r="D6" s="47">
        <v>52200</v>
      </c>
      <c r="E6" s="47">
        <v>22944</v>
      </c>
      <c r="F6" s="47">
        <v>164376</v>
      </c>
    </row>
    <row r="7" spans="1:6" x14ac:dyDescent="0.3">
      <c r="A7" s="48" t="s">
        <v>2570</v>
      </c>
      <c r="B7" s="47">
        <v>125700</v>
      </c>
      <c r="C7" s="47">
        <v>126996</v>
      </c>
      <c r="D7" s="47">
        <v>150924</v>
      </c>
      <c r="E7" s="47">
        <v>178296</v>
      </c>
      <c r="F7" s="47">
        <v>581916</v>
      </c>
    </row>
    <row r="8" spans="1:6" x14ac:dyDescent="0.3">
      <c r="A8" s="48" t="s">
        <v>2536</v>
      </c>
      <c r="B8" s="47">
        <v>40656</v>
      </c>
      <c r="C8" s="47">
        <v>37776</v>
      </c>
      <c r="D8" s="47">
        <v>43692</v>
      </c>
      <c r="E8" s="47">
        <v>42888</v>
      </c>
      <c r="F8" s="47">
        <v>165012</v>
      </c>
    </row>
    <row r="9" spans="1:6" x14ac:dyDescent="0.3">
      <c r="A9" s="48" t="s">
        <v>73</v>
      </c>
      <c r="B9" s="47">
        <v>1878156</v>
      </c>
      <c r="C9" s="47">
        <v>2513844</v>
      </c>
      <c r="D9" s="47">
        <v>2566308</v>
      </c>
      <c r="E9" s="47">
        <v>2716272</v>
      </c>
      <c r="F9" s="47">
        <v>9674580</v>
      </c>
    </row>
    <row r="10" spans="1:6" x14ac:dyDescent="0.3">
      <c r="A10" s="48" t="s">
        <v>1880</v>
      </c>
      <c r="B10" s="47">
        <v>33456</v>
      </c>
      <c r="C10" s="47">
        <v>39552</v>
      </c>
      <c r="D10" s="47">
        <v>44256</v>
      </c>
      <c r="E10" s="47">
        <v>43188</v>
      </c>
      <c r="F10" s="47">
        <v>160452</v>
      </c>
    </row>
    <row r="11" spans="1:6" x14ac:dyDescent="0.3">
      <c r="A11" s="48" t="s">
        <v>222</v>
      </c>
      <c r="B11" s="47">
        <v>143052</v>
      </c>
      <c r="C11" s="47">
        <v>144972</v>
      </c>
      <c r="D11" s="47">
        <v>165888</v>
      </c>
      <c r="E11" s="47">
        <v>163884</v>
      </c>
      <c r="F11" s="47">
        <v>617796</v>
      </c>
    </row>
    <row r="12" spans="1:6" x14ac:dyDescent="0.3">
      <c r="A12" s="48" t="s">
        <v>1632</v>
      </c>
      <c r="B12" s="47">
        <v>85692</v>
      </c>
      <c r="C12" s="47">
        <v>88404</v>
      </c>
      <c r="D12" s="47">
        <v>90132</v>
      </c>
      <c r="E12" s="47">
        <v>91188</v>
      </c>
      <c r="F12" s="47">
        <v>355416</v>
      </c>
    </row>
    <row r="13" spans="1:6" x14ac:dyDescent="0.3">
      <c r="A13" s="48" t="s">
        <v>4250</v>
      </c>
      <c r="B13" s="47">
        <v>560892</v>
      </c>
      <c r="C13" s="47"/>
      <c r="D13" s="47"/>
      <c r="E13" s="47"/>
      <c r="F13" s="47">
        <v>560892</v>
      </c>
    </row>
    <row r="14" spans="1:6" x14ac:dyDescent="0.3">
      <c r="A14" s="48" t="s">
        <v>335</v>
      </c>
      <c r="B14" s="47">
        <v>541932</v>
      </c>
      <c r="C14" s="47">
        <v>603456</v>
      </c>
      <c r="D14" s="47">
        <v>671616</v>
      </c>
      <c r="E14" s="47">
        <v>682692</v>
      </c>
      <c r="F14" s="47">
        <v>2499696</v>
      </c>
    </row>
    <row r="15" spans="1:6" x14ac:dyDescent="0.3">
      <c r="A15" s="48" t="s">
        <v>1406</v>
      </c>
      <c r="B15" s="47">
        <v>88080</v>
      </c>
      <c r="C15" s="47">
        <v>90144</v>
      </c>
      <c r="D15" s="47">
        <v>91968</v>
      </c>
      <c r="E15" s="47">
        <v>100608</v>
      </c>
      <c r="F15" s="47">
        <v>370800</v>
      </c>
    </row>
    <row r="16" spans="1:6" x14ac:dyDescent="0.3">
      <c r="A16" s="48" t="s">
        <v>324</v>
      </c>
      <c r="B16" s="47">
        <v>562044</v>
      </c>
      <c r="C16" s="47">
        <v>575136</v>
      </c>
      <c r="D16" s="47">
        <v>602364</v>
      </c>
      <c r="E16" s="47">
        <v>640212</v>
      </c>
      <c r="F16" s="47">
        <v>2379756</v>
      </c>
    </row>
    <row r="17" spans="1:6" x14ac:dyDescent="0.3">
      <c r="A17" s="48" t="s">
        <v>69</v>
      </c>
      <c r="B17" s="47">
        <v>67992</v>
      </c>
      <c r="C17" s="47">
        <v>69576</v>
      </c>
      <c r="D17" s="47">
        <v>70932</v>
      </c>
      <c r="E17" s="47">
        <v>72072</v>
      </c>
      <c r="F17" s="47">
        <v>280572</v>
      </c>
    </row>
    <row r="18" spans="1:6" x14ac:dyDescent="0.3">
      <c r="A18" s="48" t="s">
        <v>2475</v>
      </c>
      <c r="B18" s="47">
        <v>42756</v>
      </c>
      <c r="C18" s="47">
        <v>44700</v>
      </c>
      <c r="D18" s="47">
        <v>45036</v>
      </c>
      <c r="E18" s="47">
        <v>46044</v>
      </c>
      <c r="F18" s="47">
        <v>178536</v>
      </c>
    </row>
    <row r="19" spans="1:6" x14ac:dyDescent="0.3">
      <c r="A19" s="48" t="s">
        <v>263</v>
      </c>
      <c r="B19" s="47">
        <v>230316</v>
      </c>
      <c r="C19" s="47">
        <v>241908</v>
      </c>
      <c r="D19" s="47">
        <v>246624</v>
      </c>
      <c r="E19" s="47">
        <v>250212</v>
      </c>
      <c r="F19" s="47">
        <v>969060</v>
      </c>
    </row>
    <row r="20" spans="1:6" x14ac:dyDescent="0.3">
      <c r="A20" s="48" t="s">
        <v>2814</v>
      </c>
      <c r="B20" s="47">
        <v>345204</v>
      </c>
      <c r="C20" s="47">
        <v>377772</v>
      </c>
      <c r="D20" s="47">
        <v>404220</v>
      </c>
      <c r="E20" s="47">
        <v>420192</v>
      </c>
      <c r="F20" s="47">
        <v>1547388</v>
      </c>
    </row>
    <row r="21" spans="1:6" x14ac:dyDescent="0.3">
      <c r="A21" s="48" t="s">
        <v>4253</v>
      </c>
      <c r="B21" s="47">
        <v>5008164</v>
      </c>
      <c r="C21" s="47">
        <v>5319600</v>
      </c>
      <c r="D21" s="47">
        <v>5630664</v>
      </c>
      <c r="E21" s="47">
        <v>5764860</v>
      </c>
      <c r="F21" s="47">
        <v>21723288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9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Pivot table example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2019-04-12T09:03:44Z</dcterms:modified>
</cp:coreProperties>
</file>