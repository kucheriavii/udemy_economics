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filterPrivacy="1" defaultThemeVersion="124226"/>
  <xr:revisionPtr revIDLastSave="0" documentId="8_{D2F3E950-7EA4-4ABE-9201-762A1DB06464}" xr6:coauthVersionLast="44" xr6:coauthVersionMax="44" xr10:uidLastSave="{00000000-0000-0000-0000-000000000000}"/>
  <bookViews>
    <workbookView xWindow="-120" yWindow="-120" windowWidth="20730" windowHeight="11310" activeTab="2" xr2:uid="{00000000-000D-0000-FFFF-FFFF00000000}"/>
  </bookViews>
  <sheets>
    <sheet name="One Sixth of a Page structure" sheetId="1" r:id="rId1"/>
    <sheet name="Quarter Page structure" sheetId="2" r:id="rId2"/>
    <sheet name="Vertical Half Page structure" sheetId="3" r:id="rId3"/>
  </sheets>
  <calcPr calcId="122211" concurrentCalc="0"/>
</workbook>
</file>

<file path=xl/sharedStrings.xml><?xml version="1.0" encoding="utf-8"?>
<sst xmlns="http://schemas.openxmlformats.org/spreadsheetml/2006/main" count="21" uniqueCount="11">
  <si>
    <t>Non-cinema Revenues</t>
  </si>
  <si>
    <t>Cinema Revenues</t>
  </si>
  <si>
    <t>UK</t>
  </si>
  <si>
    <t>France</t>
  </si>
  <si>
    <t>Italy</t>
  </si>
  <si>
    <t>Germany</t>
  </si>
  <si>
    <t>Turkey</t>
  </si>
  <si>
    <t>Brasil</t>
  </si>
  <si>
    <t>One Sixth of a Page structure</t>
  </si>
  <si>
    <t>Vertical Half Page structure</t>
  </si>
  <si>
    <t>Quarter Page 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</si>
</sst>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France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96-4941-945B-A18A6F6C1F43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96-4941-945B-A18A6F6C1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structure'!$C$4:$C$5</c:f>
              <c:numCache>
                <c:formatCode>0%</c:formatCode>
                <c:ptCount val="2"/>
                <c:pt idx="0">
                  <c:v>0.54</c:v>
                </c:pt>
                <c:pt idx="1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6-4941-945B-A18A6F6C1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Italy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6B-4971-A0D0-87005021128B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6B-4971-A0D0-8700502112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structure'!$F$4:$F$5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B-4971-A0D0-870050211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UK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AB-442E-AC89-496218AF4873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AB-442E-AC89-496218AF48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structure'!$I$4:$I$5</c:f>
              <c:numCache>
                <c:formatCode>0%</c:formatCode>
                <c:ptCount val="2"/>
                <c:pt idx="0">
                  <c:v>0.57999999999999996</c:v>
                </c:pt>
                <c:pt idx="1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AB-442E-AC89-496218AF4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Germany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A0-4BC4-9BB7-D140FF4B8F79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DA0-4BC4-9BB7-D140FF4B8F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structure'!$C$8:$C$9</c:f>
              <c:numCache>
                <c:formatCode>0%</c:formatCode>
                <c:ptCount val="2"/>
                <c:pt idx="0">
                  <c:v>0.52</c:v>
                </c:pt>
                <c:pt idx="1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A0-4BC4-9BB7-D140FF4B8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Turkey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B8-493B-98E7-1620ADE18F92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B8-493B-98E7-1620ADE18F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structure'!$F$8:$F$9</c:f>
              <c:numCache>
                <c:formatCode>0%</c:formatCode>
                <c:ptCount val="2"/>
                <c:pt idx="0">
                  <c:v>0.7</c:v>
                </c:pt>
                <c:pt idx="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B8-493B-98E7-1620ADE18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Revenues Split:</a:t>
            </a:r>
            <a:r>
              <a:rPr lang="en-US" baseline="0"/>
              <a:t> Brasil</a:t>
            </a:r>
            <a:endParaRPr lang="en-US"/>
          </a:p>
        </c:rich>
      </c:tx>
      <c:layout>
        <c:manualLayout>
          <c:xMode val="edge"/>
          <c:yMode val="edge"/>
          <c:x val="6.594474659739695E-2"/>
          <c:y val="4.278074866310160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682802536280904"/>
          <c:y val="0.16070852106053587"/>
          <c:w val="0.42613776370737161"/>
          <c:h val="0.66313416705264783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0.13023352386154111"/>
                  <c:y val="6.99791474449413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8D1-43DD-96CD-35D5E668A2A0}"/>
                </c:ext>
              </c:extLst>
            </c:dLbl>
            <c:dLbl>
              <c:idx val="1"/>
              <c:layout>
                <c:manualLayout>
                  <c:x val="0.15106403853767075"/>
                  <c:y val="1.79005117978295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8D1-43DD-96CD-35D5E668A2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'One Sixth of a Page structure'!$B$4:$B$5</c:f>
              <c:strCache>
                <c:ptCount val="2"/>
                <c:pt idx="0">
                  <c:v>Cinema Revenues</c:v>
                </c:pt>
                <c:pt idx="1">
                  <c:v>Non-cinema Revenues</c:v>
                </c:pt>
              </c:strCache>
            </c:strRef>
          </c:cat>
          <c:val>
            <c:numRef>
              <c:f>'One Sixth of a Page structure'!$I$8:$I$9</c:f>
              <c:numCache>
                <c:formatCode>0%</c:formatCode>
                <c:ptCount val="2"/>
                <c:pt idx="0">
                  <c:v>0.64</c:v>
                </c:pt>
                <c:pt idx="1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D1-43DD-96CD-35D5E668A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 sz="800">
          <a:latin typeface="Arial" pitchFamily="34" charset="0"/>
          <a:cs typeface="Arial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152401</xdr:colOff>
      <xdr:row>10</xdr:row>
      <xdr:rowOff>28574</xdr:rowOff>
    </xdr:from>
    <xdr:to>
      <xdr:col>4</xdr:col>
      <xdr:colOff>38101</xdr:colOff>
      <xdr:row>19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314325</xdr:colOff>
      <xdr:row>10</xdr:row>
      <xdr:rowOff>19050</xdr:rowOff>
    </xdr:from>
    <xdr:to>
      <xdr:col>7</xdr:col>
      <xdr:colOff>200025</xdr:colOff>
      <xdr:row>19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561975</xdr:colOff>
      <xdr:row>10</xdr:row>
      <xdr:rowOff>28575</xdr:rowOff>
    </xdr:from>
    <xdr:to>
      <xdr:col>10</xdr:col>
      <xdr:colOff>447675</xdr:colOff>
      <xdr:row>19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161925</xdr:colOff>
      <xdr:row>20</xdr:row>
      <xdr:rowOff>47625</xdr:rowOff>
    </xdr:from>
    <xdr:to>
      <xdr:col>4</xdr:col>
      <xdr:colOff>47625</xdr:colOff>
      <xdr:row>29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295275</xdr:colOff>
      <xdr:row>20</xdr:row>
      <xdr:rowOff>57150</xdr:rowOff>
    </xdr:from>
    <xdr:to>
      <xdr:col>7</xdr:col>
      <xdr:colOff>180975</xdr:colOff>
      <xdr:row>29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552450</xdr:colOff>
      <xdr:row>20</xdr:row>
      <xdr:rowOff>95250</xdr:rowOff>
    </xdr:from>
    <xdr:to>
      <xdr:col>10</xdr:col>
      <xdr:colOff>438150</xdr:colOff>
      <xdr:row>29</xdr:row>
      <xdr:rowOff>161925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1051175</xdr:colOff>
      <xdr:row>5</xdr:row>
      <xdr:rowOff>85725</xdr:rowOff>
    </xdr:from>
    <xdr:to>
      <xdr:col>14</xdr:col>
      <xdr:colOff>22475</xdr:colOff>
      <xdr:row>7</xdr:row>
      <xdr:rowOff>172738</xdr:rowOff>
    </xdr:to>
    <xdr:sp macro="" textlink="">
      <xdr:nvSpPr>
        <xdr:cNvPr id="9" name="TextBox 17">
          <a:extLst>
            <a:ext uri="{FF2B5EF4-FFF2-40B4-BE49-F238E27FC236}">
              <a16:creationId xmlns:a16="http://schemas.microsoft.com/office/drawing/2014/main" id="{8E574E9C-1F27-4377-88A4-7A072793B829}"/>
            </a:ext>
          </a:extLst>
        </xdr:cNvPr>
        <xdr:cNvSpPr txBox="1"/>
      </xdr:nvSpPr>
      <xdr:spPr>
        <a:xfrm>
          <a:off x="4308725" y="1038225"/>
          <a:ext cx="6705600" cy="46801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n-US" sz="2400" b="1">
            <a:solidFill>
              <a:srgbClr val="00206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112478</xdr:colOff>
      <xdr:row>5</xdr:row>
      <xdr:rowOff>114299</xdr:rowOff>
    </xdr:from>
    <xdr:to>
      <xdr:col>7</xdr:col>
      <xdr:colOff>228601</xdr:colOff>
      <xdr:row>17</xdr:row>
      <xdr:rowOff>6349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B00BAD-B31A-489E-B601-3DB9055E3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8" y="1066799"/>
          <a:ext cx="3773723" cy="2178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1</xdr:col>
      <xdr:colOff>112478</xdr:colOff>
      <xdr:row>18</xdr:row>
      <xdr:rowOff>76200</xdr:rowOff>
    </xdr:from>
    <xdr:to>
      <xdr:col>7</xdr:col>
      <xdr:colOff>228601</xdr:colOff>
      <xdr:row>29</xdr:row>
      <xdr:rowOff>158955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C00A94-E445-47E0-98E0-D73AA00EC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78" y="3505200"/>
          <a:ext cx="3773723" cy="21782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112873</xdr:colOff>
      <xdr:row>5</xdr:row>
      <xdr:rowOff>114299</xdr:rowOff>
    </xdr:from>
    <xdr:to>
      <xdr:col>13</xdr:col>
      <xdr:colOff>457199</xdr:colOff>
      <xdr:row>17</xdr:row>
      <xdr:rowOff>6349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894132-0BDD-460F-AFD7-AEA32A06A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0073" y="1066799"/>
          <a:ext cx="3392326" cy="21780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8</xdr:col>
      <xdr:colOff>112554</xdr:colOff>
      <xdr:row>18</xdr:row>
      <xdr:rowOff>76200</xdr:rowOff>
    </xdr:from>
    <xdr:to>
      <xdr:col>13</xdr:col>
      <xdr:colOff>457200</xdr:colOff>
      <xdr:row>29</xdr:row>
      <xdr:rowOff>158955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240E88-8408-4A4D-AE62-0673A3A6E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9754" y="3505200"/>
          <a:ext cx="3392646" cy="217825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80530</xdr:colOff>
      <xdr:row>1</xdr:row>
      <xdr:rowOff>155709</xdr:rowOff>
    </xdr:from>
    <xdr:to>
      <xdr:col>9</xdr:col>
      <xdr:colOff>66675</xdr:colOff>
      <xdr:row>15</xdr:row>
      <xdr:rowOff>9904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7E22CF-4E82-4A27-A31D-FD3828B68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30" y="555759"/>
          <a:ext cx="4862945" cy="252119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9</xdr:col>
      <xdr:colOff>180691</xdr:colOff>
      <xdr:row>1</xdr:row>
      <xdr:rowOff>125989</xdr:rowOff>
    </xdr:from>
    <xdr:to>
      <xdr:col>14</xdr:col>
      <xdr:colOff>200025</xdr:colOff>
      <xdr:row>27</xdr:row>
      <xdr:rowOff>19049</xdr:rowOff>
    </xdr:to>
    <xdr:sp macro="" textlink="">
      <xdr:nvSpPr>
        <xdr:cNvPr id="7" name="Content Placeholder 4">
          <a:extLst>
            <a:ext uri="{FF2B5EF4-FFF2-40B4-BE49-F238E27FC236}">
              <a16:creationId xmlns:a16="http://schemas.microsoft.com/office/drawing/2014/main" id="{33CF29E4-49BC-4FC6-9E6D-75B83BAAB244}"/>
            </a:ext>
          </a:extLst>
        </xdr:cNvPr>
        <xdr:cNvSpPr txBox="1">
          <a:spLocks/>
        </xdr:cNvSpPr>
      </xdr:nvSpPr>
      <xdr:spPr>
        <a:xfrm>
          <a:off x="5057491" y="526039"/>
          <a:ext cx="3067334" cy="4846060"/>
        </a:xfrm>
        <a:prstGeom prst="rect">
          <a:avLst/>
        </a:prstGeom>
      </xdr:spPr>
      <xdr:txBody>
        <a:bodyPr wrap="square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6350" lvl="1" indent="0">
            <a:buNone/>
          </a:pPr>
          <a:r>
            <a:rPr lang="en-GB" sz="1000" b="1">
              <a:solidFill>
                <a:srgbClr val="002060"/>
              </a:solidFill>
              <a:latin typeface="Arial" pitchFamily="34" charset="0"/>
              <a:cs typeface="Arial" pitchFamily="34" charset="0"/>
            </a:rPr>
            <a:t>Revenues development</a:t>
          </a:r>
        </a:p>
        <a:p>
          <a:pPr marL="182563" lvl="1" indent="-176213"/>
          <a:r>
            <a:rPr lang="en-GB" sz="1000">
              <a:latin typeface="Arial" pitchFamily="34" charset="0"/>
              <a:cs typeface="Arial" pitchFamily="34" charset="0"/>
            </a:rPr>
            <a:t>Kinemax’s revenues experienced a double digit growth throughout the period under analysis</a:t>
          </a:r>
        </a:p>
        <a:p>
          <a:pPr marL="182563" lvl="1" indent="-176213"/>
          <a:r>
            <a:rPr lang="en-GB" sz="1000">
              <a:latin typeface="Arial" pitchFamily="34" charset="0"/>
              <a:cs typeface="Arial" pitchFamily="34" charset="0"/>
            </a:rPr>
            <a:t>Both cinema and other revenues grew by more than 10%, although other revenues outpaced the growth of cinema revenues (16% vs. 11%)</a:t>
          </a:r>
        </a:p>
        <a:p>
          <a:pPr marL="182563" lvl="1" indent="-176213"/>
          <a:r>
            <a:rPr lang="en-GB" sz="1000">
              <a:latin typeface="Arial" pitchFamily="34" charset="0"/>
              <a:cs typeface="Arial" pitchFamily="34" charset="0"/>
            </a:rPr>
            <a:t>It seems that the company’s revenue mix is heading to a 50/50 split between Cinema and Other revenues</a:t>
          </a:r>
        </a:p>
        <a:p>
          <a:pPr marL="6350" lvl="1" indent="0">
            <a:buNone/>
          </a:pPr>
          <a:r>
            <a:rPr lang="en-GB" sz="1000" b="1">
              <a:solidFill>
                <a:srgbClr val="002060"/>
              </a:solidFill>
              <a:latin typeface="Arial" pitchFamily="34" charset="0"/>
              <a:cs typeface="Arial" pitchFamily="34" charset="0"/>
            </a:rPr>
            <a:t>Gross Margin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Higher revenues transferred into a higher Gross Margin % (22.7% in FY11 vs. 25.5% in FY13)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Kinemax is able to sell its products at a good margin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Gross Margin % could be further improved by ramping up the investments in Turkey and Brazil</a:t>
          </a:r>
        </a:p>
        <a:p>
          <a:pPr marL="6350" lvl="1" indent="0">
            <a:buNone/>
          </a:pPr>
          <a:r>
            <a:rPr lang="en-GB" sz="1000" b="1">
              <a:solidFill>
                <a:srgbClr val="002060"/>
              </a:solidFill>
              <a:latin typeface="Arial" pitchFamily="34" charset="0"/>
              <a:cs typeface="Arial" pitchFamily="34" charset="0"/>
            </a:rPr>
            <a:t>EBITDA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Kinemax improved its EBITDA margin as well in the period under analysis (from 7.6% in FY11 to 10.3% in FY13)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Operating expenses did not increase as fast as Gross Margin, thus EBITDA increased</a:t>
          </a:r>
        </a:p>
        <a:p>
          <a:pPr marL="6350" lvl="1" indent="0">
            <a:buNone/>
          </a:pPr>
          <a:r>
            <a:rPr lang="en-GB" sz="1000" b="1">
              <a:solidFill>
                <a:srgbClr val="002060"/>
              </a:solidFill>
              <a:latin typeface="Arial" pitchFamily="34" charset="0"/>
              <a:cs typeface="Arial" pitchFamily="34" charset="0"/>
            </a:rPr>
            <a:t>Cash Conversion Ratio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The ratio between Operating Cash Flow and EBITDA varied between 76.2% and 94.3%</a:t>
          </a:r>
        </a:p>
        <a:p>
          <a:pPr marL="177800" lvl="1" indent="-171450"/>
          <a:r>
            <a:rPr lang="en-GB" sz="1000">
              <a:latin typeface="Arial" pitchFamily="34" charset="0"/>
              <a:cs typeface="Arial" pitchFamily="34" charset="0"/>
            </a:rPr>
            <a:t>It was lower in FY13 due to investments in new projects</a:t>
          </a:r>
          <a:r>
            <a:rPr lang="en-GB" sz="1000">
              <a:solidFill>
                <a:srgbClr val="002060"/>
              </a:solidFill>
              <a:latin typeface="Arial" pitchFamily="34" charset="0"/>
              <a:cs typeface="Arial" pitchFamily="34" charset="0"/>
            </a:rPr>
            <a:t> </a:t>
          </a:r>
        </a:p>
      </xdr:txBody>
    </xdr:sp>
    <xdr:clientData/>
  </xdr:twoCellAnchor>
  <xdr:twoCellAnchor editAs="oneCell">
    <xdr:from>
      <xdr:col>1</xdr:col>
      <xdr:colOff>0</xdr:colOff>
      <xdr:row>15</xdr:row>
      <xdr:rowOff>105154</xdr:rowOff>
    </xdr:from>
    <xdr:to>
      <xdr:col>7</xdr:col>
      <xdr:colOff>443345</xdr:colOff>
      <xdr:row>27</xdr:row>
      <xdr:rowOff>79375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603DA8C-0687-4C2F-95C9-25F92C5DC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72204"/>
          <a:ext cx="4100945" cy="226022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"/>
  <sheetViews>
    <sheetView zoomScaleNormal="100" workbookViewId="0">
      <selection activeCell="B1" sqref="B1"/>
    </sheetView>
  </sheetViews>
  <sheetFormatPr defaultRowHeight="15" x14ac:dyDescent="0.25"/>
  <cols>
    <col min="2" max="2" width="21.42578125" bestFit="1" customWidth="1"/>
    <col min="5" max="5" width="21.42578125" bestFit="1" customWidth="1"/>
    <col min="8" max="8" width="21.42578125" bestFit="1" customWidth="1"/>
  </cols>
  <sheetData>
    <row r="1" spans="2:9" ht="31.5" x14ac:dyDescent="0.5">
      <c r="B1" s="2" t="s">
        <v>8</v>
      </c>
    </row>
    <row r="3" spans="2:9" x14ac:dyDescent="0.25">
      <c r="C3" t="s">
        <v>3</v>
      </c>
      <c r="F3" t="s">
        <v>4</v>
      </c>
      <c r="I3" t="s">
        <v>2</v>
      </c>
    </row>
    <row r="4" spans="2:9" x14ac:dyDescent="0.25">
      <c r="B4" t="s">
        <v>1</v>
      </c>
      <c r="C4" s="1">
        <v>0.54</v>
      </c>
      <c r="E4" t="s">
        <v>1</v>
      </c>
      <c r="F4" s="1">
        <v>0.6</v>
      </c>
      <c r="H4" t="s">
        <v>1</v>
      </c>
      <c r="I4" s="1">
        <v>0.57999999999999996</v>
      </c>
    </row>
    <row r="5" spans="2:9" x14ac:dyDescent="0.25">
      <c r="B5" t="s">
        <v>0</v>
      </c>
      <c r="C5" s="1">
        <v>0.46</v>
      </c>
      <c r="E5" t="s">
        <v>0</v>
      </c>
      <c r="F5" s="1">
        <v>0.4</v>
      </c>
      <c r="H5" t="s">
        <v>0</v>
      </c>
      <c r="I5" s="1">
        <v>0.42</v>
      </c>
    </row>
    <row r="7" spans="2:9" x14ac:dyDescent="0.25">
      <c r="C7" t="s">
        <v>5</v>
      </c>
      <c r="F7" t="s">
        <v>6</v>
      </c>
      <c r="I7" t="s">
        <v>7</v>
      </c>
    </row>
    <row r="8" spans="2:9" x14ac:dyDescent="0.25">
      <c r="B8" t="s">
        <v>1</v>
      </c>
      <c r="C8" s="1">
        <v>0.52</v>
      </c>
      <c r="E8" t="s">
        <v>1</v>
      </c>
      <c r="F8" s="1">
        <v>0.7</v>
      </c>
      <c r="H8" t="s">
        <v>1</v>
      </c>
      <c r="I8" s="1">
        <v>0.64</v>
      </c>
    </row>
    <row r="9" spans="2:9" x14ac:dyDescent="0.25">
      <c r="B9" t="s">
        <v>0</v>
      </c>
      <c r="C9" s="1">
        <v>0.48</v>
      </c>
      <c r="E9" t="s">
        <v>0</v>
      </c>
      <c r="F9" s="1">
        <v>0.3</v>
      </c>
      <c r="H9" t="s">
        <v>0</v>
      </c>
      <c r="I9" s="1">
        <v>0.36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"/>
  <sheetViews>
    <sheetView workbookViewId="0">
      <selection activeCell="Q11" sqref="Q11"/>
    </sheetView>
  </sheetViews>
  <sheetFormatPr defaultRowHeight="15" x14ac:dyDescent="0.25"/>
  <sheetData>
    <row r="1" spans="2:2" ht="31.5" x14ac:dyDescent="0.5">
      <c r="B1" s="2" t="s">
        <v>10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"/>
  <sheetViews>
    <sheetView tabSelected="1" workbookViewId="0">
      <selection activeCell="Q6" sqref="Q6"/>
    </sheetView>
  </sheetViews>
  <sheetFormatPr defaultRowHeight="15" x14ac:dyDescent="0.25"/>
  <sheetData>
    <row r="1" spans="2:2" ht="31.5" x14ac:dyDescent="0.5">
      <c r="B1" s="2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 Sixth of a Page structure</vt:lpstr>
      <vt:lpstr>Quarter Page structure</vt:lpstr>
      <vt:lpstr>Vertical Half Page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2019-10-02T08:18:34Z</dcterms:modified>
</cp:coreProperties>
</file>