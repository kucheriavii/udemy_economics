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B:\Courses\Video creating\PowerPoint\3. 7 Slides\"/>
    </mc:Choice>
  </mc:AlternateContent>
  <xr:revisionPtr revIDLastSave="0" documentId="8_{FA5D2B0D-7AB7-4F02-95EF-992B12EE3597}" xr6:coauthVersionLast="43" xr6:coauthVersionMax="43" xr10:uidLastSave="{00000000-0000-0000-0000-000000000000}"/>
  <bookViews>
    <workbookView xWindow="-108" yWindow="-108" windowWidth="23256" windowHeight="13176" firstSheet="2" activeTab="6" xr2:uid="{00000000-000D-0000-FFFF-FFFF00000000}"/>
  </bookViews>
  <sheets>
    <sheet name="Kinemax --&gt;" sheetId="9" r:id="rId1"/>
    <sheet name="Legal entity structure" sheetId="1" r:id="rId2"/>
    <sheet name="Private Equity investments" sheetId="4" r:id="rId3"/>
    <sheet name="Business KPIs" sheetId="5" r:id="rId4"/>
    <sheet name="Customers age" sheetId="6" r:id="rId5"/>
    <sheet name="Financials estimate" sheetId="8" r:id="rId6"/>
    <sheet name="Financials Kinema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5" l="1"/>
  <c r="D19" i="5"/>
  <c r="D18" i="5"/>
  <c r="E18" i="5" s="1"/>
  <c r="D17" i="5"/>
  <c r="E17" i="5" s="1"/>
  <c r="D16" i="5"/>
  <c r="E16" i="5" s="1"/>
  <c r="D15" i="5"/>
  <c r="E15" i="5" s="1"/>
  <c r="D14" i="5"/>
  <c r="E14" i="5" s="1"/>
  <c r="K9" i="5"/>
  <c r="K8" i="5"/>
  <c r="K7" i="5"/>
  <c r="K6" i="5"/>
  <c r="K5" i="5"/>
  <c r="K4" i="5"/>
  <c r="H4" i="7" l="1"/>
  <c r="G4" i="7"/>
  <c r="H5" i="7"/>
  <c r="G5" i="7"/>
  <c r="C6" i="7" l="1"/>
  <c r="D6" i="7"/>
  <c r="E6" i="7"/>
  <c r="D21" i="8"/>
  <c r="F24" i="8"/>
  <c r="F21" i="8"/>
  <c r="G21" i="8" s="1"/>
  <c r="F20" i="8"/>
  <c r="D20" i="8" s="1"/>
  <c r="F19" i="8"/>
  <c r="G19" i="8" s="1"/>
  <c r="C24" i="8"/>
  <c r="C23" i="8"/>
  <c r="F23" i="8" s="1"/>
  <c r="C22" i="8"/>
  <c r="F22" i="8" s="1"/>
  <c r="C21" i="8"/>
  <c r="C20" i="8"/>
  <c r="C19" i="8"/>
  <c r="F9" i="8"/>
  <c r="G9" i="8" s="1"/>
  <c r="F8" i="8"/>
  <c r="G8" i="8" s="1"/>
  <c r="G7" i="8"/>
  <c r="F7" i="8"/>
  <c r="F6" i="8"/>
  <c r="G6" i="8" s="1"/>
  <c r="F5" i="8"/>
  <c r="G5" i="8" s="1"/>
  <c r="G20" i="8" s="1"/>
  <c r="F4" i="8"/>
  <c r="G4" i="8" s="1"/>
  <c r="C4" i="8"/>
  <c r="D4" i="8"/>
  <c r="E4" i="8"/>
  <c r="E9" i="6"/>
  <c r="E8" i="6"/>
  <c r="E7" i="6"/>
  <c r="E6" i="6"/>
  <c r="E5" i="6"/>
  <c r="E4" i="6"/>
  <c r="G24" i="8" l="1"/>
  <c r="G22" i="8"/>
  <c r="E8" i="7" s="1"/>
  <c r="D22" i="8"/>
  <c r="G23" i="8"/>
  <c r="D23" i="8"/>
  <c r="G6" i="7"/>
  <c r="D8" i="7"/>
  <c r="D16" i="7"/>
  <c r="D10" i="7"/>
  <c r="D15" i="7"/>
  <c r="D19" i="8"/>
  <c r="C8" i="7"/>
  <c r="C9" i="7" s="1"/>
  <c r="C16" i="7"/>
  <c r="C15" i="7"/>
  <c r="C10" i="7"/>
  <c r="C12" i="7" s="1"/>
  <c r="D24" i="8"/>
  <c r="H6" i="7"/>
  <c r="E16" i="7"/>
  <c r="E10" i="7"/>
  <c r="E15" i="7"/>
  <c r="E4" i="5"/>
  <c r="D4" i="5"/>
  <c r="C4" i="5"/>
  <c r="C7" i="4"/>
  <c r="E9" i="7" l="1"/>
  <c r="H9" i="7" s="1"/>
  <c r="E17" i="7"/>
  <c r="E7" i="7"/>
  <c r="H8" i="7"/>
  <c r="G8" i="7"/>
  <c r="D9" i="7"/>
  <c r="G9" i="7" s="1"/>
  <c r="H10" i="7"/>
  <c r="E12" i="7"/>
  <c r="H12" i="7" s="1"/>
  <c r="D7" i="7"/>
  <c r="G7" i="7" s="1"/>
  <c r="C7" i="7"/>
  <c r="G10" i="7"/>
  <c r="D12" i="7"/>
  <c r="G12" i="7" s="1"/>
  <c r="H7" i="7" l="1"/>
</calcChain>
</file>

<file path=xl/sharedStrings.xml><?xml version="1.0" encoding="utf-8"?>
<sst xmlns="http://schemas.openxmlformats.org/spreadsheetml/2006/main" count="115" uniqueCount="74">
  <si>
    <t>Kinemax</t>
  </si>
  <si>
    <t>Legal entity</t>
  </si>
  <si>
    <t>Start of
Operations</t>
  </si>
  <si>
    <t>Country of 
Operations</t>
  </si>
  <si>
    <t>% of 
Ownerhsip</t>
  </si>
  <si>
    <t>Kinemax Sarl</t>
  </si>
  <si>
    <t>Kinemax Italia Spa</t>
  </si>
  <si>
    <t>Kinemax UK Ltd</t>
  </si>
  <si>
    <t>Type of 
company</t>
  </si>
  <si>
    <t>Holding</t>
  </si>
  <si>
    <t>Subsidiary</t>
  </si>
  <si>
    <t>Kinemax Deutschland Saar</t>
  </si>
  <si>
    <t>Kinemax Turkey A.S.</t>
  </si>
  <si>
    <t>Kinemax Brasil LTDA</t>
  </si>
  <si>
    <t>Joint Venture</t>
  </si>
  <si>
    <t>-</t>
  </si>
  <si>
    <t>France</t>
  </si>
  <si>
    <t>Italy</t>
  </si>
  <si>
    <t>UK</t>
  </si>
  <si>
    <t>Germany</t>
  </si>
  <si>
    <t>Turkey</t>
  </si>
  <si>
    <t>Brasil</t>
  </si>
  <si>
    <t>Round A</t>
  </si>
  <si>
    <t>Round B</t>
  </si>
  <si>
    <t>Round C</t>
  </si>
  <si>
    <t>Total</t>
  </si>
  <si>
    <t>Private Equity Investments</t>
  </si>
  <si>
    <t>€ in million</t>
  </si>
  <si>
    <t>Business KPIs</t>
  </si>
  <si>
    <t>% of Sales
in FY11</t>
  </si>
  <si>
    <t>% of Sales
in FY12</t>
  </si>
  <si>
    <t>% of Sales
in FY13</t>
  </si>
  <si>
    <t>Avg. (*)
Attendance %</t>
  </si>
  <si>
    <t>Number of 
cinemas (*)</t>
  </si>
  <si>
    <t>(*) Figures related to FY13</t>
  </si>
  <si>
    <t>Avg. Price  (*)
of Tickets in Eur</t>
  </si>
  <si>
    <t>Staff</t>
  </si>
  <si>
    <t>Customers age</t>
  </si>
  <si>
    <t>Under 14</t>
  </si>
  <si>
    <t>14 - 30</t>
  </si>
  <si>
    <t>Over 30</t>
  </si>
  <si>
    <t>Gross Margin
in FY13</t>
  </si>
  <si>
    <t>Gross Margin
in FY11</t>
  </si>
  <si>
    <t>Gross Margin
in FY12</t>
  </si>
  <si>
    <t>1 Cinema</t>
  </si>
  <si>
    <t>seats</t>
  </si>
  <si>
    <t>Other sales vs.
cinema sales</t>
  </si>
  <si>
    <t>days</t>
  </si>
  <si>
    <t>avg attendance</t>
  </si>
  <si>
    <t>avg . Price of tickets</t>
  </si>
  <si>
    <t>number of cinemas</t>
  </si>
  <si>
    <t>Cinema revenues</t>
  </si>
  <si>
    <t>Other revenues</t>
  </si>
  <si>
    <t>Other sales
as % of total</t>
  </si>
  <si>
    <t>Total Sales</t>
  </si>
  <si>
    <t>Kinemax --&gt;</t>
  </si>
  <si>
    <t>Total Revenues</t>
  </si>
  <si>
    <t>FY11
Act</t>
  </si>
  <si>
    <t>FY12
Act</t>
  </si>
  <si>
    <t>FY13
Act</t>
  </si>
  <si>
    <t>Var %
FY11-FY12</t>
  </si>
  <si>
    <t>Cost of Sales</t>
  </si>
  <si>
    <t>Gross Margin</t>
  </si>
  <si>
    <t>Operating expenses</t>
  </si>
  <si>
    <t>EBITDA</t>
  </si>
  <si>
    <t>Var %
FY12-FY13</t>
  </si>
  <si>
    <t>Operating Cash Flow</t>
  </si>
  <si>
    <t>KPIs</t>
  </si>
  <si>
    <t>Cinema revenues %</t>
  </si>
  <si>
    <t>Other revenues %</t>
  </si>
  <si>
    <t>Gross Margin %</t>
  </si>
  <si>
    <t>Cash conversion %</t>
  </si>
  <si>
    <t>EBITDA %</t>
  </si>
  <si>
    <t>Financials Kinemax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</si>
</sst>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0.0%"/>
    <numFmt numFmtId="167" formatCode="_(* #,##0.0_);_(* \(#,##0.0\);_(* &quot;-&quot;??_);_(@_)"/>
    <numFmt numFmtId="168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8"/>
      <color theme="1"/>
      <name val="Arial"/>
      <family val="2"/>
    </font>
    <font>
      <sz val="32"/>
      <color theme="1"/>
      <name val="Arial"/>
      <family val="2"/>
    </font>
    <font>
      <b/>
      <sz val="32"/>
      <color rgb="FF002060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wrapText="1"/>
    </xf>
    <xf numFmtId="17" fontId="2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/>
    <xf numFmtId="165" fontId="4" fillId="2" borderId="2" xfId="0" applyNumberFormat="1" applyFont="1" applyFill="1" applyBorder="1"/>
    <xf numFmtId="166" fontId="2" fillId="2" borderId="0" xfId="1" applyNumberFormat="1" applyFont="1" applyFill="1"/>
    <xf numFmtId="166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/>
    <xf numFmtId="0" fontId="5" fillId="2" borderId="0" xfId="0" applyFont="1" applyFill="1"/>
    <xf numFmtId="0" fontId="4" fillId="2" borderId="1" xfId="0" applyFont="1" applyFill="1" applyBorder="1" applyAlignment="1">
      <alignment horizontal="right"/>
    </xf>
    <xf numFmtId="168" fontId="2" fillId="2" borderId="0" xfId="2" applyNumberFormat="1" applyFont="1" applyFill="1"/>
    <xf numFmtId="168" fontId="2" fillId="2" borderId="0" xfId="0" applyNumberFormat="1" applyFont="1" applyFill="1"/>
    <xf numFmtId="0" fontId="6" fillId="2" borderId="0" xfId="0" applyFont="1" applyFill="1"/>
    <xf numFmtId="0" fontId="7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 wrapText="1"/>
    </xf>
    <xf numFmtId="17" fontId="2" fillId="2" borderId="0" xfId="0" applyNumberFormat="1" applyFont="1" applyFill="1" applyBorder="1" applyAlignment="1">
      <alignment horizontal="right"/>
    </xf>
    <xf numFmtId="0" fontId="8" fillId="2" borderId="3" xfId="0" applyFont="1" applyFill="1" applyBorder="1"/>
    <xf numFmtId="0" fontId="4" fillId="3" borderId="1" xfId="0" applyFont="1" applyFill="1" applyBorder="1" applyAlignment="1">
      <alignment horizontal="right" wrapText="1"/>
    </xf>
    <xf numFmtId="0" fontId="2" fillId="3" borderId="0" xfId="0" applyFont="1" applyFill="1"/>
    <xf numFmtId="165" fontId="8" fillId="2" borderId="3" xfId="0" applyNumberFormat="1" applyFont="1" applyFill="1" applyBorder="1" applyAlignment="1">
      <alignment horizontal="right"/>
    </xf>
    <xf numFmtId="0" fontId="8" fillId="2" borderId="0" xfId="0" applyFont="1" applyFill="1" applyBorder="1"/>
    <xf numFmtId="164" fontId="2" fillId="2" borderId="0" xfId="0" applyNumberFormat="1" applyFont="1" applyFill="1"/>
    <xf numFmtId="167" fontId="8" fillId="2" borderId="3" xfId="0" applyNumberFormat="1" applyFont="1" applyFill="1" applyBorder="1" applyAlignment="1">
      <alignment horizontal="right"/>
    </xf>
    <xf numFmtId="167" fontId="2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Border="1"/>
    <xf numFmtId="0" fontId="5" fillId="3" borderId="0" xfId="0" applyFont="1" applyFill="1"/>
    <xf numFmtId="0" fontId="9" fillId="3" borderId="0" xfId="0" applyFont="1" applyFill="1"/>
    <xf numFmtId="0" fontId="5" fillId="3" borderId="0" xfId="0" applyFont="1" applyFill="1" applyBorder="1"/>
    <xf numFmtId="166" fontId="5" fillId="3" borderId="0" xfId="1" applyNumberFormat="1" applyFont="1" applyFill="1"/>
    <xf numFmtId="166" fontId="5" fillId="3" borderId="0" xfId="1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0" fontId="5" fillId="3" borderId="0" xfId="0" applyNumberFormat="1" applyFont="1" applyFill="1"/>
    <xf numFmtId="167" fontId="8" fillId="2" borderId="0" xfId="2" applyNumberFormat="1" applyFont="1" applyFill="1" applyBorder="1" applyAlignment="1">
      <alignment horizontal="right"/>
    </xf>
    <xf numFmtId="17" fontId="11" fillId="4" borderId="0" xfId="0" applyNumberFormat="1" applyFont="1" applyFill="1" applyBorder="1" applyAlignment="1">
      <alignment horizontal="right"/>
    </xf>
    <xf numFmtId="0" fontId="10" fillId="4" borderId="0" xfId="0" applyFont="1" applyFill="1" applyBorder="1"/>
    <xf numFmtId="165" fontId="10" fillId="4" borderId="0" xfId="0" applyNumberFormat="1" applyFont="1" applyFill="1" applyBorder="1" applyAlignment="1">
      <alignment horizontal="right"/>
    </xf>
    <xf numFmtId="166" fontId="5" fillId="3" borderId="0" xfId="0" applyNumberFormat="1" applyFont="1" applyFill="1"/>
    <xf numFmtId="166" fontId="9" fillId="3" borderId="3" xfId="1" applyNumberFormat="1" applyFont="1" applyFill="1" applyBorder="1"/>
    <xf numFmtId="166" fontId="12" fillId="4" borderId="0" xfId="1" applyNumberFormat="1" applyFont="1" applyFill="1" applyBorder="1"/>
    <xf numFmtId="166" fontId="9" fillId="3" borderId="0" xfId="1" applyNumberFormat="1" applyFont="1" applyFill="1" applyBorder="1"/>
    <xf numFmtId="164" fontId="2" fillId="2" borderId="0" xfId="2" applyFont="1" applyFill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448410307550605"/>
          <c:y val="9.7264959071925394E-2"/>
          <c:w val="0.37695967423597115"/>
          <c:h val="0.6538569833347107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1-BD30-439C-B993-BF8BBDB7CC62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3-BD30-439C-B993-BF8BBDB7CC62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BD30-439C-B993-BF8BBDB7CC62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BD30-439C-B993-BF8BBDB7CC62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BD30-439C-B993-BF8BBDB7CC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'Legal entity structure'!$E$4:$E$9</c:f>
              <c:strCache>
                <c:ptCount val="6"/>
                <c:pt idx="0">
                  <c:v>France</c:v>
                </c:pt>
                <c:pt idx="1">
                  <c:v>Italy</c:v>
                </c:pt>
                <c:pt idx="2">
                  <c:v>UK</c:v>
                </c:pt>
                <c:pt idx="3">
                  <c:v>Germany</c:v>
                </c:pt>
                <c:pt idx="4">
                  <c:v>Turkey</c:v>
                </c:pt>
                <c:pt idx="5">
                  <c:v>Brasil</c:v>
                </c:pt>
              </c:strCache>
            </c:strRef>
          </c:cat>
          <c:val>
            <c:numRef>
              <c:f>'Legal entity structure'!$G$4:$G$9</c:f>
              <c:numCache>
                <c:formatCode>General</c:formatCode>
                <c:ptCount val="6"/>
                <c:pt idx="0">
                  <c:v>342</c:v>
                </c:pt>
                <c:pt idx="1">
                  <c:v>156</c:v>
                </c:pt>
                <c:pt idx="2">
                  <c:v>192</c:v>
                </c:pt>
                <c:pt idx="3">
                  <c:v>134</c:v>
                </c:pt>
                <c:pt idx="4">
                  <c:v>124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30-439C-B993-BF8BBDB7C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"/>
          <c:order val="1"/>
          <c:dPt>
            <c:idx val="1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1-D4CF-4982-95CF-C4F0AA51F912}"/>
              </c:ext>
            </c:extLst>
          </c:dPt>
          <c:val>
            <c:numRef>
              <c:f>'Business KPIs'!$D$14:$E$14</c:f>
              <c:numCache>
                <c:formatCode>General</c:formatCode>
                <c:ptCount val="2"/>
                <c:pt idx="0">
                  <c:v>0.17549999999999999</c:v>
                </c:pt>
                <c:pt idx="1">
                  <c:v>0.82450000000000001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CF-4982-95CF-C4F0AA51F912}"/>
            </c:ext>
          </c:extLst>
        </c:ser>
        <c:ser>
          <c:idx val="0"/>
          <c:order val="0"/>
          <c:dPt>
            <c:idx val="1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4-D4CF-4982-95CF-C4F0AA51F912}"/>
              </c:ext>
            </c:extLst>
          </c:dPt>
          <c:val>
            <c:numRef>
              <c:f>'Business KPIs'!$D$14:$E$14</c:f>
              <c:numCache>
                <c:formatCode>General</c:formatCode>
                <c:ptCount val="2"/>
                <c:pt idx="0">
                  <c:v>0.17549999999999999</c:v>
                </c:pt>
                <c:pt idx="1">
                  <c:v>0.82450000000000001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CF-4982-95CF-C4F0AA51F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1-8744-425A-9085-D29198304226}"/>
              </c:ext>
            </c:extLst>
          </c:dPt>
          <c:val>
            <c:numRef>
              <c:f>'Business KPIs'!$D$15:$E$15</c:f>
              <c:numCache>
                <c:formatCode>General</c:formatCode>
                <c:ptCount val="2"/>
                <c:pt idx="0">
                  <c:v>8.5500000000000007E-2</c:v>
                </c:pt>
                <c:pt idx="1">
                  <c:v>0.91449999999999998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44-425A-9085-D2919830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1-32CD-4297-9726-B1F6EA9962C0}"/>
              </c:ext>
            </c:extLst>
          </c:dPt>
          <c:val>
            <c:numRef>
              <c:f>'Business KPIs'!$D$16:$E$16</c:f>
              <c:numCache>
                <c:formatCode>General</c:formatCode>
                <c:ptCount val="2"/>
                <c:pt idx="0">
                  <c:v>9.0499999999999997E-2</c:v>
                </c:pt>
                <c:pt idx="1">
                  <c:v>0.90949999999999998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D-4297-9726-B1F6EA996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1-89B3-4302-BF63-E7A1D27B62BF}"/>
              </c:ext>
            </c:extLst>
          </c:dPt>
          <c:val>
            <c:numRef>
              <c:f>'Business KPIs'!$D$17:$E$17</c:f>
              <c:numCache>
                <c:formatCode>General</c:formatCode>
                <c:ptCount val="2"/>
                <c:pt idx="0">
                  <c:v>7.0999999999999994E-2</c:v>
                </c:pt>
                <c:pt idx="1">
                  <c:v>0.92900000000000005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B3-4302-BF63-E7A1D27B6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1-FDEB-4439-BA36-EC857AE7674B}"/>
              </c:ext>
            </c:extLst>
          </c:dPt>
          <c:val>
            <c:numRef>
              <c:f>'Business KPIs'!$D$18:$E$18</c:f>
              <c:numCache>
                <c:formatCode>General</c:formatCode>
                <c:ptCount val="2"/>
                <c:pt idx="0">
                  <c:v>6.5000000000000002E-2</c:v>
                </c:pt>
                <c:pt idx="1">
                  <c:v>0.93500000000000005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B-4439-BA36-EC857AE76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1-9CD2-4895-8EE9-9B2AEB2AE678}"/>
              </c:ext>
            </c:extLst>
          </c:dPt>
          <c:val>
            <c:numRef>
              <c:f>'Business KPIs'!$D$19:$E$19</c:f>
              <c:numCache>
                <c:formatCode>General</c:formatCode>
                <c:ptCount val="2"/>
                <c:pt idx="0">
                  <c:v>1.2500000000000001E-2</c:v>
                </c:pt>
                <c:pt idx="1">
                  <c:v>0.98750000000000004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2-4895-8EE9-9B2AEB2A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900" b="1">
                <a:solidFill>
                  <a:srgbClr val="002060"/>
                </a:solidFill>
              </a:rPr>
              <a:t>Revenues and GM% development: FY11-FY13</a:t>
            </a:r>
          </a:p>
        </c:rich>
      </c:tx>
      <c:layout>
        <c:manualLayout>
          <c:xMode val="edge"/>
          <c:yMode val="edge"/>
          <c:x val="2.9982363315696647E-2"/>
          <c:y val="3.197441241352432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'Financials Kinemax'!$B$4</c:f>
              <c:strCache>
                <c:ptCount val="1"/>
                <c:pt idx="0">
                  <c:v>Cinema revenues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dLbl>
              <c:idx val="0"/>
              <c:layout>
                <c:manualLayout>
                  <c:x val="3.5273368606701938E-3"/>
                  <c:y val="4.4764177378934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6F-4DB5-A7CC-CB2D086C8D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'Financials Kinemax'!$C$3:$E$3</c:f>
              <c:strCache>
                <c:ptCount val="3"/>
                <c:pt idx="0">
                  <c:v>FY11
Act</c:v>
                </c:pt>
                <c:pt idx="1">
                  <c:v>FY12
Act</c:v>
                </c:pt>
                <c:pt idx="2">
                  <c:v>FY13
Act</c:v>
                </c:pt>
              </c:strCache>
            </c:strRef>
          </c:cat>
          <c:val>
            <c:numRef>
              <c:f>'Financials Kinemax'!$C$4:$E$4</c:f>
              <c:numCache>
                <c:formatCode>0.0</c:formatCode>
                <c:ptCount val="3"/>
                <c:pt idx="0">
                  <c:v>135.30071023813738</c:v>
                </c:pt>
                <c:pt idx="1">
                  <c:v>152.53744108019998</c:v>
                </c:pt>
                <c:pt idx="2">
                  <c:v>169.11024509999999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F-4DB5-A7CC-CB2D086C8D75}"/>
            </c:ext>
          </c:extLst>
        </c:ser>
        <c:ser>
          <c:idx val="1"/>
          <c:order val="1"/>
          <c:tx>
            <c:strRef>
              <c:f>'Financials Kinemax'!$B$5</c:f>
              <c:strCache>
                <c:ptCount val="1"/>
                <c:pt idx="0">
                  <c:v>Other revenues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'Financials Kinemax'!$C$3:$E$3</c:f>
              <c:strCache>
                <c:ptCount val="3"/>
                <c:pt idx="0">
                  <c:v>FY11
Act</c:v>
                </c:pt>
                <c:pt idx="1">
                  <c:v>FY12
Act</c:v>
                </c:pt>
                <c:pt idx="2">
                  <c:v>FY13
Act</c:v>
                </c:pt>
              </c:strCache>
            </c:strRef>
          </c:cat>
          <c:val>
            <c:numRef>
              <c:f>'Financials Kinemax'!$C$5:$E$5</c:f>
              <c:numCache>
                <c:formatCode>0.0</c:formatCode>
                <c:ptCount val="3"/>
                <c:pt idx="0">
                  <c:v>102.57609782919715</c:v>
                </c:pt>
                <c:pt idx="1">
                  <c:v>119.55256157249086</c:v>
                </c:pt>
                <c:pt idx="2">
                  <c:v>138.21105384102989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6F-4DB5-A7CC-CB2D086C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3577472"/>
        <c:axId val="103579008"/>
      </c:barChart>
      <c:lineChart>
        <c:grouping val="standard"/>
        <c:varyColors val="0"/>
        <c:ser>
          <c:idx val="2"/>
          <c:order val="2"/>
          <c:tx>
            <c:strRef>
              <c:f>'Financials Kinemax'!$B$17</c:f>
              <c:strCache>
                <c:ptCount val="1"/>
                <c:pt idx="0">
                  <c:v>Gross Margin %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'Financials Kinemax'!$C$17:$E$17</c:f>
              <c:numCache>
                <c:formatCode>0.0%</c:formatCode>
                <c:ptCount val="3"/>
                <c:pt idx="0">
                  <c:v>0.22700000000000001</c:v>
                </c:pt>
                <c:pt idx="1">
                  <c:v>0.23799999999999999</c:v>
                </c:pt>
                <c:pt idx="2">
                  <c:v>0.25460715606785039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6F-4DB5-A7CC-CB2D086C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95008"/>
        <c:axId val="103593472"/>
      </c:lineChart>
      <c:catAx>
        <c:axId val="103577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3579008"/>
        <c:crosses val="autoZero"/>
        <c:auto val="1"/>
        <c:lblAlgn val="ctr"/>
        <c:lblOffset val="100"/>
        <c:noMultiLvlLbl val="0"/>
      </c:catAx>
      <c:valAx>
        <c:axId val="103579008"/>
        <c:scaling>
          <c:orientation val="minMax"/>
          <c:max val="400"/>
          <c:min val="0"/>
        </c:scaling>
        <c:delete val="0"/>
        <c:axPos val="l"/>
        <c:majorGridlines>
          <c:spPr>
            <a:ln>
              <a:solidFill>
                <a:schemeClr val="accent1">
                  <a:alpha val="19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Euro</a:t>
                </a:r>
                <a:r>
                  <a:rPr lang="en-US" b="0" baseline="0"/>
                  <a:t> in millions</a:t>
                </a:r>
                <a:endParaRPr lang="en-US" b="0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spPr>
          <a:ln>
            <a:noFill/>
          </a:ln>
        </c:spPr>
        <c:crossAx val="103577472"/>
        <c:crosses val="autoZero"/>
        <c:crossBetween val="between"/>
        <c:majorUnit val="100"/>
      </c:valAx>
      <c:valAx>
        <c:axId val="103593472"/>
        <c:scaling>
          <c:orientation val="minMax"/>
          <c:min val="0.22000000000000003"/>
        </c:scaling>
        <c:delete val="0"/>
        <c:axPos val="r"/>
        <c:numFmt formatCode="0.0%" sourceLinked="1"/>
        <c:majorTickMark val="out"/>
        <c:minorTickMark val="none"/>
        <c:tickLblPos val="nextTo"/>
        <c:spPr>
          <a:ln>
            <a:noFill/>
          </a:ln>
        </c:spPr>
        <c:crossAx val="103595008"/>
        <c:crosses val="max"/>
        <c:crossBetween val="between"/>
        <c:majorUnit val="1.0000000000000002E-2"/>
      </c:valAx>
      <c:catAx>
        <c:axId val="103595008"/>
        <c:scaling>
          <c:orientation val="minMax"/>
        </c:scaling>
        <c:delete val="1"/>
        <c:axPos val="b"/>
        <c:majorTickMark val="out"/>
        <c:minorTickMark val="none"/>
        <c:tickLblPos val="nextTo"/>
        <c:crossAx val="10359347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457199</xdr:colOff>
      <xdr:row>2</xdr:row>
      <xdr:rowOff>228599</xdr:rowOff>
    </xdr:from>
    <xdr:to>
      <xdr:col>13</xdr:col>
      <xdr:colOff>133350</xdr:colOff>
      <xdr:row>14</xdr:row>
      <xdr:rowOff>4761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10</xdr:row>
      <xdr:rowOff>66674</xdr:rowOff>
    </xdr:from>
    <xdr:to>
      <xdr:col>7</xdr:col>
      <xdr:colOff>152400</xdr:colOff>
      <xdr:row>14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828675</xdr:colOff>
      <xdr:row>10</xdr:row>
      <xdr:rowOff>76200</xdr:rowOff>
    </xdr:from>
    <xdr:to>
      <xdr:col>7</xdr:col>
      <xdr:colOff>752475</xdr:colOff>
      <xdr:row>14</xdr:row>
      <xdr:rowOff>104777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714375</xdr:colOff>
      <xdr:row>10</xdr:row>
      <xdr:rowOff>85725</xdr:rowOff>
    </xdr:from>
    <xdr:to>
      <xdr:col>8</xdr:col>
      <xdr:colOff>638175</xdr:colOff>
      <xdr:row>14</xdr:row>
      <xdr:rowOff>114302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590550</xdr:colOff>
      <xdr:row>10</xdr:row>
      <xdr:rowOff>123825</xdr:rowOff>
    </xdr:from>
    <xdr:to>
      <xdr:col>9</xdr:col>
      <xdr:colOff>390525</xdr:colOff>
      <xdr:row>15</xdr:row>
      <xdr:rowOff>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257175</xdr:colOff>
      <xdr:row>10</xdr:row>
      <xdr:rowOff>114300</xdr:rowOff>
    </xdr:from>
    <xdr:to>
      <xdr:col>10</xdr:col>
      <xdr:colOff>333375</xdr:colOff>
      <xdr:row>14</xdr:row>
      <xdr:rowOff>142877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95250</xdr:colOff>
      <xdr:row>10</xdr:row>
      <xdr:rowOff>114300</xdr:rowOff>
    </xdr:from>
    <xdr:to>
      <xdr:col>11</xdr:col>
      <xdr:colOff>276225</xdr:colOff>
      <xdr:row>14</xdr:row>
      <xdr:rowOff>142877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4</xdr:row>
      <xdr:rowOff>90487</xdr:rowOff>
    </xdr:from>
    <xdr:to>
      <xdr:col>15</xdr:col>
      <xdr:colOff>228600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B14"/>
  <sheetViews>
    <sheetView workbookViewId="0">
      <selection activeCell="E14" sqref="E14"/>
    </sheetView>
  </sheetViews>
  <sheetFormatPr defaultColWidth="9.109375" defaultRowHeight="11.4" x14ac:dyDescent="0.2"/>
  <cols>
    <col min="1" max="1" width="2" style="1" customWidth="1"/>
    <col min="2" max="16384" width="9.109375" style="1"/>
  </cols>
  <sheetData>
    <row r="14" spans="1:2" ht="40.200000000000003" x14ac:dyDescent="0.7">
      <c r="A14" s="20"/>
      <c r="B14" s="2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9"/>
  <sheetViews>
    <sheetView workbookViewId="0">
      <selection activeCell="F16" sqref="F16"/>
    </sheetView>
  </sheetViews>
  <sheetFormatPr defaultColWidth="9.109375" defaultRowHeight="11.4" x14ac:dyDescent="0.2"/>
  <cols>
    <col min="1" max="1" width="2" style="1" customWidth="1"/>
    <col min="2" max="2" width="26.33203125" style="1" customWidth="1"/>
    <col min="3" max="3" width="11.109375" style="1" bestFit="1" customWidth="1"/>
    <col min="4" max="4" width="9.6640625" style="1" customWidth="1"/>
    <col min="5" max="5" width="9.88671875" style="1" customWidth="1"/>
    <col min="6" max="6" width="11.109375" style="1" customWidth="1"/>
    <col min="7" max="16384" width="9.109375" style="1"/>
  </cols>
  <sheetData>
    <row r="1" spans="2:7" ht="15.6" x14ac:dyDescent="0.3">
      <c r="B1" s="2" t="s">
        <v>0</v>
      </c>
    </row>
    <row r="3" spans="2:7" ht="24.6" thickBot="1" x14ac:dyDescent="0.3">
      <c r="B3" s="3" t="s">
        <v>1</v>
      </c>
      <c r="C3" s="7" t="s">
        <v>8</v>
      </c>
      <c r="D3" s="4" t="s">
        <v>4</v>
      </c>
      <c r="E3" s="4" t="s">
        <v>3</v>
      </c>
      <c r="F3" s="4" t="s">
        <v>2</v>
      </c>
      <c r="G3" s="4" t="s">
        <v>36</v>
      </c>
    </row>
    <row r="4" spans="2:7" x14ac:dyDescent="0.2">
      <c r="B4" s="1" t="s">
        <v>5</v>
      </c>
      <c r="C4" s="6" t="s">
        <v>9</v>
      </c>
      <c r="D4" s="5" t="s">
        <v>15</v>
      </c>
      <c r="E4" s="5" t="s">
        <v>16</v>
      </c>
      <c r="F4" s="8">
        <v>39965</v>
      </c>
      <c r="G4" s="1">
        <v>342</v>
      </c>
    </row>
    <row r="5" spans="2:7" x14ac:dyDescent="0.2">
      <c r="B5" s="1" t="s">
        <v>6</v>
      </c>
      <c r="C5" s="6" t="s">
        <v>10</v>
      </c>
      <c r="D5" s="14">
        <v>1</v>
      </c>
      <c r="E5" s="5" t="s">
        <v>17</v>
      </c>
      <c r="F5" s="8">
        <v>40210</v>
      </c>
      <c r="G5" s="1">
        <v>156</v>
      </c>
    </row>
    <row r="6" spans="2:7" x14ac:dyDescent="0.2">
      <c r="B6" s="1" t="s">
        <v>7</v>
      </c>
      <c r="C6" s="6" t="s">
        <v>10</v>
      </c>
      <c r="D6" s="14">
        <v>1</v>
      </c>
      <c r="E6" s="5" t="s">
        <v>18</v>
      </c>
      <c r="F6" s="8">
        <v>40483</v>
      </c>
      <c r="G6" s="1">
        <v>192</v>
      </c>
    </row>
    <row r="7" spans="2:7" x14ac:dyDescent="0.2">
      <c r="B7" s="1" t="s">
        <v>11</v>
      </c>
      <c r="C7" s="6" t="s">
        <v>10</v>
      </c>
      <c r="D7" s="14">
        <v>1</v>
      </c>
      <c r="E7" s="5" t="s">
        <v>19</v>
      </c>
      <c r="F7" s="8">
        <v>40603</v>
      </c>
      <c r="G7" s="1">
        <v>134</v>
      </c>
    </row>
    <row r="8" spans="2:7" x14ac:dyDescent="0.2">
      <c r="B8" s="1" t="s">
        <v>12</v>
      </c>
      <c r="C8" s="6" t="s">
        <v>10</v>
      </c>
      <c r="D8" s="14">
        <v>0.8</v>
      </c>
      <c r="E8" s="5" t="s">
        <v>20</v>
      </c>
      <c r="F8" s="8">
        <v>40725</v>
      </c>
      <c r="G8" s="1">
        <v>124</v>
      </c>
    </row>
    <row r="9" spans="2:7" x14ac:dyDescent="0.2">
      <c r="B9" s="1" t="s">
        <v>13</v>
      </c>
      <c r="C9" s="6" t="s">
        <v>14</v>
      </c>
      <c r="D9" s="14">
        <v>0.49</v>
      </c>
      <c r="E9" s="5" t="s">
        <v>21</v>
      </c>
      <c r="F9" s="8">
        <v>41214</v>
      </c>
      <c r="G9" s="1">
        <v>38</v>
      </c>
    </row>
    <row r="10" spans="2:7" x14ac:dyDescent="0.2">
      <c r="C10" s="6"/>
    </row>
    <row r="11" spans="2:7" x14ac:dyDescent="0.2">
      <c r="C11" s="6"/>
    </row>
    <row r="12" spans="2:7" x14ac:dyDescent="0.2">
      <c r="C12" s="6"/>
    </row>
    <row r="13" spans="2:7" x14ac:dyDescent="0.2">
      <c r="C13" s="6"/>
    </row>
    <row r="14" spans="2:7" x14ac:dyDescent="0.2">
      <c r="C14" s="6"/>
    </row>
    <row r="15" spans="2:7" x14ac:dyDescent="0.2">
      <c r="C15" s="6"/>
    </row>
    <row r="16" spans="2:7" x14ac:dyDescent="0.2">
      <c r="C16" s="6"/>
    </row>
    <row r="17" spans="3:3" x14ac:dyDescent="0.2">
      <c r="C17" s="6"/>
    </row>
    <row r="18" spans="3:3" x14ac:dyDescent="0.2">
      <c r="C18" s="6"/>
    </row>
    <row r="19" spans="3:3" x14ac:dyDescent="0.2">
      <c r="C19" s="6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7"/>
  <sheetViews>
    <sheetView workbookViewId="0">
      <selection activeCell="G7" sqref="G7"/>
    </sheetView>
  </sheetViews>
  <sheetFormatPr defaultColWidth="9.109375" defaultRowHeight="11.4" x14ac:dyDescent="0.2"/>
  <cols>
    <col min="1" max="1" width="2" style="1" customWidth="1"/>
    <col min="2" max="2" width="10.33203125" style="1" bestFit="1" customWidth="1"/>
    <col min="3" max="3" width="13.6640625" style="1" customWidth="1"/>
    <col min="4" max="16384" width="9.109375" style="1"/>
  </cols>
  <sheetData>
    <row r="1" spans="2:3" ht="15.6" x14ac:dyDescent="0.3">
      <c r="B1" s="2" t="s">
        <v>26</v>
      </c>
    </row>
    <row r="3" spans="2:3" ht="12.6" thickBot="1" x14ac:dyDescent="0.3">
      <c r="B3" s="3" t="s">
        <v>27</v>
      </c>
      <c r="C3" s="4"/>
    </row>
    <row r="4" spans="2:3" x14ac:dyDescent="0.2">
      <c r="B4" s="1" t="s">
        <v>22</v>
      </c>
      <c r="C4" s="10">
        <v>50</v>
      </c>
    </row>
    <row r="5" spans="2:3" x14ac:dyDescent="0.2">
      <c r="B5" s="1" t="s">
        <v>23</v>
      </c>
      <c r="C5" s="11">
        <v>50</v>
      </c>
    </row>
    <row r="6" spans="2:3" x14ac:dyDescent="0.2">
      <c r="B6" s="1" t="s">
        <v>24</v>
      </c>
      <c r="C6" s="11">
        <v>40</v>
      </c>
    </row>
    <row r="7" spans="2:3" ht="12.6" thickBot="1" x14ac:dyDescent="0.3">
      <c r="B7" s="9" t="s">
        <v>25</v>
      </c>
      <c r="C7" s="12">
        <f>SUM(C4:C6)</f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9"/>
  <sheetViews>
    <sheetView workbookViewId="0">
      <selection activeCell="H20" sqref="H20"/>
    </sheetView>
  </sheetViews>
  <sheetFormatPr defaultColWidth="9.109375" defaultRowHeight="11.4" x14ac:dyDescent="0.2"/>
  <cols>
    <col min="1" max="1" width="2" style="1" customWidth="1"/>
    <col min="2" max="2" width="25.5546875" style="1" customWidth="1"/>
    <col min="3" max="5" width="9.109375" style="1"/>
    <col min="6" max="6" width="11.6640625" style="1" customWidth="1"/>
    <col min="7" max="8" width="13" style="1" customWidth="1"/>
    <col min="9" max="9" width="14.88671875" style="1" customWidth="1"/>
    <col min="10" max="10" width="10.6640625" style="1" bestFit="1" customWidth="1"/>
    <col min="11" max="16384" width="9.109375" style="1"/>
  </cols>
  <sheetData>
    <row r="1" spans="2:12" ht="15.6" x14ac:dyDescent="0.3">
      <c r="B1" s="2" t="s">
        <v>28</v>
      </c>
    </row>
    <row r="2" spans="2:12" ht="11.25" customHeight="1" x14ac:dyDescent="0.2"/>
    <row r="3" spans="2:12" ht="27" customHeight="1" thickBot="1" x14ac:dyDescent="0.3">
      <c r="B3" s="3" t="s">
        <v>1</v>
      </c>
      <c r="C3" s="4" t="s">
        <v>29</v>
      </c>
      <c r="D3" s="4" t="s">
        <v>30</v>
      </c>
      <c r="E3" s="4" t="s">
        <v>31</v>
      </c>
      <c r="F3" s="4" t="s">
        <v>41</v>
      </c>
      <c r="G3" s="4" t="s">
        <v>32</v>
      </c>
      <c r="H3" s="4" t="s">
        <v>33</v>
      </c>
      <c r="I3" s="4" t="s">
        <v>35</v>
      </c>
      <c r="J3" s="4" t="s">
        <v>53</v>
      </c>
    </row>
    <row r="4" spans="2:12" x14ac:dyDescent="0.2">
      <c r="B4" s="1" t="s">
        <v>5</v>
      </c>
      <c r="C4" s="13">
        <f>1-SUM(C5:C9)</f>
        <v>0.47499999999999998</v>
      </c>
      <c r="D4" s="13">
        <f>1-SUM(D5:D9)</f>
        <v>0.37</v>
      </c>
      <c r="E4" s="13">
        <f>1-SUM(E5:E9)</f>
        <v>0.35099999999999998</v>
      </c>
      <c r="F4" s="13">
        <v>0.26300000000000001</v>
      </c>
      <c r="G4" s="15">
        <v>0.439</v>
      </c>
      <c r="H4" s="1">
        <v>145</v>
      </c>
      <c r="I4" s="1">
        <v>5.5</v>
      </c>
      <c r="J4" s="15">
        <v>0.435</v>
      </c>
      <c r="K4" s="15">
        <f>1-J4</f>
        <v>0.56499999999999995</v>
      </c>
      <c r="L4" s="50"/>
    </row>
    <row r="5" spans="2:12" x14ac:dyDescent="0.2">
      <c r="B5" s="1" t="s">
        <v>6</v>
      </c>
      <c r="C5" s="13">
        <v>0.21199999999999999</v>
      </c>
      <c r="D5" s="13">
        <v>0.19400000000000001</v>
      </c>
      <c r="E5" s="13">
        <v>0.17100000000000001</v>
      </c>
      <c r="F5" s="13">
        <v>0.248</v>
      </c>
      <c r="G5" s="15">
        <v>0.374</v>
      </c>
      <c r="H5" s="1">
        <v>49</v>
      </c>
      <c r="I5" s="1">
        <v>5.9</v>
      </c>
      <c r="J5" s="15">
        <v>0.48899999999999999</v>
      </c>
      <c r="K5" s="15">
        <f t="shared" ref="K5:K9" si="0">1-J5</f>
        <v>0.51100000000000001</v>
      </c>
      <c r="L5" s="8"/>
    </row>
    <row r="6" spans="2:12" x14ac:dyDescent="0.2">
      <c r="B6" s="1" t="s">
        <v>7</v>
      </c>
      <c r="C6" s="13">
        <v>0.17</v>
      </c>
      <c r="D6" s="13">
        <v>0.19400000000000001</v>
      </c>
      <c r="E6" s="13">
        <v>0.18099999999999999</v>
      </c>
      <c r="F6" s="13">
        <v>0.29799999999999999</v>
      </c>
      <c r="G6" s="15">
        <v>0.371</v>
      </c>
      <c r="H6" s="1">
        <v>58</v>
      </c>
      <c r="I6" s="1">
        <v>6.1</v>
      </c>
      <c r="J6" s="15">
        <v>0.45300000000000001</v>
      </c>
      <c r="K6" s="15">
        <f t="shared" si="0"/>
        <v>0.54699999999999993</v>
      </c>
      <c r="L6" s="8"/>
    </row>
    <row r="7" spans="2:12" x14ac:dyDescent="0.2">
      <c r="B7" s="1" t="s">
        <v>11</v>
      </c>
      <c r="C7" s="13">
        <v>8.2000000000000003E-2</v>
      </c>
      <c r="D7" s="13">
        <v>0.125</v>
      </c>
      <c r="E7" s="13">
        <v>0.14199999999999999</v>
      </c>
      <c r="F7" s="13">
        <v>0.32300000000000001</v>
      </c>
      <c r="G7" s="15">
        <v>0.42299999999999999</v>
      </c>
      <c r="H7" s="1">
        <v>36</v>
      </c>
      <c r="I7" s="1">
        <v>6.5</v>
      </c>
      <c r="J7" s="15">
        <v>0.501</v>
      </c>
      <c r="K7" s="15">
        <f t="shared" si="0"/>
        <v>0.499</v>
      </c>
      <c r="L7" s="8"/>
    </row>
    <row r="8" spans="2:12" x14ac:dyDescent="0.2">
      <c r="B8" s="1" t="s">
        <v>12</v>
      </c>
      <c r="C8" s="13">
        <v>6.0999999999999999E-2</v>
      </c>
      <c r="D8" s="13">
        <v>0.115</v>
      </c>
      <c r="E8" s="13">
        <v>0.13</v>
      </c>
      <c r="F8" s="13">
        <v>0.22700000000000001</v>
      </c>
      <c r="G8" s="15">
        <v>0.42899999999999999</v>
      </c>
      <c r="H8" s="1">
        <v>34</v>
      </c>
      <c r="I8" s="1">
        <v>4.8</v>
      </c>
      <c r="J8" s="15">
        <v>0.38300000000000001</v>
      </c>
      <c r="K8" s="15">
        <f t="shared" si="0"/>
        <v>0.61699999999999999</v>
      </c>
      <c r="L8" s="8"/>
    </row>
    <row r="9" spans="2:12" x14ac:dyDescent="0.2">
      <c r="B9" s="1" t="s">
        <v>13</v>
      </c>
      <c r="C9" s="13">
        <v>0</v>
      </c>
      <c r="D9" s="13">
        <v>2E-3</v>
      </c>
      <c r="E9" s="13">
        <v>2.5000000000000001E-2</v>
      </c>
      <c r="F9" s="13">
        <v>0.186</v>
      </c>
      <c r="G9" s="15">
        <v>0.29299999999999998</v>
      </c>
      <c r="H9" s="1">
        <v>12</v>
      </c>
      <c r="I9" s="1">
        <v>3.9</v>
      </c>
      <c r="J9" s="15">
        <v>0.32300000000000001</v>
      </c>
      <c r="K9" s="15">
        <f t="shared" si="0"/>
        <v>0.67700000000000005</v>
      </c>
      <c r="L9" s="8"/>
    </row>
    <row r="10" spans="2:12" x14ac:dyDescent="0.2">
      <c r="B10" s="16" t="s">
        <v>34</v>
      </c>
    </row>
    <row r="14" spans="2:12" x14ac:dyDescent="0.2">
      <c r="C14" s="1">
        <v>0.35099999999999998</v>
      </c>
      <c r="D14" s="1">
        <f t="shared" ref="D14:D19" si="1">C14/2</f>
        <v>0.17549999999999999</v>
      </c>
      <c r="E14" s="1">
        <f t="shared" ref="E14:E19" si="2">1-D14</f>
        <v>0.82450000000000001</v>
      </c>
    </row>
    <row r="15" spans="2:12" x14ac:dyDescent="0.2">
      <c r="C15" s="1">
        <v>0.17100000000000001</v>
      </c>
      <c r="D15" s="1">
        <f t="shared" si="1"/>
        <v>8.5500000000000007E-2</v>
      </c>
      <c r="E15" s="1">
        <f t="shared" si="2"/>
        <v>0.91449999999999998</v>
      </c>
    </row>
    <row r="16" spans="2:12" x14ac:dyDescent="0.2">
      <c r="C16" s="1">
        <v>0.18099999999999999</v>
      </c>
      <c r="D16" s="1">
        <f t="shared" si="1"/>
        <v>9.0499999999999997E-2</v>
      </c>
      <c r="E16" s="1">
        <f t="shared" si="2"/>
        <v>0.90949999999999998</v>
      </c>
    </row>
    <row r="17" spans="3:5" x14ac:dyDescent="0.2">
      <c r="C17" s="1">
        <v>0.14199999999999999</v>
      </c>
      <c r="D17" s="1">
        <f t="shared" si="1"/>
        <v>7.0999999999999994E-2</v>
      </c>
      <c r="E17" s="1">
        <f t="shared" si="2"/>
        <v>0.92900000000000005</v>
      </c>
    </row>
    <row r="18" spans="3:5" x14ac:dyDescent="0.2">
      <c r="C18" s="1">
        <v>0.13</v>
      </c>
      <c r="D18" s="1">
        <f t="shared" si="1"/>
        <v>6.5000000000000002E-2</v>
      </c>
      <c r="E18" s="1">
        <f t="shared" si="2"/>
        <v>0.93500000000000005</v>
      </c>
    </row>
    <row r="19" spans="3:5" x14ac:dyDescent="0.2">
      <c r="C19" s="1">
        <v>2.5000000000000001E-2</v>
      </c>
      <c r="D19" s="1">
        <f t="shared" si="1"/>
        <v>1.2500000000000001E-2</v>
      </c>
      <c r="E19" s="1">
        <f t="shared" si="2"/>
        <v>0.98750000000000004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"/>
  <sheetViews>
    <sheetView workbookViewId="0">
      <selection activeCell="C8" sqref="C8"/>
    </sheetView>
  </sheetViews>
  <sheetFormatPr defaultColWidth="9.109375" defaultRowHeight="11.4" x14ac:dyDescent="0.2"/>
  <cols>
    <col min="1" max="1" width="2" style="1" customWidth="1"/>
    <col min="2" max="2" width="22.88671875" style="1" bestFit="1" customWidth="1"/>
    <col min="3" max="16384" width="9.109375" style="1"/>
  </cols>
  <sheetData>
    <row r="1" spans="2:5" ht="15.6" x14ac:dyDescent="0.3">
      <c r="B1" s="2" t="s">
        <v>37</v>
      </c>
    </row>
    <row r="3" spans="2:5" ht="12.6" thickBot="1" x14ac:dyDescent="0.3">
      <c r="B3" s="3"/>
      <c r="C3" s="17" t="s">
        <v>38</v>
      </c>
      <c r="D3" s="17" t="s">
        <v>39</v>
      </c>
      <c r="E3" s="17" t="s">
        <v>40</v>
      </c>
    </row>
    <row r="4" spans="2:5" x14ac:dyDescent="0.2">
      <c r="B4" s="1" t="s">
        <v>5</v>
      </c>
      <c r="C4" s="15">
        <v>0.56299999999999994</v>
      </c>
      <c r="D4" s="15">
        <v>0.11700000000000001</v>
      </c>
      <c r="E4" s="15">
        <f>1-D4-C4</f>
        <v>0.32000000000000006</v>
      </c>
    </row>
    <row r="5" spans="2:5" x14ac:dyDescent="0.2">
      <c r="B5" s="1" t="s">
        <v>6</v>
      </c>
      <c r="C5" s="15">
        <v>0.498</v>
      </c>
      <c r="D5" s="15">
        <v>0.14899999999999999</v>
      </c>
      <c r="E5" s="15">
        <f>1-D5-C5</f>
        <v>0.35299999999999998</v>
      </c>
    </row>
    <row r="6" spans="2:5" x14ac:dyDescent="0.2">
      <c r="B6" s="1" t="s">
        <v>7</v>
      </c>
      <c r="C6" s="15">
        <v>0.53900000000000003</v>
      </c>
      <c r="D6" s="15">
        <v>8.8999999999999996E-2</v>
      </c>
      <c r="E6" s="15">
        <f t="shared" ref="E6:E9" si="0">1-D6-C6</f>
        <v>0.372</v>
      </c>
    </row>
    <row r="7" spans="2:5" x14ac:dyDescent="0.2">
      <c r="B7" s="1" t="s">
        <v>11</v>
      </c>
      <c r="C7" s="15">
        <v>0.46300000000000002</v>
      </c>
      <c r="D7" s="15">
        <v>0.21299999999999999</v>
      </c>
      <c r="E7" s="15">
        <f t="shared" si="0"/>
        <v>0.32400000000000001</v>
      </c>
    </row>
    <row r="8" spans="2:5" x14ac:dyDescent="0.2">
      <c r="B8" s="1" t="s">
        <v>12</v>
      </c>
      <c r="C8" s="15">
        <v>0.57299999999999995</v>
      </c>
      <c r="D8" s="15">
        <v>0.159</v>
      </c>
      <c r="E8" s="15">
        <f t="shared" si="0"/>
        <v>0.26800000000000002</v>
      </c>
    </row>
    <row r="9" spans="2:5" x14ac:dyDescent="0.2">
      <c r="B9" s="1" t="s">
        <v>13</v>
      </c>
      <c r="C9" s="15">
        <v>0.60399999999999998</v>
      </c>
      <c r="D9" s="15">
        <v>7.2999999999999995E-2</v>
      </c>
      <c r="E9" s="15">
        <f t="shared" si="0"/>
        <v>0.32300000000000006</v>
      </c>
    </row>
    <row r="10" spans="2:5" x14ac:dyDescent="0.2">
      <c r="C10" s="15"/>
      <c r="D10" s="15"/>
      <c r="E10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4"/>
  <sheetViews>
    <sheetView workbookViewId="0">
      <selection activeCell="I17" sqref="I17"/>
    </sheetView>
  </sheetViews>
  <sheetFormatPr defaultColWidth="9.109375" defaultRowHeight="11.4" x14ac:dyDescent="0.2"/>
  <cols>
    <col min="1" max="1" width="2" style="1" customWidth="1"/>
    <col min="2" max="2" width="25.5546875" style="1" customWidth="1"/>
    <col min="3" max="3" width="14.5546875" style="1" bestFit="1" customWidth="1"/>
    <col min="4" max="4" width="11" style="1" bestFit="1" customWidth="1"/>
    <col min="5" max="5" width="9.109375" style="1"/>
    <col min="6" max="6" width="13.88671875" style="1" customWidth="1"/>
    <col min="7" max="7" width="13.5546875" style="1" bestFit="1" customWidth="1"/>
    <col min="8" max="8" width="11.6640625" style="1" customWidth="1"/>
    <col min="9" max="10" width="13" style="1" customWidth="1"/>
    <col min="11" max="11" width="14.88671875" style="1" customWidth="1"/>
    <col min="12" max="16384" width="9.109375" style="1"/>
  </cols>
  <sheetData>
    <row r="1" spans="2:14" ht="15.6" x14ac:dyDescent="0.3">
      <c r="B1" s="2" t="s">
        <v>28</v>
      </c>
    </row>
    <row r="2" spans="2:14" ht="11.25" customHeight="1" x14ac:dyDescent="0.2"/>
    <row r="3" spans="2:14" ht="28.5" customHeight="1" thickBot="1" x14ac:dyDescent="0.3">
      <c r="B3" s="3" t="s">
        <v>1</v>
      </c>
      <c r="C3" s="4" t="s">
        <v>29</v>
      </c>
      <c r="D3" s="4" t="s">
        <v>30</v>
      </c>
      <c r="E3" s="4" t="s">
        <v>31</v>
      </c>
      <c r="F3" s="4" t="s">
        <v>42</v>
      </c>
      <c r="G3" s="4" t="s">
        <v>43</v>
      </c>
      <c r="H3" s="4" t="s">
        <v>41</v>
      </c>
      <c r="I3" s="4" t="s">
        <v>32</v>
      </c>
      <c r="J3" s="4" t="s">
        <v>33</v>
      </c>
      <c r="K3" s="4" t="s">
        <v>35</v>
      </c>
      <c r="L3" s="4" t="s">
        <v>46</v>
      </c>
    </row>
    <row r="4" spans="2:14" x14ac:dyDescent="0.2">
      <c r="B4" s="1" t="s">
        <v>5</v>
      </c>
      <c r="C4" s="13">
        <f>1-SUM(C5:C9)</f>
        <v>0.47499999999999998</v>
      </c>
      <c r="D4" s="13">
        <f>1-SUM(D5:D9)</f>
        <v>0.37</v>
      </c>
      <c r="E4" s="13">
        <f>1-SUM(E5:E9)</f>
        <v>0.35099999999999998</v>
      </c>
      <c r="F4" s="13">
        <f>H4-1.5%</f>
        <v>0.248</v>
      </c>
      <c r="G4" s="13">
        <f>F4+0.3%</f>
        <v>0.251</v>
      </c>
      <c r="H4" s="13">
        <v>0.26300000000000001</v>
      </c>
      <c r="I4" s="15">
        <v>0.439</v>
      </c>
      <c r="J4" s="1">
        <v>145</v>
      </c>
      <c r="K4" s="1">
        <v>5.5</v>
      </c>
      <c r="L4" s="15">
        <v>0.435</v>
      </c>
      <c r="N4" s="8"/>
    </row>
    <row r="5" spans="2:14" x14ac:dyDescent="0.2">
      <c r="B5" s="1" t="s">
        <v>6</v>
      </c>
      <c r="C5" s="13">
        <v>0.21199999999999999</v>
      </c>
      <c r="D5" s="13">
        <v>0.19400000000000001</v>
      </c>
      <c r="E5" s="13">
        <v>0.17100000000000001</v>
      </c>
      <c r="F5" s="13">
        <f>H5-2%</f>
        <v>0.22800000000000001</v>
      </c>
      <c r="G5" s="13">
        <f>F5+0.7%</f>
        <v>0.23500000000000001</v>
      </c>
      <c r="H5" s="13">
        <v>0.248</v>
      </c>
      <c r="I5" s="15">
        <v>0.374</v>
      </c>
      <c r="J5" s="1">
        <v>49</v>
      </c>
      <c r="K5" s="1">
        <v>5.9</v>
      </c>
      <c r="L5" s="15">
        <v>0.48899999999999999</v>
      </c>
      <c r="N5" s="8"/>
    </row>
    <row r="6" spans="2:14" x14ac:dyDescent="0.2">
      <c r="B6" s="1" t="s">
        <v>7</v>
      </c>
      <c r="C6" s="13">
        <v>0.17</v>
      </c>
      <c r="D6" s="13">
        <v>0.19400000000000001</v>
      </c>
      <c r="E6" s="13">
        <v>0.18099999999999999</v>
      </c>
      <c r="F6" s="13">
        <f>H6-3%</f>
        <v>0.26800000000000002</v>
      </c>
      <c r="G6" s="13">
        <f>F6+1%</f>
        <v>0.27800000000000002</v>
      </c>
      <c r="H6" s="13">
        <v>0.29799999999999999</v>
      </c>
      <c r="I6" s="15">
        <v>0.371</v>
      </c>
      <c r="J6" s="1">
        <v>58</v>
      </c>
      <c r="K6" s="1">
        <v>6.1</v>
      </c>
      <c r="L6" s="15">
        <v>0.45300000000000001</v>
      </c>
      <c r="N6" s="8"/>
    </row>
    <row r="7" spans="2:14" x14ac:dyDescent="0.2">
      <c r="B7" s="1" t="s">
        <v>11</v>
      </c>
      <c r="C7" s="13">
        <v>8.2000000000000003E-2</v>
      </c>
      <c r="D7" s="13">
        <v>0.125</v>
      </c>
      <c r="E7" s="13">
        <v>0.14199999999999999</v>
      </c>
      <c r="F7" s="13">
        <f>H7-4%</f>
        <v>0.28300000000000003</v>
      </c>
      <c r="G7" s="13">
        <f>F7-0.5%</f>
        <v>0.27800000000000002</v>
      </c>
      <c r="H7" s="13">
        <v>0.32300000000000001</v>
      </c>
      <c r="I7" s="15">
        <v>0.42299999999999999</v>
      </c>
      <c r="J7" s="1">
        <v>36</v>
      </c>
      <c r="K7" s="1">
        <v>6.5</v>
      </c>
      <c r="L7" s="15">
        <v>0.501</v>
      </c>
      <c r="N7" s="8"/>
    </row>
    <row r="8" spans="2:14" x14ac:dyDescent="0.2">
      <c r="B8" s="1" t="s">
        <v>12</v>
      </c>
      <c r="C8" s="13">
        <v>6.0999999999999999E-2</v>
      </c>
      <c r="D8" s="13">
        <v>0.115</v>
      </c>
      <c r="E8" s="13">
        <v>0.13</v>
      </c>
      <c r="F8" s="13">
        <f>H8+1%</f>
        <v>0.23700000000000002</v>
      </c>
      <c r="G8" s="13">
        <f>F8-0.3%</f>
        <v>0.23400000000000001</v>
      </c>
      <c r="H8" s="13">
        <v>0.22700000000000001</v>
      </c>
      <c r="I8" s="15">
        <v>0.42899999999999999</v>
      </c>
      <c r="J8" s="1">
        <v>34</v>
      </c>
      <c r="K8" s="1">
        <v>4.8</v>
      </c>
      <c r="L8" s="15">
        <v>0.38300000000000001</v>
      </c>
      <c r="N8" s="8"/>
    </row>
    <row r="9" spans="2:14" x14ac:dyDescent="0.2">
      <c r="B9" s="1" t="s">
        <v>13</v>
      </c>
      <c r="C9" s="13">
        <v>0</v>
      </c>
      <c r="D9" s="13">
        <v>2E-3</v>
      </c>
      <c r="E9" s="13">
        <v>2.5000000000000001E-2</v>
      </c>
      <c r="F9" s="13">
        <f>H9-2%</f>
        <v>0.16600000000000001</v>
      </c>
      <c r="G9" s="13">
        <f>F9+1.3%</f>
        <v>0.17900000000000002</v>
      </c>
      <c r="H9" s="13">
        <v>0.186</v>
      </c>
      <c r="I9" s="15">
        <v>0.29299999999999998</v>
      </c>
      <c r="J9" s="1">
        <v>12</v>
      </c>
      <c r="K9" s="1">
        <v>3.9</v>
      </c>
      <c r="L9" s="15">
        <v>0.32300000000000001</v>
      </c>
      <c r="N9" s="8"/>
    </row>
    <row r="10" spans="2:14" x14ac:dyDescent="0.2">
      <c r="B10" s="16" t="s">
        <v>34</v>
      </c>
    </row>
    <row r="13" spans="2:14" x14ac:dyDescent="0.2">
      <c r="B13" s="1" t="s">
        <v>44</v>
      </c>
      <c r="C13" s="1">
        <v>600</v>
      </c>
      <c r="D13" s="1" t="s">
        <v>45</v>
      </c>
    </row>
    <row r="14" spans="2:14" x14ac:dyDescent="0.2">
      <c r="C14" s="1">
        <v>365</v>
      </c>
      <c r="D14" s="1" t="s">
        <v>47</v>
      </c>
    </row>
    <row r="15" spans="2:14" x14ac:dyDescent="0.2">
      <c r="D15" s="1" t="s">
        <v>48</v>
      </c>
    </row>
    <row r="16" spans="2:14" x14ac:dyDescent="0.2">
      <c r="D16" s="1" t="s">
        <v>49</v>
      </c>
    </row>
    <row r="17" spans="2:7" x14ac:dyDescent="0.2">
      <c r="D17" s="1" t="s">
        <v>50</v>
      </c>
    </row>
    <row r="18" spans="2:7" x14ac:dyDescent="0.2">
      <c r="C18" s="1" t="s">
        <v>51</v>
      </c>
      <c r="D18" s="1" t="s">
        <v>52</v>
      </c>
      <c r="F18" s="1" t="s">
        <v>54</v>
      </c>
    </row>
    <row r="19" spans="2:7" x14ac:dyDescent="0.2">
      <c r="B19" s="1" t="s">
        <v>16</v>
      </c>
      <c r="C19" s="18">
        <f t="shared" ref="C19:C24" si="0">$C$13*$C$14*I4*K4*J4</f>
        <v>76672447.5</v>
      </c>
      <c r="D19" s="19">
        <f t="shared" ref="D19:D24" si="1">F19-C19</f>
        <v>59030999.402654886</v>
      </c>
      <c r="F19" s="18">
        <f t="shared" ref="F19:F24" si="2">C19/(1-L4)</f>
        <v>135703446.90265489</v>
      </c>
      <c r="G19" s="30">
        <f t="shared" ref="G19:G24" si="3">F19*G4</f>
        <v>34061565.172566377</v>
      </c>
    </row>
    <row r="20" spans="2:7" x14ac:dyDescent="0.2">
      <c r="B20" s="1" t="s">
        <v>17</v>
      </c>
      <c r="C20" s="18">
        <f t="shared" si="0"/>
        <v>23679024.600000001</v>
      </c>
      <c r="D20" s="19">
        <f t="shared" si="1"/>
        <v>22659575.399999999</v>
      </c>
      <c r="F20" s="18">
        <f t="shared" si="2"/>
        <v>46338600</v>
      </c>
      <c r="G20" s="30">
        <f t="shared" si="3"/>
        <v>10889571</v>
      </c>
    </row>
    <row r="21" spans="2:7" x14ac:dyDescent="0.2">
      <c r="B21" s="1" t="s">
        <v>18</v>
      </c>
      <c r="C21" s="18">
        <f t="shared" si="0"/>
        <v>28745896.199999999</v>
      </c>
      <c r="D21" s="19">
        <f t="shared" si="1"/>
        <v>23806016.414259601</v>
      </c>
      <c r="F21" s="18">
        <f t="shared" si="2"/>
        <v>52551912.614259601</v>
      </c>
      <c r="G21" s="30">
        <f t="shared" si="3"/>
        <v>14609431.706764171</v>
      </c>
    </row>
    <row r="22" spans="2:7" x14ac:dyDescent="0.2">
      <c r="B22" s="1" t="s">
        <v>19</v>
      </c>
      <c r="C22" s="18">
        <f t="shared" si="0"/>
        <v>21677058</v>
      </c>
      <c r="D22" s="19">
        <f t="shared" si="1"/>
        <v>21763939.995991983</v>
      </c>
      <c r="F22" s="18">
        <f t="shared" si="2"/>
        <v>43440997.995991983</v>
      </c>
      <c r="G22" s="30">
        <f t="shared" si="3"/>
        <v>12076597.442885771</v>
      </c>
    </row>
    <row r="23" spans="2:7" x14ac:dyDescent="0.2">
      <c r="B23" s="1" t="s">
        <v>20</v>
      </c>
      <c r="C23" s="18">
        <f t="shared" si="0"/>
        <v>15332803.199999999</v>
      </c>
      <c r="D23" s="19">
        <f t="shared" si="1"/>
        <v>9517769.2473257706</v>
      </c>
      <c r="F23" s="18">
        <f t="shared" si="2"/>
        <v>24850572.44732577</v>
      </c>
      <c r="G23" s="30">
        <f t="shared" si="3"/>
        <v>5815033.9526742306</v>
      </c>
    </row>
    <row r="24" spans="2:7" x14ac:dyDescent="0.2">
      <c r="B24" s="1" t="s">
        <v>21</v>
      </c>
      <c r="C24" s="18">
        <f t="shared" si="0"/>
        <v>3003015.5999999996</v>
      </c>
      <c r="D24" s="19">
        <f t="shared" si="1"/>
        <v>1432753.3807976358</v>
      </c>
      <c r="F24" s="18">
        <f t="shared" si="2"/>
        <v>4435768.9807976354</v>
      </c>
      <c r="G24" s="30">
        <f t="shared" si="3"/>
        <v>794002.64756277681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B1:H20"/>
  <sheetViews>
    <sheetView tabSelected="1" workbookViewId="0">
      <selection activeCell="J26" sqref="J26"/>
    </sheetView>
  </sheetViews>
  <sheetFormatPr defaultColWidth="9.109375" defaultRowHeight="11.4" x14ac:dyDescent="0.2"/>
  <cols>
    <col min="1" max="1" width="2" style="1" customWidth="1"/>
    <col min="2" max="2" width="26.33203125" style="1" customWidth="1"/>
    <col min="3" max="3" width="11.109375" style="1" bestFit="1" customWidth="1"/>
    <col min="4" max="4" width="9.6640625" style="1" customWidth="1"/>
    <col min="5" max="5" width="9.88671875" style="1" customWidth="1"/>
    <col min="6" max="6" width="2" style="22" customWidth="1"/>
    <col min="7" max="16384" width="9.109375" style="1"/>
  </cols>
  <sheetData>
    <row r="1" spans="2:8" ht="15.6" x14ac:dyDescent="0.3">
      <c r="B1" s="2" t="s">
        <v>73</v>
      </c>
    </row>
    <row r="3" spans="2:8" ht="26.25" customHeight="1" thickBot="1" x14ac:dyDescent="0.3">
      <c r="B3" s="3" t="s">
        <v>27</v>
      </c>
      <c r="C3" s="4" t="s">
        <v>57</v>
      </c>
      <c r="D3" s="4" t="s">
        <v>58</v>
      </c>
      <c r="E3" s="4" t="s">
        <v>59</v>
      </c>
      <c r="F3" s="23"/>
      <c r="G3" s="26" t="s">
        <v>60</v>
      </c>
      <c r="H3" s="26" t="s">
        <v>65</v>
      </c>
    </row>
    <row r="4" spans="2:8" x14ac:dyDescent="0.2">
      <c r="B4" s="1" t="s">
        <v>51</v>
      </c>
      <c r="C4" s="10">
        <v>135.30071023813738</v>
      </c>
      <c r="D4" s="10">
        <v>152.53744108019998</v>
      </c>
      <c r="E4" s="10">
        <v>169.11024509999999</v>
      </c>
      <c r="F4" s="24"/>
      <c r="G4" s="46">
        <f t="shared" ref="G4:H6" si="0">+IF(ISERROR((D4/C4)-1),"n.a.",IF(((D4/C4)-1)&gt;1,"&gt;100.0%",IF(((D4/C4)-1)&lt;-1,"&lt;-100.0%",((D4/C4)-1))))</f>
        <v>0.12739571589627952</v>
      </c>
      <c r="H4" s="46">
        <f t="shared" si="0"/>
        <v>0.10864745011086474</v>
      </c>
    </row>
    <row r="5" spans="2:8" x14ac:dyDescent="0.2">
      <c r="B5" s="1" t="s">
        <v>52</v>
      </c>
      <c r="C5" s="10">
        <v>102.57609782919715</v>
      </c>
      <c r="D5" s="10">
        <v>119.55256157249086</v>
      </c>
      <c r="E5" s="10">
        <v>138.21105384102989</v>
      </c>
      <c r="F5" s="24"/>
      <c r="G5" s="46">
        <f t="shared" si="0"/>
        <v>0.16550116550116556</v>
      </c>
      <c r="H5" s="46">
        <f t="shared" si="0"/>
        <v>0.1560693641618498</v>
      </c>
    </row>
    <row r="6" spans="2:8" ht="12" x14ac:dyDescent="0.25">
      <c r="B6" s="25" t="s">
        <v>56</v>
      </c>
      <c r="C6" s="28">
        <f>SUM(C4:C5)</f>
        <v>237.87680806733454</v>
      </c>
      <c r="D6" s="28">
        <f>SUM(D4:D5)</f>
        <v>272.09000265269083</v>
      </c>
      <c r="E6" s="28">
        <f>SUM(E4:E5)</f>
        <v>307.32129894102991</v>
      </c>
      <c r="F6" s="24"/>
      <c r="G6" s="47">
        <f t="shared" si="0"/>
        <v>0.14382736536330065</v>
      </c>
      <c r="H6" s="47">
        <f t="shared" si="0"/>
        <v>0.12948397936292455</v>
      </c>
    </row>
    <row r="7" spans="2:8" x14ac:dyDescent="0.2">
      <c r="B7" s="1" t="s">
        <v>61</v>
      </c>
      <c r="C7" s="32">
        <f>-(C6-C8)</f>
        <v>-183.8787726360496</v>
      </c>
      <c r="D7" s="32">
        <f>-(D6-D8)</f>
        <v>-207.33258202135042</v>
      </c>
      <c r="E7" s="32">
        <f>-(E6-E8)</f>
        <v>-229.0750970185766</v>
      </c>
      <c r="F7" s="24"/>
      <c r="G7" s="38">
        <f t="shared" ref="G7:G8" si="1">+IF(ISERROR((D7/C7)-1),"n.a.",IF(((D7/C7)-1)&gt;1,"&gt;100.0%",IF(((D7/C7)-1)&lt;-1,"&lt;-100.0%",((D7/C7)-1))))</f>
        <v>0.12755039121194711</v>
      </c>
      <c r="H7" s="38">
        <f t="shared" ref="H7:H10" si="2">+IF(ISERROR((E7/D7)-1),"n.a.",IF(((E7/D7)-1)&gt;1,"&gt;100.0%",IF(((E7/D7)-1)&lt;-1,"&lt;-100.0%",((E7/D7)-1))))</f>
        <v>0.10486781568652437</v>
      </c>
    </row>
    <row r="8" spans="2:8" ht="12" x14ac:dyDescent="0.25">
      <c r="B8" s="25" t="s">
        <v>62</v>
      </c>
      <c r="C8" s="28">
        <f>C6*C17</f>
        <v>53.99803543128494</v>
      </c>
      <c r="D8" s="28">
        <f>D6*D17</f>
        <v>64.757420631340409</v>
      </c>
      <c r="E8" s="31">
        <f>SUM('Financials estimate'!G19:G24)/1000000</f>
        <v>78.246201922453309</v>
      </c>
      <c r="F8" s="24"/>
      <c r="G8" s="47">
        <f t="shared" si="1"/>
        <v>0.19925512315623584</v>
      </c>
      <c r="H8" s="47">
        <f t="shared" si="2"/>
        <v>0.20829707483106241</v>
      </c>
    </row>
    <row r="9" spans="2:8" x14ac:dyDescent="0.2">
      <c r="B9" s="1" t="s">
        <v>63</v>
      </c>
      <c r="C9" s="32">
        <f>-(C8-C10)</f>
        <v>-35.919398018167513</v>
      </c>
      <c r="D9" s="32">
        <f>-(D8-D10)</f>
        <v>-40.541410395250928</v>
      </c>
      <c r="E9" s="32">
        <f>-(E8-E10)</f>
        <v>-46.592108131527226</v>
      </c>
      <c r="F9" s="24"/>
      <c r="G9" s="38">
        <f t="shared" ref="G9:G10" si="3">+IF(ISERROR((D9/C9)-1),"n.a.",IF(((D9/C9)-1)&gt;1,"&gt;100.0%",IF(((D9/C9)-1)&lt;-1,"&lt;-100.0%",((D9/C9)-1))))</f>
        <v>0.12867733403398551</v>
      </c>
      <c r="H9" s="38">
        <f t="shared" si="2"/>
        <v>0.14924734184840016</v>
      </c>
    </row>
    <row r="10" spans="2:8" ht="12" x14ac:dyDescent="0.25">
      <c r="B10" s="44" t="s">
        <v>64</v>
      </c>
      <c r="C10" s="45">
        <f>C18*C6</f>
        <v>18.078637413117423</v>
      </c>
      <c r="D10" s="45">
        <f>D18*D6</f>
        <v>24.216010236089481</v>
      </c>
      <c r="E10" s="45">
        <f>E18*E6</f>
        <v>31.65409379092608</v>
      </c>
      <c r="F10" s="43"/>
      <c r="G10" s="48">
        <f t="shared" si="3"/>
        <v>0.33948204628070733</v>
      </c>
      <c r="H10" s="48">
        <f t="shared" si="2"/>
        <v>0.30715561656608115</v>
      </c>
    </row>
    <row r="11" spans="2:8" ht="3.75" customHeight="1" x14ac:dyDescent="0.2">
      <c r="C11" s="6"/>
      <c r="G11" s="35"/>
      <c r="H11" s="35"/>
    </row>
    <row r="12" spans="2:8" ht="12" x14ac:dyDescent="0.25">
      <c r="B12" s="29" t="s">
        <v>66</v>
      </c>
      <c r="C12" s="42">
        <f>C10*C19</f>
        <v>16.144223209913861</v>
      </c>
      <c r="D12" s="42">
        <f>D10*D19</f>
        <v>22.83569765263238</v>
      </c>
      <c r="E12" s="42">
        <f>E10*E19</f>
        <v>24.120419468685672</v>
      </c>
      <c r="G12" s="49">
        <f t="shared" ref="G12" si="4">+IF(ISERROR((D12/C12)-1),"n.a.",IF(((D12/C12)-1)&gt;1,"&gt;100.0%",IF(((D12/C12)-1)&lt;-1,"&lt;-100.0%",((D12/C12)-1))))</f>
        <v>0.41448104103326644</v>
      </c>
      <c r="H12" s="49">
        <f t="shared" ref="H12" si="5">+IF(ISERROR((E12/D12)-1),"n.a.",IF(((E12/D12)-1)&gt;1,"&gt;100.0%",IF(((E12/D12)-1)&lt;-1,"&lt;-100.0%",((E12/D12)-1))))</f>
        <v>5.6259363545444252E-2</v>
      </c>
    </row>
    <row r="13" spans="2:8" x14ac:dyDescent="0.2">
      <c r="C13" s="6"/>
      <c r="G13" s="16"/>
      <c r="H13" s="16"/>
    </row>
    <row r="14" spans="2:8" x14ac:dyDescent="0.2">
      <c r="B14" s="36" t="s">
        <v>67</v>
      </c>
      <c r="C14" s="33"/>
      <c r="D14" s="27"/>
      <c r="E14" s="27"/>
      <c r="F14" s="34"/>
      <c r="G14" s="35"/>
      <c r="H14" s="35"/>
    </row>
    <row r="15" spans="2:8" x14ac:dyDescent="0.2">
      <c r="B15" s="35" t="s">
        <v>68</v>
      </c>
      <c r="C15" s="39">
        <f>C4/C6</f>
        <v>0.56878478964556534</v>
      </c>
      <c r="D15" s="39">
        <f t="shared" ref="D15:E15" si="6">D4/D6</f>
        <v>0.56061391301798891</v>
      </c>
      <c r="E15" s="39">
        <f t="shared" si="6"/>
        <v>0.55027180245144536</v>
      </c>
      <c r="F15" s="37"/>
      <c r="G15" s="35"/>
      <c r="H15" s="35"/>
    </row>
    <row r="16" spans="2:8" x14ac:dyDescent="0.2">
      <c r="B16" s="35" t="s">
        <v>69</v>
      </c>
      <c r="C16" s="39">
        <f>C5/C6</f>
        <v>0.43121521035443472</v>
      </c>
      <c r="D16" s="39">
        <f>D5/D6</f>
        <v>0.43938608698201115</v>
      </c>
      <c r="E16" s="39">
        <f>E5/E6</f>
        <v>0.44972819754855459</v>
      </c>
      <c r="F16" s="37"/>
      <c r="G16" s="35"/>
      <c r="H16" s="35"/>
    </row>
    <row r="17" spans="2:8" x14ac:dyDescent="0.2">
      <c r="B17" s="35" t="s">
        <v>70</v>
      </c>
      <c r="C17" s="38">
        <v>0.22700000000000001</v>
      </c>
      <c r="D17" s="38">
        <v>0.23799999999999999</v>
      </c>
      <c r="E17" s="38">
        <f>E8/E6</f>
        <v>0.25460715606785039</v>
      </c>
      <c r="F17" s="37"/>
      <c r="G17" s="35"/>
      <c r="H17" s="35"/>
    </row>
    <row r="18" spans="2:8" x14ac:dyDescent="0.2">
      <c r="B18" s="35" t="s">
        <v>72</v>
      </c>
      <c r="C18" s="38">
        <v>7.5999999999999998E-2</v>
      </c>
      <c r="D18" s="38">
        <v>8.8999999999999996E-2</v>
      </c>
      <c r="E18" s="38">
        <v>0.10299999999999999</v>
      </c>
      <c r="F18" s="37"/>
      <c r="G18" s="35"/>
      <c r="H18" s="35"/>
    </row>
    <row r="19" spans="2:8" x14ac:dyDescent="0.2">
      <c r="B19" s="35" t="s">
        <v>71</v>
      </c>
      <c r="C19" s="40">
        <v>0.89300000000000002</v>
      </c>
      <c r="D19" s="40">
        <v>0.94299999999999995</v>
      </c>
      <c r="E19" s="41">
        <v>0.76200000000000001</v>
      </c>
      <c r="F19" s="37"/>
      <c r="G19" s="35"/>
      <c r="H19" s="35"/>
    </row>
    <row r="20" spans="2:8" x14ac:dyDescent="0.2">
      <c r="C20" s="6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Kinemax --&gt;</vt:lpstr>
      <vt:lpstr>Legal entity structure</vt:lpstr>
      <vt:lpstr>Private Equity investments</vt:lpstr>
      <vt:lpstr>Business KPIs</vt:lpstr>
      <vt:lpstr>Customers age</vt:lpstr>
      <vt:lpstr>Financials estimate</vt:lpstr>
      <vt:lpstr>Financials Kinemax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Ned</cp:lastModifiedBy>
  <dcterms:created xsi:type="dcterms:W3CDTF">2014-12-10T16:09:49Z</dcterms:created>
  <dcterms:modified xsi:type="dcterms:W3CDTF">2019-08-22T07:11:27Z</dcterms:modified>
</cp:coreProperties>
</file>